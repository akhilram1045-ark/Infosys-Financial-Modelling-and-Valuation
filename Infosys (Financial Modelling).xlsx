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defaultThemeVersion="166925"/>
  <xr:revisionPtr revIDLastSave="0" documentId="8_{B8388463-510F-464A-A018-2D96D9AF3DFB}" xr6:coauthVersionLast="47" xr6:coauthVersionMax="47" xr10:uidLastSave="{00000000-0000-0000-0000-000000000000}"/>
  <bookViews>
    <workbookView xWindow="-110" yWindow="-110" windowWidth="19420" windowHeight="10300" firstSheet="8" activeTab="6" xr2:uid="{00000000-000D-0000-FFFF-FFFF00000000}"/>
  </bookViews>
  <sheets>
    <sheet name="One page Profile" sheetId="13" r:id="rId1"/>
    <sheet name="Data&gt;" sheetId="1" r:id="rId2"/>
    <sheet name="Data Sheet" sheetId="2" r:id="rId3"/>
    <sheet name="Raw Data" sheetId="3" r:id="rId4"/>
    <sheet name="Cash Flow Data" sheetId="4" r:id="rId5"/>
    <sheet name="Financials&gt;" sheetId="5" r:id="rId6"/>
    <sheet name="HistoricalFS" sheetId="6" r:id="rId7"/>
    <sheet name="Ratio Analysis" sheetId="7" r:id="rId8"/>
    <sheet name="3 Statement Model" sheetId="14" r:id="rId9"/>
    <sheet name="WACC" sheetId="8" r:id="rId10"/>
    <sheet name="Intrinsic Growth" sheetId="9" r:id="rId11"/>
    <sheet name="DCF" sheetId="10" r:id="rId12"/>
    <sheet name="Comps-Valuation" sheetId="11" r:id="rId13"/>
    <sheet name="Dupont Analysis" sheetId="12" r:id="rId14"/>
  </sheets>
  <externalReferences>
    <externalReference r:id="rId15"/>
  </externalReference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UPDATE">'Data Sheet'!$E$1</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7" i="14" l="1"/>
  <c r="E97" i="14"/>
  <c r="F97" i="14"/>
  <c r="G97" i="14"/>
  <c r="H97" i="14"/>
  <c r="I97" i="14"/>
  <c r="C97" i="14"/>
  <c r="D90" i="14"/>
  <c r="E90" i="14"/>
  <c r="F90" i="14"/>
  <c r="G90" i="14"/>
  <c r="H90" i="14"/>
  <c r="I90" i="14"/>
  <c r="C90" i="14"/>
  <c r="D118" i="14"/>
  <c r="E115" i="14" s="1"/>
  <c r="C118" i="14"/>
  <c r="D115" i="14"/>
  <c r="C115" i="14"/>
  <c r="E107" i="14"/>
  <c r="F107" i="14"/>
  <c r="G107" i="14"/>
  <c r="H107" i="14"/>
  <c r="I107" i="14"/>
  <c r="D108" i="14"/>
  <c r="D106" i="14"/>
  <c r="C108" i="14"/>
  <c r="C106" i="14"/>
  <c r="D98" i="14"/>
  <c r="D99" i="14"/>
  <c r="C99" i="14"/>
  <c r="C98" i="14"/>
  <c r="C100" i="14" s="1"/>
  <c r="C85" i="14"/>
  <c r="D82" i="14"/>
  <c r="C82" i="14"/>
  <c r="D77" i="14"/>
  <c r="C77" i="14"/>
  <c r="D70" i="14"/>
  <c r="C70" i="14"/>
  <c r="D34" i="14"/>
  <c r="C34" i="14"/>
  <c r="D94" i="14"/>
  <c r="C94" i="14"/>
  <c r="D91" i="14"/>
  <c r="C91" i="14"/>
  <c r="E91" i="14"/>
  <c r="D92" i="14"/>
  <c r="C92" i="14"/>
  <c r="D73" i="14"/>
  <c r="C73" i="14"/>
  <c r="E80" i="14"/>
  <c r="F80" i="14"/>
  <c r="G80" i="14"/>
  <c r="H80" i="14"/>
  <c r="I80" i="14"/>
  <c r="D84" i="14"/>
  <c r="C84" i="14"/>
  <c r="C86" i="14" s="1"/>
  <c r="D85" i="14" s="1"/>
  <c r="D74" i="14"/>
  <c r="D75" i="14"/>
  <c r="D76" i="14"/>
  <c r="C76" i="14"/>
  <c r="C75" i="14"/>
  <c r="C74" i="14"/>
  <c r="D69" i="14"/>
  <c r="D102" i="14" s="1"/>
  <c r="C69" i="14"/>
  <c r="C102" i="14" s="1"/>
  <c r="D68" i="14"/>
  <c r="D101" i="14" s="1"/>
  <c r="C68" i="14"/>
  <c r="C101" i="14" s="1"/>
  <c r="C56" i="14"/>
  <c r="D56" i="14"/>
  <c r="C57" i="14"/>
  <c r="D57" i="14"/>
  <c r="C58" i="14"/>
  <c r="D58" i="14"/>
  <c r="D55" i="14"/>
  <c r="C55" i="14"/>
  <c r="C59" i="14" s="1"/>
  <c r="D47" i="14"/>
  <c r="D48" i="14"/>
  <c r="D49" i="14"/>
  <c r="C48" i="14"/>
  <c r="C49" i="14"/>
  <c r="C47" i="14"/>
  <c r="C50" i="14" s="1"/>
  <c r="C42" i="14"/>
  <c r="D42" i="14"/>
  <c r="C43" i="14"/>
  <c r="D43" i="14"/>
  <c r="C44" i="14"/>
  <c r="D44" i="14"/>
  <c r="D41" i="14"/>
  <c r="D45" i="14" s="1"/>
  <c r="C41" i="14"/>
  <c r="C45" i="14" s="1"/>
  <c r="C52" i="14" s="1"/>
  <c r="C61" i="14" s="1"/>
  <c r="D30" i="14"/>
  <c r="C30" i="14"/>
  <c r="D28" i="14"/>
  <c r="C28" i="14"/>
  <c r="D24" i="14"/>
  <c r="D25" i="14"/>
  <c r="D26" i="14"/>
  <c r="C26" i="14"/>
  <c r="C25" i="14"/>
  <c r="C27" i="14" s="1"/>
  <c r="C29" i="14" s="1"/>
  <c r="C31" i="14" s="1"/>
  <c r="C24" i="14"/>
  <c r="D23" i="14"/>
  <c r="C23" i="14"/>
  <c r="D21" i="14"/>
  <c r="D38" i="14" s="1"/>
  <c r="D63" i="14" s="1"/>
  <c r="E21" i="14"/>
  <c r="E38" i="14" s="1"/>
  <c r="E63" i="14" s="1"/>
  <c r="F21" i="14"/>
  <c r="F38" i="14" s="1"/>
  <c r="F63" i="14" s="1"/>
  <c r="G21" i="14"/>
  <c r="G38" i="14" s="1"/>
  <c r="G63" i="14" s="1"/>
  <c r="H21" i="14"/>
  <c r="H38" i="14" s="1"/>
  <c r="H63" i="14" s="1"/>
  <c r="I21" i="14"/>
  <c r="I38" i="14" s="1"/>
  <c r="I63" i="14" s="1"/>
  <c r="C21" i="14"/>
  <c r="C38" i="14" s="1"/>
  <c r="C63" i="14" s="1"/>
  <c r="D12" i="14"/>
  <c r="D13" i="14"/>
  <c r="D14" i="14"/>
  <c r="D15" i="14"/>
  <c r="D16" i="14"/>
  <c r="D18" i="14"/>
  <c r="C18" i="14"/>
  <c r="D17" i="14"/>
  <c r="E17" i="14"/>
  <c r="F17" i="14"/>
  <c r="G17" i="14"/>
  <c r="H17" i="14"/>
  <c r="I17" i="14"/>
  <c r="C17" i="14"/>
  <c r="C16" i="14"/>
  <c r="C15" i="14"/>
  <c r="C14" i="14"/>
  <c r="C13" i="14"/>
  <c r="C12" i="14"/>
  <c r="D11" i="14"/>
  <c r="C11" i="14"/>
  <c r="D10" i="14"/>
  <c r="C10" i="14"/>
  <c r="D9" i="14"/>
  <c r="C9" i="14"/>
  <c r="D6" i="14"/>
  <c r="D7" i="14"/>
  <c r="D8" i="14"/>
  <c r="C8" i="14"/>
  <c r="C7" i="14"/>
  <c r="C6" i="14"/>
  <c r="C6" i="6"/>
  <c r="D5" i="14"/>
  <c r="C5" i="14"/>
  <c r="D4" i="14"/>
  <c r="C4" i="14"/>
  <c r="M6" i="6"/>
  <c r="M7" i="6"/>
  <c r="M9" i="6"/>
  <c r="M10" i="6"/>
  <c r="M12" i="6"/>
  <c r="M13" i="6"/>
  <c r="M16" i="6"/>
  <c r="M18" i="6"/>
  <c r="M19" i="6"/>
  <c r="M21" i="6"/>
  <c r="M22" i="6"/>
  <c r="M24" i="6"/>
  <c r="M25" i="6"/>
  <c r="M27" i="6"/>
  <c r="M28" i="6"/>
  <c r="M30" i="6"/>
  <c r="M31" i="6"/>
  <c r="M33" i="6"/>
  <c r="M34" i="6"/>
  <c r="M36" i="6"/>
  <c r="M38" i="6"/>
  <c r="M39" i="6"/>
  <c r="M41" i="6"/>
  <c r="M42" i="6"/>
  <c r="M44" i="6"/>
  <c r="H42" i="13"/>
  <c r="I42" i="13"/>
  <c r="J42" i="13"/>
  <c r="H43" i="13"/>
  <c r="I43" i="13"/>
  <c r="J43" i="13"/>
  <c r="H44" i="13"/>
  <c r="I44" i="13"/>
  <c r="J44" i="13"/>
  <c r="H45" i="13"/>
  <c r="I45" i="13"/>
  <c r="J45" i="13"/>
  <c r="K45" i="13"/>
  <c r="K44" i="13"/>
  <c r="K43" i="13"/>
  <c r="K42" i="13"/>
  <c r="H30" i="13"/>
  <c r="I30" i="13"/>
  <c r="J30" i="13"/>
  <c r="H31" i="13"/>
  <c r="I31" i="13"/>
  <c r="J31" i="13"/>
  <c r="H32" i="13"/>
  <c r="I32" i="13"/>
  <c r="J32" i="13"/>
  <c r="H33" i="13"/>
  <c r="I33" i="13"/>
  <c r="J33" i="13"/>
  <c r="H34" i="13"/>
  <c r="I34" i="13"/>
  <c r="J34" i="13"/>
  <c r="H35" i="13"/>
  <c r="I35" i="13"/>
  <c r="J35" i="13"/>
  <c r="H36" i="13"/>
  <c r="I36" i="13"/>
  <c r="J36" i="13"/>
  <c r="H37" i="13"/>
  <c r="I37" i="13"/>
  <c r="J37" i="13"/>
  <c r="H38" i="13"/>
  <c r="I38" i="13"/>
  <c r="J38" i="13"/>
  <c r="K38" i="13"/>
  <c r="K37" i="13"/>
  <c r="K36" i="13"/>
  <c r="K35" i="13"/>
  <c r="K34" i="13"/>
  <c r="K33" i="13"/>
  <c r="K32" i="13"/>
  <c r="K31" i="13"/>
  <c r="K30" i="13"/>
  <c r="H29" i="13"/>
  <c r="I29" i="13"/>
  <c r="J29" i="13"/>
  <c r="K29" i="13"/>
  <c r="H27" i="13"/>
  <c r="H40" i="13" s="1"/>
  <c r="I27" i="13"/>
  <c r="I40" i="13" s="1"/>
  <c r="J27" i="13"/>
  <c r="J40" i="13" s="1"/>
  <c r="K27" i="13"/>
  <c r="K40" i="13" s="1"/>
  <c r="C80" i="12"/>
  <c r="D80" i="12"/>
  <c r="E80" i="12"/>
  <c r="F80" i="12"/>
  <c r="G80" i="12"/>
  <c r="H80" i="12"/>
  <c r="I80" i="12"/>
  <c r="C76" i="12"/>
  <c r="D76" i="12"/>
  <c r="E76" i="12"/>
  <c r="F76" i="12"/>
  <c r="G76" i="12"/>
  <c r="H76" i="12"/>
  <c r="I76" i="12"/>
  <c r="C70" i="12"/>
  <c r="D70" i="12"/>
  <c r="E70" i="12"/>
  <c r="F70" i="12"/>
  <c r="G70" i="12"/>
  <c r="H70" i="12"/>
  <c r="I70" i="12"/>
  <c r="C69" i="12"/>
  <c r="C71" i="12" s="1"/>
  <c r="D69" i="12"/>
  <c r="D71" i="12" s="1"/>
  <c r="E69" i="12"/>
  <c r="E71" i="12" s="1"/>
  <c r="F69" i="12"/>
  <c r="F71" i="12" s="1"/>
  <c r="G69" i="12"/>
  <c r="G71" i="12" s="1"/>
  <c r="H69" i="12"/>
  <c r="H71" i="12" s="1"/>
  <c r="I69" i="12"/>
  <c r="I71" i="12" s="1"/>
  <c r="C68" i="12"/>
  <c r="D68" i="12"/>
  <c r="E68" i="12"/>
  <c r="F68" i="12"/>
  <c r="G68" i="12"/>
  <c r="H68" i="12"/>
  <c r="I68" i="12"/>
  <c r="B97" i="12"/>
  <c r="B84" i="12"/>
  <c r="B83" i="12"/>
  <c r="B92" i="12" s="1"/>
  <c r="I79" i="12"/>
  <c r="H79" i="12"/>
  <c r="G79" i="12"/>
  <c r="F79" i="12"/>
  <c r="E79" i="12"/>
  <c r="D79" i="12"/>
  <c r="C79" i="12"/>
  <c r="B75" i="12"/>
  <c r="I84" i="12"/>
  <c r="H84" i="12"/>
  <c r="G84" i="12"/>
  <c r="F84" i="12"/>
  <c r="E84" i="12"/>
  <c r="D84" i="12"/>
  <c r="C84" i="12"/>
  <c r="I74" i="12"/>
  <c r="I90" i="12" s="1"/>
  <c r="I96" i="12" s="1"/>
  <c r="H74" i="12"/>
  <c r="H90" i="12" s="1"/>
  <c r="H96" i="12" s="1"/>
  <c r="G74" i="12"/>
  <c r="G90" i="12" s="1"/>
  <c r="G96" i="12" s="1"/>
  <c r="F74" i="12"/>
  <c r="F90" i="12" s="1"/>
  <c r="F96" i="12" s="1"/>
  <c r="E74" i="12"/>
  <c r="E90" i="12" s="1"/>
  <c r="E96" i="12" s="1"/>
  <c r="D74" i="12"/>
  <c r="D90" i="12" s="1"/>
  <c r="D96" i="12" s="1"/>
  <c r="C74" i="12"/>
  <c r="C90" i="12" s="1"/>
  <c r="C96" i="12" s="1"/>
  <c r="E41" i="10"/>
  <c r="E40" i="10"/>
  <c r="E29" i="10"/>
  <c r="H15" i="10"/>
  <c r="I15" i="10" s="1"/>
  <c r="J15" i="10" s="1"/>
  <c r="K15" i="10" s="1"/>
  <c r="G7" i="10"/>
  <c r="H7" i="10" s="1"/>
  <c r="I7" i="10" s="1"/>
  <c r="J7" i="10" s="1"/>
  <c r="K7" i="10" s="1"/>
  <c r="J45" i="9"/>
  <c r="I45" i="9"/>
  <c r="H45" i="9"/>
  <c r="G45" i="9"/>
  <c r="F45" i="9"/>
  <c r="J32" i="9"/>
  <c r="I32" i="9"/>
  <c r="H32" i="9"/>
  <c r="G32" i="9"/>
  <c r="F32" i="9"/>
  <c r="J31" i="9"/>
  <c r="J33" i="9" s="1"/>
  <c r="I31" i="9"/>
  <c r="I33" i="9" s="1"/>
  <c r="H31" i="9"/>
  <c r="H33" i="9" s="1"/>
  <c r="G31" i="9"/>
  <c r="G33" i="9" s="1"/>
  <c r="F31" i="9"/>
  <c r="F33" i="9" s="1"/>
  <c r="J30" i="9"/>
  <c r="I30" i="9"/>
  <c r="H30" i="9"/>
  <c r="G30" i="9"/>
  <c r="F30" i="9"/>
  <c r="J29" i="9"/>
  <c r="I29" i="9"/>
  <c r="H29" i="9"/>
  <c r="G29" i="9"/>
  <c r="F29" i="9"/>
  <c r="J28" i="9"/>
  <c r="I28" i="9"/>
  <c r="H28" i="9"/>
  <c r="G28" i="9"/>
  <c r="F28" i="9"/>
  <c r="J27" i="9"/>
  <c r="I27" i="9"/>
  <c r="H27" i="9"/>
  <c r="G27" i="9"/>
  <c r="F27" i="9"/>
  <c r="J26" i="9"/>
  <c r="I26" i="9"/>
  <c r="H26" i="9"/>
  <c r="G26" i="9"/>
  <c r="F26" i="9"/>
  <c r="J25" i="9"/>
  <c r="I25" i="9"/>
  <c r="H25" i="9"/>
  <c r="G25" i="9"/>
  <c r="F25" i="9"/>
  <c r="J24" i="9"/>
  <c r="I24" i="9"/>
  <c r="H24" i="9"/>
  <c r="G24" i="9"/>
  <c r="F24" i="9"/>
  <c r="J23" i="9"/>
  <c r="I23" i="9"/>
  <c r="H23" i="9"/>
  <c r="G23" i="9"/>
  <c r="F23" i="9"/>
  <c r="J22" i="9"/>
  <c r="I22" i="9"/>
  <c r="H22" i="9"/>
  <c r="G22" i="9"/>
  <c r="F22" i="9"/>
  <c r="J16" i="9"/>
  <c r="I16" i="9"/>
  <c r="H16" i="9"/>
  <c r="G16" i="9"/>
  <c r="F16" i="9"/>
  <c r="J15" i="9"/>
  <c r="I15" i="9"/>
  <c r="H15" i="9"/>
  <c r="G15" i="9"/>
  <c r="F15" i="9"/>
  <c r="J14" i="9"/>
  <c r="J17" i="9" s="1"/>
  <c r="I14" i="9"/>
  <c r="I17" i="9" s="1"/>
  <c r="H14" i="9"/>
  <c r="H17" i="9" s="1"/>
  <c r="G14" i="9"/>
  <c r="G17" i="9" s="1"/>
  <c r="F14" i="9"/>
  <c r="F17" i="9" s="1"/>
  <c r="J10" i="9"/>
  <c r="I10" i="9"/>
  <c r="H10" i="9"/>
  <c r="G10" i="9"/>
  <c r="F10" i="9"/>
  <c r="J9" i="9"/>
  <c r="I9" i="9"/>
  <c r="H9" i="9"/>
  <c r="G9" i="9"/>
  <c r="F9" i="9"/>
  <c r="J8" i="9"/>
  <c r="J11" i="9" s="1"/>
  <c r="J19" i="9" s="1"/>
  <c r="I8" i="9"/>
  <c r="I11" i="9" s="1"/>
  <c r="I19" i="9" s="1"/>
  <c r="H8" i="9"/>
  <c r="H11" i="9" s="1"/>
  <c r="H19" i="9" s="1"/>
  <c r="G8" i="9"/>
  <c r="G11" i="9" s="1"/>
  <c r="G19" i="9" s="1"/>
  <c r="F8" i="9"/>
  <c r="F11" i="9" s="1"/>
  <c r="F19" i="9" s="1"/>
  <c r="J32" i="8"/>
  <c r="C32" i="8"/>
  <c r="C31" i="8"/>
  <c r="E24" i="8"/>
  <c r="I38" i="8" s="1"/>
  <c r="I17" i="8"/>
  <c r="F17" i="8"/>
  <c r="I16" i="8"/>
  <c r="F16" i="8"/>
  <c r="H14" i="8"/>
  <c r="G14" i="8"/>
  <c r="J14" i="8" s="1"/>
  <c r="H13" i="8"/>
  <c r="G13" i="8"/>
  <c r="J13" i="8" s="1"/>
  <c r="H12" i="8"/>
  <c r="G12" i="8"/>
  <c r="J12" i="8" s="1"/>
  <c r="H11" i="8"/>
  <c r="G11" i="8"/>
  <c r="J11" i="8" s="1"/>
  <c r="H10" i="8"/>
  <c r="G10" i="8"/>
  <c r="J9" i="8"/>
  <c r="H9" i="8"/>
  <c r="G2" i="7"/>
  <c r="L94" i="6"/>
  <c r="K94" i="6"/>
  <c r="J94" i="6"/>
  <c r="I94" i="6"/>
  <c r="H94" i="6"/>
  <c r="G94" i="6"/>
  <c r="F94" i="6"/>
  <c r="E94" i="6"/>
  <c r="D94" i="6"/>
  <c r="C94" i="6"/>
  <c r="L93" i="6"/>
  <c r="K93" i="6"/>
  <c r="J93" i="6"/>
  <c r="I93" i="6"/>
  <c r="H93" i="6"/>
  <c r="G93" i="6"/>
  <c r="F93" i="6"/>
  <c r="E93" i="6"/>
  <c r="D93" i="6"/>
  <c r="C93" i="6"/>
  <c r="L92" i="6"/>
  <c r="K92" i="6"/>
  <c r="J92" i="6"/>
  <c r="I92" i="6"/>
  <c r="H92" i="6"/>
  <c r="G92" i="6"/>
  <c r="F92" i="6"/>
  <c r="E92" i="6"/>
  <c r="D92" i="6"/>
  <c r="C92" i="6"/>
  <c r="L91" i="6"/>
  <c r="K91" i="6"/>
  <c r="J91" i="6"/>
  <c r="I91" i="6"/>
  <c r="H91" i="6"/>
  <c r="G91" i="6"/>
  <c r="F91" i="6"/>
  <c r="E91" i="6"/>
  <c r="D91" i="6"/>
  <c r="C91" i="6"/>
  <c r="L90" i="6"/>
  <c r="L95" i="6" s="1"/>
  <c r="K90" i="6"/>
  <c r="K95" i="6" s="1"/>
  <c r="J90" i="6"/>
  <c r="J95" i="6" s="1"/>
  <c r="I90" i="6"/>
  <c r="I95" i="6" s="1"/>
  <c r="H90" i="6"/>
  <c r="H95" i="6" s="1"/>
  <c r="G90" i="6"/>
  <c r="G95" i="6" s="1"/>
  <c r="F90" i="6"/>
  <c r="F95" i="6" s="1"/>
  <c r="E90" i="6"/>
  <c r="E95" i="6" s="1"/>
  <c r="D90" i="6"/>
  <c r="D95" i="6" s="1"/>
  <c r="C90" i="6"/>
  <c r="C95" i="6" s="1"/>
  <c r="L86" i="6"/>
  <c r="K86" i="6"/>
  <c r="J86" i="6"/>
  <c r="I86" i="6"/>
  <c r="H86" i="6"/>
  <c r="G86" i="6"/>
  <c r="F86" i="6"/>
  <c r="E86" i="6"/>
  <c r="D86" i="6"/>
  <c r="C86" i="6"/>
  <c r="L85" i="6"/>
  <c r="K85" i="6"/>
  <c r="J85" i="6"/>
  <c r="I85" i="6"/>
  <c r="H85" i="6"/>
  <c r="G85" i="6"/>
  <c r="F85" i="6"/>
  <c r="E85" i="6"/>
  <c r="D85" i="6"/>
  <c r="C85" i="6"/>
  <c r="L84" i="6"/>
  <c r="K84" i="6"/>
  <c r="J84" i="6"/>
  <c r="I84" i="6"/>
  <c r="H84" i="6"/>
  <c r="G84" i="6"/>
  <c r="F84" i="6"/>
  <c r="E84" i="6"/>
  <c r="D84" i="6"/>
  <c r="C84" i="6"/>
  <c r="L83" i="6"/>
  <c r="K83" i="6"/>
  <c r="J83" i="6"/>
  <c r="I83" i="6"/>
  <c r="H83" i="6"/>
  <c r="G83" i="6"/>
  <c r="F83" i="6"/>
  <c r="E83" i="6"/>
  <c r="D83" i="6"/>
  <c r="C83" i="6"/>
  <c r="L82" i="6"/>
  <c r="K82" i="6"/>
  <c r="J82" i="6"/>
  <c r="I82" i="6"/>
  <c r="H82" i="6"/>
  <c r="G82" i="6"/>
  <c r="F82" i="6"/>
  <c r="E82" i="6"/>
  <c r="D82" i="6"/>
  <c r="C82" i="6"/>
  <c r="L81" i="6"/>
  <c r="K81" i="6"/>
  <c r="J81" i="6"/>
  <c r="I81" i="6"/>
  <c r="H81" i="6"/>
  <c r="G81" i="6"/>
  <c r="F81" i="6"/>
  <c r="E81" i="6"/>
  <c r="D81" i="6"/>
  <c r="C81" i="6"/>
  <c r="L80" i="6"/>
  <c r="K80" i="6"/>
  <c r="J80" i="6"/>
  <c r="I80" i="6"/>
  <c r="H80" i="6"/>
  <c r="G80" i="6"/>
  <c r="F80" i="6"/>
  <c r="E80" i="6"/>
  <c r="D80" i="6"/>
  <c r="C80" i="6"/>
  <c r="L79" i="6"/>
  <c r="L87" i="6" s="1"/>
  <c r="K79" i="6"/>
  <c r="K87" i="6" s="1"/>
  <c r="J79" i="6"/>
  <c r="J87" i="6" s="1"/>
  <c r="I79" i="6"/>
  <c r="I87" i="6" s="1"/>
  <c r="H79" i="6"/>
  <c r="H87" i="6" s="1"/>
  <c r="G79" i="6"/>
  <c r="G87" i="6" s="1"/>
  <c r="F79" i="6"/>
  <c r="F87" i="6" s="1"/>
  <c r="E79" i="6"/>
  <c r="E87" i="6" s="1"/>
  <c r="D79" i="6"/>
  <c r="D87" i="6" s="1"/>
  <c r="C79" i="6"/>
  <c r="C87" i="6" s="1"/>
  <c r="L75" i="6"/>
  <c r="K75" i="6"/>
  <c r="J75" i="6"/>
  <c r="I75" i="6"/>
  <c r="H75" i="6"/>
  <c r="G75" i="6"/>
  <c r="F75" i="6"/>
  <c r="E75" i="6"/>
  <c r="D75" i="6"/>
  <c r="C75" i="6"/>
  <c r="L74" i="6"/>
  <c r="K74" i="6"/>
  <c r="J74" i="6"/>
  <c r="I74" i="6"/>
  <c r="H74" i="6"/>
  <c r="G74" i="6"/>
  <c r="F74" i="6"/>
  <c r="E74" i="6"/>
  <c r="D74" i="6"/>
  <c r="C74" i="6"/>
  <c r="L73" i="6"/>
  <c r="K73" i="6"/>
  <c r="J73" i="6"/>
  <c r="I73" i="6"/>
  <c r="H73" i="6"/>
  <c r="G73" i="6"/>
  <c r="F73" i="6"/>
  <c r="E73" i="6"/>
  <c r="D73" i="6"/>
  <c r="C73" i="6"/>
  <c r="L72" i="6"/>
  <c r="K72" i="6"/>
  <c r="J72" i="6"/>
  <c r="I72" i="6"/>
  <c r="H72" i="6"/>
  <c r="G72" i="6"/>
  <c r="F72" i="6"/>
  <c r="E72" i="6"/>
  <c r="D72" i="6"/>
  <c r="C72" i="6"/>
  <c r="L71" i="6"/>
  <c r="K71" i="6"/>
  <c r="J71" i="6"/>
  <c r="I71" i="6"/>
  <c r="H71" i="6"/>
  <c r="G71" i="6"/>
  <c r="F71" i="6"/>
  <c r="E71" i="6"/>
  <c r="D71" i="6"/>
  <c r="C71" i="6"/>
  <c r="L70" i="6"/>
  <c r="L76" i="6" s="1"/>
  <c r="K70" i="6"/>
  <c r="K76" i="6" s="1"/>
  <c r="J70" i="6"/>
  <c r="J76" i="6" s="1"/>
  <c r="I70" i="6"/>
  <c r="I76" i="6" s="1"/>
  <c r="H70" i="6"/>
  <c r="H76" i="6" s="1"/>
  <c r="G70" i="6"/>
  <c r="G76" i="6" s="1"/>
  <c r="F70" i="6"/>
  <c r="F76" i="6" s="1"/>
  <c r="E70" i="6"/>
  <c r="E76" i="6" s="1"/>
  <c r="D70" i="6"/>
  <c r="D76" i="6" s="1"/>
  <c r="C70" i="6"/>
  <c r="C76" i="6" s="1"/>
  <c r="L61" i="6"/>
  <c r="K61" i="6"/>
  <c r="J61" i="6"/>
  <c r="I61" i="6"/>
  <c r="H61" i="6"/>
  <c r="G61" i="6"/>
  <c r="F61" i="6"/>
  <c r="E61" i="6"/>
  <c r="D61" i="6"/>
  <c r="C61" i="6"/>
  <c r="L60" i="6"/>
  <c r="K60" i="6"/>
  <c r="J60" i="6"/>
  <c r="I60" i="6"/>
  <c r="H60" i="6"/>
  <c r="G60" i="6"/>
  <c r="F60" i="6"/>
  <c r="E60" i="6"/>
  <c r="D60" i="6"/>
  <c r="C60" i="6"/>
  <c r="L59" i="6"/>
  <c r="L62" i="6" s="1"/>
  <c r="K59" i="6"/>
  <c r="K62" i="6" s="1"/>
  <c r="J59" i="6"/>
  <c r="J62" i="6" s="1"/>
  <c r="I59" i="6"/>
  <c r="I62" i="6" s="1"/>
  <c r="H59" i="6"/>
  <c r="H62" i="6" s="1"/>
  <c r="G59" i="6"/>
  <c r="G62" i="6" s="1"/>
  <c r="F59" i="6"/>
  <c r="F62" i="6" s="1"/>
  <c r="E59" i="6"/>
  <c r="E62" i="6" s="1"/>
  <c r="D59" i="6"/>
  <c r="D62" i="6" s="1"/>
  <c r="C59" i="6"/>
  <c r="C62" i="6" s="1"/>
  <c r="L56" i="6"/>
  <c r="K56" i="6"/>
  <c r="J56" i="6"/>
  <c r="I56" i="6"/>
  <c r="H56" i="6"/>
  <c r="G56" i="6"/>
  <c r="F56" i="6"/>
  <c r="E56" i="6"/>
  <c r="D56" i="6"/>
  <c r="C56" i="6"/>
  <c r="L55" i="6"/>
  <c r="K55" i="6"/>
  <c r="J55" i="6"/>
  <c r="I55" i="6"/>
  <c r="H55" i="6"/>
  <c r="G55" i="6"/>
  <c r="F55" i="6"/>
  <c r="E55" i="6"/>
  <c r="D55" i="6"/>
  <c r="C55" i="6"/>
  <c r="L54" i="6"/>
  <c r="K54" i="6"/>
  <c r="J54" i="6"/>
  <c r="I54" i="6"/>
  <c r="H54" i="6"/>
  <c r="G54" i="6"/>
  <c r="F54" i="6"/>
  <c r="E54" i="6"/>
  <c r="D54" i="6"/>
  <c r="C54" i="6"/>
  <c r="L53" i="6"/>
  <c r="L57" i="6" s="1"/>
  <c r="K53" i="6"/>
  <c r="K57" i="6" s="1"/>
  <c r="J53" i="6"/>
  <c r="J57" i="6" s="1"/>
  <c r="I53" i="6"/>
  <c r="I57" i="6" s="1"/>
  <c r="H53" i="6"/>
  <c r="H57" i="6" s="1"/>
  <c r="G53" i="6"/>
  <c r="G57" i="6" s="1"/>
  <c r="F53" i="6"/>
  <c r="F57" i="6" s="1"/>
  <c r="E53" i="6"/>
  <c r="E57" i="6" s="1"/>
  <c r="D53" i="6"/>
  <c r="D57" i="6" s="1"/>
  <c r="C53" i="6"/>
  <c r="C57" i="6" s="1"/>
  <c r="L51" i="6"/>
  <c r="K51" i="6"/>
  <c r="J51" i="6"/>
  <c r="I51" i="6"/>
  <c r="H51" i="6"/>
  <c r="G51" i="6"/>
  <c r="F51" i="6"/>
  <c r="E51" i="6"/>
  <c r="D51" i="6"/>
  <c r="C51" i="6"/>
  <c r="L50" i="6"/>
  <c r="K50" i="6"/>
  <c r="J50" i="6"/>
  <c r="I50" i="6"/>
  <c r="H50" i="6"/>
  <c r="G50" i="6"/>
  <c r="F50" i="6"/>
  <c r="E50" i="6"/>
  <c r="D50" i="6"/>
  <c r="C50" i="6"/>
  <c r="L49" i="6"/>
  <c r="K49" i="6"/>
  <c r="J49" i="6"/>
  <c r="I49" i="6"/>
  <c r="H49" i="6"/>
  <c r="G49" i="6"/>
  <c r="F49" i="6"/>
  <c r="E49" i="6"/>
  <c r="D49" i="6"/>
  <c r="C49" i="6"/>
  <c r="L48" i="6"/>
  <c r="K48" i="6"/>
  <c r="J48" i="6"/>
  <c r="I48" i="6"/>
  <c r="H48" i="6"/>
  <c r="G48" i="6"/>
  <c r="F48" i="6"/>
  <c r="E48" i="6"/>
  <c r="D48" i="6"/>
  <c r="C48" i="6"/>
  <c r="L47" i="6"/>
  <c r="K47" i="6"/>
  <c r="J47" i="6"/>
  <c r="I47" i="6"/>
  <c r="H47" i="6"/>
  <c r="G47" i="6"/>
  <c r="F47" i="6"/>
  <c r="E47" i="6"/>
  <c r="D47" i="6"/>
  <c r="C47" i="6"/>
  <c r="L36" i="6"/>
  <c r="K36" i="6"/>
  <c r="K41" i="6" s="1"/>
  <c r="J36" i="6"/>
  <c r="J41" i="6" s="1"/>
  <c r="I36" i="6"/>
  <c r="I41" i="6" s="1"/>
  <c r="H36" i="6"/>
  <c r="H41" i="6" s="1"/>
  <c r="G36" i="6"/>
  <c r="G41" i="6" s="1"/>
  <c r="F36" i="6"/>
  <c r="F41" i="6" s="1"/>
  <c r="E36" i="6"/>
  <c r="E41" i="6" s="1"/>
  <c r="D36" i="6"/>
  <c r="D41" i="6" s="1"/>
  <c r="C36" i="6"/>
  <c r="C41" i="6" s="1"/>
  <c r="L30" i="6"/>
  <c r="K30" i="6"/>
  <c r="J30" i="6"/>
  <c r="I30" i="6"/>
  <c r="H30" i="6"/>
  <c r="G30" i="6"/>
  <c r="F30" i="6"/>
  <c r="E30" i="6"/>
  <c r="D30" i="6"/>
  <c r="C30" i="6"/>
  <c r="L24" i="6"/>
  <c r="K24" i="6"/>
  <c r="J24" i="6"/>
  <c r="I24" i="6"/>
  <c r="H24" i="6"/>
  <c r="G24" i="6"/>
  <c r="F24" i="6"/>
  <c r="E24" i="6"/>
  <c r="D24" i="6"/>
  <c r="C24" i="6"/>
  <c r="L21" i="6"/>
  <c r="K21" i="6"/>
  <c r="J21" i="6"/>
  <c r="I21" i="6"/>
  <c r="H21" i="6"/>
  <c r="G21" i="6"/>
  <c r="F21" i="6"/>
  <c r="E21" i="6"/>
  <c r="D21" i="6"/>
  <c r="C21" i="6"/>
  <c r="L15" i="6"/>
  <c r="K15" i="6"/>
  <c r="J15" i="6"/>
  <c r="I15" i="6"/>
  <c r="H15" i="6"/>
  <c r="G15" i="6"/>
  <c r="F15" i="6"/>
  <c r="E15" i="6"/>
  <c r="D15" i="6"/>
  <c r="C15" i="6"/>
  <c r="L9" i="6"/>
  <c r="K9" i="6"/>
  <c r="J9" i="6"/>
  <c r="I9" i="6"/>
  <c r="H9" i="6"/>
  <c r="G9" i="6"/>
  <c r="F9" i="6"/>
  <c r="E9" i="6"/>
  <c r="D9" i="6"/>
  <c r="C9" i="6"/>
  <c r="L6" i="6"/>
  <c r="K6" i="6"/>
  <c r="J6" i="6"/>
  <c r="I6" i="6"/>
  <c r="H6" i="6"/>
  <c r="G6" i="6"/>
  <c r="F6" i="6"/>
  <c r="E6" i="6"/>
  <c r="D6" i="6"/>
  <c r="L3" i="6"/>
  <c r="K3" i="6"/>
  <c r="J3" i="6"/>
  <c r="I3" i="6"/>
  <c r="H3" i="6"/>
  <c r="G3" i="6"/>
  <c r="F3" i="6"/>
  <c r="E3" i="6"/>
  <c r="D3" i="6"/>
  <c r="C3" i="6"/>
  <c r="B2" i="6"/>
  <c r="K73" i="2"/>
  <c r="J73" i="2"/>
  <c r="I73" i="2"/>
  <c r="H73" i="2"/>
  <c r="K51" i="2"/>
  <c r="J51" i="2"/>
  <c r="I51" i="2"/>
  <c r="H51" i="2"/>
  <c r="G51" i="2"/>
  <c r="F51" i="2"/>
  <c r="E51" i="2"/>
  <c r="D51" i="2"/>
  <c r="C51" i="2"/>
  <c r="B51" i="2"/>
  <c r="K34" i="2"/>
  <c r="J34" i="2"/>
  <c r="I34" i="2"/>
  <c r="H34" i="2"/>
  <c r="G34" i="2"/>
  <c r="F34" i="2"/>
  <c r="E34" i="2"/>
  <c r="D34" i="2"/>
  <c r="C34" i="2"/>
  <c r="B34" i="2"/>
  <c r="K32" i="2"/>
  <c r="J32" i="2"/>
  <c r="I32" i="2"/>
  <c r="H32" i="2"/>
  <c r="G32" i="2"/>
  <c r="F32" i="2"/>
  <c r="E32" i="2"/>
  <c r="D32" i="2"/>
  <c r="C32" i="2"/>
  <c r="B32" i="2"/>
  <c r="K15" i="2"/>
  <c r="B15" i="2"/>
  <c r="B6" i="2"/>
  <c r="E43" i="10" s="1"/>
  <c r="E1" i="2"/>
  <c r="Q32" i="11"/>
  <c r="P32" i="11"/>
  <c r="O32" i="11"/>
  <c r="Q30" i="11"/>
  <c r="P30" i="11"/>
  <c r="O30" i="11"/>
  <c r="F18" i="11"/>
  <c r="F17" i="11"/>
  <c r="F16" i="11"/>
  <c r="F15" i="11"/>
  <c r="F14" i="11"/>
  <c r="F13" i="11"/>
  <c r="F12" i="11"/>
  <c r="F11" i="11"/>
  <c r="F10" i="11"/>
  <c r="F9" i="11"/>
  <c r="C107" i="14" l="1"/>
  <c r="C80" i="14"/>
  <c r="D107" i="14"/>
  <c r="D80" i="14"/>
  <c r="C67" i="14"/>
  <c r="C93" i="14"/>
  <c r="D93" i="14"/>
  <c r="D67" i="14"/>
  <c r="E57" i="14"/>
  <c r="F106" i="14" s="1"/>
  <c r="F108" i="14" s="1"/>
  <c r="F109" i="14" s="1"/>
  <c r="F110" i="14" s="1"/>
  <c r="F30" i="14" s="1"/>
  <c r="E106" i="14"/>
  <c r="E108" i="14" s="1"/>
  <c r="E109" i="14" s="1"/>
  <c r="E110" i="14" s="1"/>
  <c r="E30" i="14" s="1"/>
  <c r="D86" i="14"/>
  <c r="E85" i="14" s="1"/>
  <c r="C117" i="14"/>
  <c r="C81" i="14"/>
  <c r="D117" i="14"/>
  <c r="D81" i="14"/>
  <c r="D100" i="14"/>
  <c r="C109" i="14"/>
  <c r="C110" i="14" s="1"/>
  <c r="D109" i="14"/>
  <c r="D110" i="14" s="1"/>
  <c r="D50" i="14"/>
  <c r="D52" i="14" s="1"/>
  <c r="E55" i="14"/>
  <c r="D59" i="14"/>
  <c r="F57" i="14"/>
  <c r="G106" i="14" s="1"/>
  <c r="G108" i="14" s="1"/>
  <c r="G109" i="14" s="1"/>
  <c r="G110" i="14" s="1"/>
  <c r="G30" i="14" s="1"/>
  <c r="C32" i="14"/>
  <c r="D27" i="14"/>
  <c r="D29" i="14" s="1"/>
  <c r="D31" i="14" s="1"/>
  <c r="E4" i="14"/>
  <c r="E23" i="14"/>
  <c r="E92" i="14" s="1"/>
  <c r="F4" i="14"/>
  <c r="C75" i="12"/>
  <c r="D75" i="12"/>
  <c r="E75" i="12"/>
  <c r="F75" i="12"/>
  <c r="G75" i="12"/>
  <c r="H75" i="12"/>
  <c r="I75" i="12"/>
  <c r="C98" i="12"/>
  <c r="C101" i="12" s="1"/>
  <c r="C81" i="12"/>
  <c r="D98" i="12"/>
  <c r="D101" i="12" s="1"/>
  <c r="D81" i="12"/>
  <c r="E98" i="12"/>
  <c r="E101" i="12" s="1"/>
  <c r="E81" i="12"/>
  <c r="F98" i="12"/>
  <c r="F101" i="12" s="1"/>
  <c r="F81" i="12"/>
  <c r="G98" i="12"/>
  <c r="G101" i="12" s="1"/>
  <c r="G81" i="12"/>
  <c r="H98" i="12"/>
  <c r="H101" i="12" s="1"/>
  <c r="H81" i="12"/>
  <c r="I98" i="12"/>
  <c r="I101" i="12" s="1"/>
  <c r="I81" i="12"/>
  <c r="C92" i="12"/>
  <c r="C102" i="12" s="1"/>
  <c r="C83" i="12"/>
  <c r="C85" i="12" s="1"/>
  <c r="D92" i="12"/>
  <c r="D102" i="12" s="1"/>
  <c r="D83" i="12"/>
  <c r="D85" i="12" s="1"/>
  <c r="E92" i="12"/>
  <c r="E102" i="12" s="1"/>
  <c r="E83" i="12"/>
  <c r="E85" i="12" s="1"/>
  <c r="F92" i="12"/>
  <c r="F102" i="12" s="1"/>
  <c r="F83" i="12"/>
  <c r="F85" i="12" s="1"/>
  <c r="G92" i="12"/>
  <c r="G102" i="12" s="1"/>
  <c r="G83" i="12"/>
  <c r="G85" i="12" s="1"/>
  <c r="H92" i="12"/>
  <c r="H102" i="12" s="1"/>
  <c r="H83" i="12"/>
  <c r="H85" i="12" s="1"/>
  <c r="I92" i="12"/>
  <c r="I102" i="12" s="1"/>
  <c r="I83" i="12"/>
  <c r="I85" i="12" s="1"/>
  <c r="Q9" i="11"/>
  <c r="H9" i="11"/>
  <c r="Q10" i="11"/>
  <c r="H10" i="11"/>
  <c r="Q11" i="11"/>
  <c r="H11" i="11"/>
  <c r="Q12" i="11"/>
  <c r="H12" i="11"/>
  <c r="Q13" i="11"/>
  <c r="H13" i="11"/>
  <c r="Q14" i="11"/>
  <c r="H14" i="11"/>
  <c r="Q15" i="11"/>
  <c r="H15" i="11"/>
  <c r="Q16" i="11"/>
  <c r="H16" i="11"/>
  <c r="Q17" i="11"/>
  <c r="H17" i="11"/>
  <c r="Q18" i="11"/>
  <c r="H18" i="11"/>
  <c r="D31" i="7"/>
  <c r="D30" i="7"/>
  <c r="D29" i="7"/>
  <c r="D28" i="7"/>
  <c r="D27" i="7"/>
  <c r="C12" i="6"/>
  <c r="E31" i="7"/>
  <c r="E30" i="7"/>
  <c r="E29" i="7"/>
  <c r="E36" i="7" s="1"/>
  <c r="E28" i="7"/>
  <c r="E35" i="7" s="1"/>
  <c r="E27" i="7"/>
  <c r="E34" i="7" s="1"/>
  <c r="E37" i="7" s="1"/>
  <c r="D12" i="6"/>
  <c r="D7" i="6"/>
  <c r="E5" i="7" s="1"/>
  <c r="F31" i="7"/>
  <c r="F30" i="7"/>
  <c r="F29" i="7"/>
  <c r="F36" i="7" s="1"/>
  <c r="F28" i="7"/>
  <c r="F35" i="7" s="1"/>
  <c r="F27" i="7"/>
  <c r="F34" i="7" s="1"/>
  <c r="F37" i="7" s="1"/>
  <c r="E12" i="6"/>
  <c r="E7" i="6"/>
  <c r="F5" i="7" s="1"/>
  <c r="G31" i="7"/>
  <c r="G30" i="7"/>
  <c r="G29" i="7"/>
  <c r="G36" i="7" s="1"/>
  <c r="G28" i="7"/>
  <c r="G35" i="7" s="1"/>
  <c r="G27" i="7"/>
  <c r="G34" i="7" s="1"/>
  <c r="G37" i="7" s="1"/>
  <c r="F12" i="6"/>
  <c r="F7" i="6"/>
  <c r="G5" i="7" s="1"/>
  <c r="H31" i="7"/>
  <c r="H30" i="7"/>
  <c r="H29" i="7"/>
  <c r="H36" i="7" s="1"/>
  <c r="H28" i="7"/>
  <c r="H35" i="7" s="1"/>
  <c r="H27" i="7"/>
  <c r="H34" i="7" s="1"/>
  <c r="H37" i="7" s="1"/>
  <c r="G12" i="6"/>
  <c r="G7" i="6"/>
  <c r="H5" i="7" s="1"/>
  <c r="I31" i="7"/>
  <c r="I30" i="7"/>
  <c r="I29" i="7"/>
  <c r="I36" i="7" s="1"/>
  <c r="I28" i="7"/>
  <c r="I35" i="7" s="1"/>
  <c r="I27" i="7"/>
  <c r="I34" i="7" s="1"/>
  <c r="I37" i="7" s="1"/>
  <c r="H12" i="6"/>
  <c r="H7" i="6"/>
  <c r="I5" i="7" s="1"/>
  <c r="J31" i="7"/>
  <c r="J30" i="7"/>
  <c r="J29" i="7"/>
  <c r="J36" i="7" s="1"/>
  <c r="J28" i="7"/>
  <c r="J35" i="7" s="1"/>
  <c r="J27" i="7"/>
  <c r="J34" i="7" s="1"/>
  <c r="J37" i="7" s="1"/>
  <c r="I12" i="6"/>
  <c r="I7" i="6"/>
  <c r="J5" i="7" s="1"/>
  <c r="K31" i="7"/>
  <c r="K30" i="7"/>
  <c r="K29" i="7"/>
  <c r="K36" i="7" s="1"/>
  <c r="K28" i="7"/>
  <c r="K35" i="7" s="1"/>
  <c r="K27" i="7"/>
  <c r="K34" i="7" s="1"/>
  <c r="K37" i="7" s="1"/>
  <c r="J12" i="6"/>
  <c r="J7" i="6"/>
  <c r="K5" i="7" s="1"/>
  <c r="L31" i="7"/>
  <c r="L30" i="7"/>
  <c r="L29" i="7"/>
  <c r="L36" i="7" s="1"/>
  <c r="L28" i="7"/>
  <c r="L35" i="7" s="1"/>
  <c r="L27" i="7"/>
  <c r="L34" i="7" s="1"/>
  <c r="L37" i="7" s="1"/>
  <c r="K12" i="6"/>
  <c r="K7" i="6"/>
  <c r="L5" i="7" s="1"/>
  <c r="M31" i="7"/>
  <c r="M30" i="7"/>
  <c r="M29" i="7"/>
  <c r="M36" i="7" s="1"/>
  <c r="M28" i="7"/>
  <c r="M35" i="7" s="1"/>
  <c r="M27" i="7"/>
  <c r="M34" i="7" s="1"/>
  <c r="M37" i="7" s="1"/>
  <c r="L12" i="6"/>
  <c r="L7" i="6"/>
  <c r="M5" i="7" s="1"/>
  <c r="C10" i="6"/>
  <c r="D17" i="7" s="1"/>
  <c r="D10" i="6"/>
  <c r="E17" i="7" s="1"/>
  <c r="E10" i="6"/>
  <c r="F17" i="7" s="1"/>
  <c r="F10" i="6"/>
  <c r="G17" i="7" s="1"/>
  <c r="G10" i="6"/>
  <c r="H17" i="7" s="1"/>
  <c r="H10" i="6"/>
  <c r="I17" i="7" s="1"/>
  <c r="I10" i="6"/>
  <c r="J17" i="7" s="1"/>
  <c r="J10" i="6"/>
  <c r="K17" i="7" s="1"/>
  <c r="K10" i="6"/>
  <c r="L17" i="7" s="1"/>
  <c r="L10" i="6"/>
  <c r="M17" i="7" s="1"/>
  <c r="C16" i="6"/>
  <c r="D16" i="6"/>
  <c r="E16" i="6"/>
  <c r="F16" i="6"/>
  <c r="G16" i="6"/>
  <c r="H16" i="6"/>
  <c r="I16" i="6"/>
  <c r="J16" i="6"/>
  <c r="K16" i="6"/>
  <c r="L16" i="6"/>
  <c r="C22" i="6"/>
  <c r="D22" i="6"/>
  <c r="E22" i="6"/>
  <c r="F22" i="6"/>
  <c r="G22" i="6"/>
  <c r="H22" i="6"/>
  <c r="I22" i="6"/>
  <c r="J22" i="6"/>
  <c r="K22" i="6"/>
  <c r="L22" i="6"/>
  <c r="C25" i="6"/>
  <c r="D18" i="7" s="1"/>
  <c r="D25" i="6"/>
  <c r="E18" i="7" s="1"/>
  <c r="E25" i="6"/>
  <c r="F18" i="7" s="1"/>
  <c r="F25" i="6"/>
  <c r="G18" i="7" s="1"/>
  <c r="G25" i="6"/>
  <c r="H18" i="7" s="1"/>
  <c r="H25" i="6"/>
  <c r="I18" i="7" s="1"/>
  <c r="I25" i="6"/>
  <c r="J18" i="7" s="1"/>
  <c r="J25" i="6"/>
  <c r="K18" i="7" s="1"/>
  <c r="K25" i="6"/>
  <c r="L18" i="7" s="1"/>
  <c r="L25" i="6"/>
  <c r="M18" i="7" s="1"/>
  <c r="E9" i="7"/>
  <c r="F9" i="7"/>
  <c r="G9" i="7"/>
  <c r="H9" i="7"/>
  <c r="I9" i="7"/>
  <c r="J9" i="7"/>
  <c r="K9" i="7"/>
  <c r="L9" i="7"/>
  <c r="L41" i="6"/>
  <c r="C64" i="6"/>
  <c r="C66" i="6" s="1"/>
  <c r="D64" i="6"/>
  <c r="D66" i="6" s="1"/>
  <c r="E64" i="6"/>
  <c r="E66" i="6" s="1"/>
  <c r="F64" i="6"/>
  <c r="F66" i="6" s="1"/>
  <c r="G64" i="6"/>
  <c r="G66" i="6" s="1"/>
  <c r="H64" i="6"/>
  <c r="H66" i="6" s="1"/>
  <c r="I64" i="6"/>
  <c r="I66" i="6" s="1"/>
  <c r="J64" i="6"/>
  <c r="J66" i="6" s="1"/>
  <c r="K64" i="6"/>
  <c r="K66" i="6" s="1"/>
  <c r="L64" i="6"/>
  <c r="L66" i="6" s="1"/>
  <c r="D41" i="7"/>
  <c r="D40" i="7"/>
  <c r="D39" i="7"/>
  <c r="C97" i="6"/>
  <c r="E41" i="7"/>
  <c r="E40" i="7"/>
  <c r="E39" i="7"/>
  <c r="D97" i="6"/>
  <c r="F41" i="7"/>
  <c r="F40" i="7"/>
  <c r="F39" i="7"/>
  <c r="E97" i="6"/>
  <c r="G41" i="7"/>
  <c r="G40" i="7"/>
  <c r="G39" i="7"/>
  <c r="F97" i="6"/>
  <c r="H41" i="7"/>
  <c r="H40" i="7"/>
  <c r="H39" i="7"/>
  <c r="G97" i="6"/>
  <c r="I41" i="7"/>
  <c r="I40" i="7"/>
  <c r="I39" i="7"/>
  <c r="H97" i="6"/>
  <c r="J41" i="7"/>
  <c r="J40" i="7"/>
  <c r="J39" i="7"/>
  <c r="I97" i="6"/>
  <c r="K41" i="7"/>
  <c r="K40" i="7"/>
  <c r="K39" i="7"/>
  <c r="J97" i="6"/>
  <c r="L41" i="7"/>
  <c r="L40" i="7"/>
  <c r="L39" i="7"/>
  <c r="K97" i="6"/>
  <c r="M41" i="7"/>
  <c r="M40" i="7"/>
  <c r="M39" i="7"/>
  <c r="L97" i="6"/>
  <c r="G17" i="8"/>
  <c r="G16" i="8"/>
  <c r="J10" i="8"/>
  <c r="H17" i="8"/>
  <c r="H16" i="8"/>
  <c r="E31" i="8" s="1"/>
  <c r="C33" i="8"/>
  <c r="D33" i="8" s="1"/>
  <c r="E33" i="8" s="1"/>
  <c r="E32" i="8" s="1"/>
  <c r="J39" i="8" s="1"/>
  <c r="D31" i="8"/>
  <c r="D32" i="8"/>
  <c r="G46" i="9"/>
  <c r="H46" i="9"/>
  <c r="I46" i="9"/>
  <c r="J46" i="9"/>
  <c r="F35" i="9"/>
  <c r="G35" i="9"/>
  <c r="H35" i="9"/>
  <c r="I35" i="9"/>
  <c r="J35" i="9"/>
  <c r="G50" i="9"/>
  <c r="H50" i="9"/>
  <c r="I50" i="9"/>
  <c r="J50" i="9"/>
  <c r="E73" i="14" l="1"/>
  <c r="D61" i="14"/>
  <c r="E28" i="14"/>
  <c r="E58" i="14"/>
  <c r="E47" i="14"/>
  <c r="E44" i="14"/>
  <c r="E43" i="14"/>
  <c r="E42" i="14"/>
  <c r="G57" i="14"/>
  <c r="H106" i="14" s="1"/>
  <c r="H108" i="14" s="1"/>
  <c r="H109" i="14" s="1"/>
  <c r="H110" i="14" s="1"/>
  <c r="H30" i="14" s="1"/>
  <c r="F55" i="14"/>
  <c r="C33" i="14"/>
  <c r="D32" i="14"/>
  <c r="E26" i="14"/>
  <c r="E24" i="14"/>
  <c r="E25" i="14" s="1"/>
  <c r="F23" i="14"/>
  <c r="F92" i="14" s="1"/>
  <c r="F73" i="14" s="1"/>
  <c r="G4" i="14"/>
  <c r="I103" i="12"/>
  <c r="H103" i="12"/>
  <c r="G103" i="12"/>
  <c r="F103" i="12"/>
  <c r="E103" i="12"/>
  <c r="D103" i="12"/>
  <c r="C103" i="12"/>
  <c r="I91" i="12"/>
  <c r="I77" i="12"/>
  <c r="I87" i="12" s="1"/>
  <c r="H91" i="12"/>
  <c r="H77" i="12"/>
  <c r="H87" i="12" s="1"/>
  <c r="G91" i="12"/>
  <c r="G77" i="12"/>
  <c r="G87" i="12" s="1"/>
  <c r="F91" i="12"/>
  <c r="F77" i="12"/>
  <c r="F87" i="12" s="1"/>
  <c r="E91" i="12"/>
  <c r="E77" i="12"/>
  <c r="E87" i="12" s="1"/>
  <c r="D91" i="12"/>
  <c r="D77" i="12"/>
  <c r="D87" i="12" s="1"/>
  <c r="C91" i="12"/>
  <c r="C77" i="12"/>
  <c r="C87" i="12" s="1"/>
  <c r="D35" i="8"/>
  <c r="J38" i="8"/>
  <c r="E35" i="8"/>
  <c r="J31" i="8" s="1"/>
  <c r="J17" i="8"/>
  <c r="J30" i="8" s="1"/>
  <c r="J33" i="8" s="1"/>
  <c r="J24" i="8" s="1"/>
  <c r="J25" i="8" s="1"/>
  <c r="I39" i="8" s="1"/>
  <c r="J16" i="8"/>
  <c r="P39" i="7"/>
  <c r="O39" i="7"/>
  <c r="P40" i="7"/>
  <c r="O40" i="7"/>
  <c r="P41" i="7"/>
  <c r="O41" i="7"/>
  <c r="M9" i="7"/>
  <c r="P9" i="7"/>
  <c r="O9" i="7"/>
  <c r="P18" i="7"/>
  <c r="O18" i="7"/>
  <c r="P17" i="7"/>
  <c r="O17" i="7"/>
  <c r="L18" i="6"/>
  <c r="L13" i="6"/>
  <c r="M11" i="7" s="1"/>
  <c r="K18" i="6"/>
  <c r="K13" i="6"/>
  <c r="L11" i="7" s="1"/>
  <c r="J18" i="6"/>
  <c r="J13" i="6"/>
  <c r="K11" i="7" s="1"/>
  <c r="I18" i="6"/>
  <c r="I13" i="6"/>
  <c r="J11" i="7" s="1"/>
  <c r="H18" i="6"/>
  <c r="H13" i="6"/>
  <c r="I11" i="7" s="1"/>
  <c r="G18" i="6"/>
  <c r="G13" i="6"/>
  <c r="H11" i="7" s="1"/>
  <c r="F18" i="6"/>
  <c r="F13" i="6"/>
  <c r="G11" i="7" s="1"/>
  <c r="E18" i="6"/>
  <c r="E13" i="6"/>
  <c r="F11" i="7" s="1"/>
  <c r="P5" i="7"/>
  <c r="O5" i="7"/>
  <c r="D18" i="6"/>
  <c r="D13" i="6"/>
  <c r="E11" i="7" s="1"/>
  <c r="C18" i="6"/>
  <c r="C13" i="6"/>
  <c r="D11" i="7" s="1"/>
  <c r="D34" i="7"/>
  <c r="P27" i="7"/>
  <c r="O27" i="7"/>
  <c r="D35" i="7"/>
  <c r="P28" i="7"/>
  <c r="O28" i="7"/>
  <c r="D36" i="7"/>
  <c r="P29" i="7"/>
  <c r="O29" i="7"/>
  <c r="P30" i="7"/>
  <c r="O30" i="7"/>
  <c r="P31" i="7"/>
  <c r="O31" i="7"/>
  <c r="P18" i="11"/>
  <c r="O18" i="11"/>
  <c r="P17" i="11"/>
  <c r="O17" i="11"/>
  <c r="P16" i="11"/>
  <c r="O16" i="11"/>
  <c r="P15" i="11"/>
  <c r="O15" i="11"/>
  <c r="P14" i="11"/>
  <c r="O14" i="11"/>
  <c r="P13" i="11"/>
  <c r="O13" i="11"/>
  <c r="P12" i="11"/>
  <c r="O12" i="11"/>
  <c r="P11" i="11"/>
  <c r="O11" i="11"/>
  <c r="P10" i="11"/>
  <c r="O10" i="11"/>
  <c r="Q25" i="11"/>
  <c r="Q24" i="11"/>
  <c r="Q23" i="11"/>
  <c r="Q31" i="11" s="1"/>
  <c r="Q22" i="11"/>
  <c r="Q21" i="11"/>
  <c r="Q20" i="11"/>
  <c r="P9" i="11"/>
  <c r="O9" i="11"/>
  <c r="C66" i="14" l="1"/>
  <c r="C116" i="14" s="1"/>
  <c r="C35" i="14"/>
  <c r="E75" i="14"/>
  <c r="E74" i="14"/>
  <c r="E76" i="14"/>
  <c r="E98" i="14"/>
  <c r="E68" i="14"/>
  <c r="E101" i="14" s="1"/>
  <c r="E99" i="14"/>
  <c r="E69" i="14"/>
  <c r="E102" i="14" s="1"/>
  <c r="E93" i="14"/>
  <c r="E94" i="14" s="1"/>
  <c r="E67" i="14"/>
  <c r="E77" i="14"/>
  <c r="F58" i="14"/>
  <c r="F47" i="14"/>
  <c r="F43" i="14"/>
  <c r="F44" i="14"/>
  <c r="F42" i="14"/>
  <c r="G55" i="14"/>
  <c r="H57" i="14"/>
  <c r="I106" i="14" s="1"/>
  <c r="I108" i="14" s="1"/>
  <c r="I109" i="14" s="1"/>
  <c r="I110" i="14" s="1"/>
  <c r="I30" i="14" s="1"/>
  <c r="D33" i="14"/>
  <c r="F26" i="14"/>
  <c r="F28" i="14"/>
  <c r="E27" i="14"/>
  <c r="E29" i="14" s="1"/>
  <c r="E31" i="14" s="1"/>
  <c r="F24" i="14"/>
  <c r="F25" i="14"/>
  <c r="G23" i="14"/>
  <c r="G92" i="14" s="1"/>
  <c r="G73" i="14" s="1"/>
  <c r="H4" i="14"/>
  <c r="C97" i="12"/>
  <c r="C99" i="12" s="1"/>
  <c r="C93" i="12"/>
  <c r="D97" i="12"/>
  <c r="D99" i="12" s="1"/>
  <c r="D93" i="12"/>
  <c r="E97" i="12"/>
  <c r="E99" i="12" s="1"/>
  <c r="E93" i="12"/>
  <c r="F97" i="12"/>
  <c r="F99" i="12" s="1"/>
  <c r="F93" i="12"/>
  <c r="G97" i="12"/>
  <c r="G99" i="12" s="1"/>
  <c r="G93" i="12"/>
  <c r="H97" i="12"/>
  <c r="H99" i="12" s="1"/>
  <c r="H93" i="12"/>
  <c r="I97" i="12"/>
  <c r="I99" i="12" s="1"/>
  <c r="I93" i="12"/>
  <c r="C105" i="12"/>
  <c r="D105" i="12"/>
  <c r="E105" i="12"/>
  <c r="F105" i="12"/>
  <c r="G105" i="12"/>
  <c r="H105" i="12"/>
  <c r="I105" i="12"/>
  <c r="Q34" i="11"/>
  <c r="Q37" i="11" s="1"/>
  <c r="Q29" i="11"/>
  <c r="O25" i="11"/>
  <c r="O24" i="11"/>
  <c r="O23" i="11"/>
  <c r="O29" i="11" s="1"/>
  <c r="O31" i="11" s="1"/>
  <c r="O34" i="11" s="1"/>
  <c r="O37" i="11" s="1"/>
  <c r="O22" i="11"/>
  <c r="O21" i="11"/>
  <c r="O20" i="11"/>
  <c r="P25" i="11"/>
  <c r="P24" i="11"/>
  <c r="P23" i="11"/>
  <c r="P29" i="11" s="1"/>
  <c r="P31" i="11" s="1"/>
  <c r="P34" i="11" s="1"/>
  <c r="P37" i="11" s="1"/>
  <c r="P22" i="11"/>
  <c r="P21" i="11"/>
  <c r="P20" i="11"/>
  <c r="P36" i="7"/>
  <c r="O36" i="7"/>
  <c r="P35" i="7"/>
  <c r="O35" i="7"/>
  <c r="D37" i="7"/>
  <c r="P34" i="7"/>
  <c r="O34" i="7"/>
  <c r="P11" i="7"/>
  <c r="O11" i="7"/>
  <c r="D25" i="7"/>
  <c r="D21" i="7"/>
  <c r="D13" i="7"/>
  <c r="C27" i="6"/>
  <c r="C19" i="6"/>
  <c r="D12" i="7" s="1"/>
  <c r="E25" i="7"/>
  <c r="E21" i="7"/>
  <c r="E13" i="7"/>
  <c r="E19" i="7" s="1"/>
  <c r="E6" i="7"/>
  <c r="D27" i="6"/>
  <c r="D19" i="6"/>
  <c r="E12" i="7" s="1"/>
  <c r="F25" i="7"/>
  <c r="F21" i="7"/>
  <c r="F13" i="7"/>
  <c r="F19" i="7" s="1"/>
  <c r="F6" i="7"/>
  <c r="E27" i="6"/>
  <c r="E19" i="6"/>
  <c r="F12" i="7" s="1"/>
  <c r="G25" i="7"/>
  <c r="G21" i="7"/>
  <c r="G13" i="7"/>
  <c r="G19" i="7" s="1"/>
  <c r="G6" i="7"/>
  <c r="F27" i="6"/>
  <c r="F19" i="6"/>
  <c r="G12" i="7" s="1"/>
  <c r="H25" i="7"/>
  <c r="H21" i="7"/>
  <c r="H13" i="7"/>
  <c r="H19" i="7" s="1"/>
  <c r="H6" i="7"/>
  <c r="G27" i="6"/>
  <c r="G19" i="6"/>
  <c r="H12" i="7" s="1"/>
  <c r="I25" i="7"/>
  <c r="I21" i="7"/>
  <c r="I13" i="7"/>
  <c r="I19" i="7" s="1"/>
  <c r="I6" i="7"/>
  <c r="H27" i="6"/>
  <c r="H19" i="6"/>
  <c r="I12" i="7" s="1"/>
  <c r="J25" i="7"/>
  <c r="J21" i="7"/>
  <c r="J13" i="7"/>
  <c r="J19" i="7" s="1"/>
  <c r="J6" i="7"/>
  <c r="I27" i="6"/>
  <c r="I19" i="6"/>
  <c r="J12" i="7" s="1"/>
  <c r="K25" i="7"/>
  <c r="K21" i="7"/>
  <c r="K13" i="7"/>
  <c r="K19" i="7" s="1"/>
  <c r="K6" i="7"/>
  <c r="J27" i="6"/>
  <c r="J19" i="6"/>
  <c r="K12" i="7" s="1"/>
  <c r="L25" i="7"/>
  <c r="L21" i="7"/>
  <c r="L13" i="7"/>
  <c r="L19" i="7" s="1"/>
  <c r="L6" i="7"/>
  <c r="K27" i="6"/>
  <c r="K19" i="6"/>
  <c r="L12" i="7" s="1"/>
  <c r="M25" i="7"/>
  <c r="M21" i="7"/>
  <c r="M13" i="7"/>
  <c r="M19" i="7" s="1"/>
  <c r="M6" i="7"/>
  <c r="L27" i="6"/>
  <c r="L19" i="6"/>
  <c r="M12" i="7" s="1"/>
  <c r="F93" i="14" l="1"/>
  <c r="F67" i="14"/>
  <c r="D35" i="14"/>
  <c r="D66" i="14"/>
  <c r="D116" i="14" s="1"/>
  <c r="F75" i="14"/>
  <c r="F76" i="14"/>
  <c r="F74" i="14"/>
  <c r="F77" i="14" s="1"/>
  <c r="F98" i="14"/>
  <c r="F68" i="14"/>
  <c r="F101" i="14" s="1"/>
  <c r="F99" i="14"/>
  <c r="F69" i="14"/>
  <c r="F102" i="14" s="1"/>
  <c r="E41" i="14"/>
  <c r="E45" i="14" s="1"/>
  <c r="F91" i="14"/>
  <c r="F94" i="14" s="1"/>
  <c r="E100" i="14"/>
  <c r="G58" i="14"/>
  <c r="G47" i="14"/>
  <c r="G43" i="14"/>
  <c r="G44" i="14"/>
  <c r="G42" i="14"/>
  <c r="I57" i="14"/>
  <c r="H55" i="14"/>
  <c r="G26" i="14"/>
  <c r="G28" i="14"/>
  <c r="E32" i="14"/>
  <c r="F27" i="14"/>
  <c r="F29" i="14" s="1"/>
  <c r="F31" i="14" s="1"/>
  <c r="I4" i="14"/>
  <c r="G24" i="14"/>
  <c r="G25" i="14"/>
  <c r="H23" i="14"/>
  <c r="H92" i="14" s="1"/>
  <c r="H73" i="14" s="1"/>
  <c r="F5" i="10"/>
  <c r="J36" i="9"/>
  <c r="J38" i="9" s="1"/>
  <c r="M7" i="7"/>
  <c r="L33" i="6"/>
  <c r="L28" i="6"/>
  <c r="M14" i="7" s="1"/>
  <c r="L31" i="6"/>
  <c r="I36" i="9"/>
  <c r="I38" i="9" s="1"/>
  <c r="L7" i="7"/>
  <c r="K33" i="6"/>
  <c r="K28" i="6"/>
  <c r="L14" i="7" s="1"/>
  <c r="K31" i="6"/>
  <c r="H36" i="9"/>
  <c r="H38" i="9" s="1"/>
  <c r="K7" i="7"/>
  <c r="J33" i="6"/>
  <c r="J28" i="6"/>
  <c r="K14" i="7" s="1"/>
  <c r="J31" i="6"/>
  <c r="G36" i="9"/>
  <c r="G38" i="9" s="1"/>
  <c r="J7" i="7"/>
  <c r="I33" i="6"/>
  <c r="I28" i="6"/>
  <c r="J14" i="7" s="1"/>
  <c r="I31" i="6"/>
  <c r="F36" i="9"/>
  <c r="F38" i="9" s="1"/>
  <c r="I7" i="7"/>
  <c r="H33" i="6"/>
  <c r="H28" i="6"/>
  <c r="I14" i="7" s="1"/>
  <c r="H31" i="6"/>
  <c r="H7" i="7"/>
  <c r="G33" i="6"/>
  <c r="G28" i="6"/>
  <c r="H14" i="7" s="1"/>
  <c r="G31" i="6"/>
  <c r="G7" i="7"/>
  <c r="F33" i="6"/>
  <c r="F28" i="6"/>
  <c r="G14" i="7" s="1"/>
  <c r="F31" i="6"/>
  <c r="F7" i="7"/>
  <c r="E33" i="6"/>
  <c r="E28" i="6"/>
  <c r="F14" i="7" s="1"/>
  <c r="E31" i="6"/>
  <c r="E7" i="7"/>
  <c r="D33" i="6"/>
  <c r="D28" i="6"/>
  <c r="E14" i="7" s="1"/>
  <c r="D31" i="6"/>
  <c r="P6" i="7"/>
  <c r="O6" i="7"/>
  <c r="P12" i="7"/>
  <c r="O12" i="7"/>
  <c r="C33" i="6"/>
  <c r="C28" i="6"/>
  <c r="D14" i="7" s="1"/>
  <c r="C31" i="6"/>
  <c r="D19" i="7"/>
  <c r="P13" i="7"/>
  <c r="O13" i="7"/>
  <c r="P21" i="7"/>
  <c r="O21" i="7"/>
  <c r="P25" i="7"/>
  <c r="O25" i="7"/>
  <c r="P37" i="7"/>
  <c r="O37" i="7"/>
  <c r="G93" i="14" l="1"/>
  <c r="G67" i="14"/>
  <c r="G75" i="14"/>
  <c r="G76" i="14"/>
  <c r="G74" i="14"/>
  <c r="G77" i="14" s="1"/>
  <c r="G98" i="14"/>
  <c r="G68" i="14"/>
  <c r="G101" i="14" s="1"/>
  <c r="G99" i="14"/>
  <c r="G69" i="14"/>
  <c r="G102" i="14" s="1"/>
  <c r="G91" i="14"/>
  <c r="G94" i="14" s="1"/>
  <c r="F41" i="14"/>
  <c r="F45" i="14" s="1"/>
  <c r="F100" i="14"/>
  <c r="H58" i="14"/>
  <c r="H47" i="14"/>
  <c r="H43" i="14"/>
  <c r="H44" i="14"/>
  <c r="H42" i="14"/>
  <c r="I55" i="14"/>
  <c r="E33" i="14"/>
  <c r="H26" i="14"/>
  <c r="H28" i="14"/>
  <c r="F32" i="14"/>
  <c r="G27" i="14"/>
  <c r="G29" i="14" s="1"/>
  <c r="G31" i="14" s="1"/>
  <c r="H24" i="14"/>
  <c r="H25" i="14"/>
  <c r="I23" i="14"/>
  <c r="I92" i="14" s="1"/>
  <c r="I73" i="14" s="1"/>
  <c r="P19" i="7"/>
  <c r="O19" i="7"/>
  <c r="P14" i="7"/>
  <c r="O14" i="7"/>
  <c r="D23" i="7"/>
  <c r="C38" i="6"/>
  <c r="C34" i="6"/>
  <c r="D15" i="7" s="1"/>
  <c r="E23" i="7"/>
  <c r="E8" i="7"/>
  <c r="D38" i="6"/>
  <c r="D34" i="6"/>
  <c r="E15" i="7" s="1"/>
  <c r="P7" i="7"/>
  <c r="O7" i="7"/>
  <c r="F23" i="7"/>
  <c r="F8" i="7"/>
  <c r="E38" i="6"/>
  <c r="E34" i="6"/>
  <c r="F15" i="7" s="1"/>
  <c r="G23" i="7"/>
  <c r="G8" i="7"/>
  <c r="F38" i="6"/>
  <c r="F34" i="6"/>
  <c r="G15" i="7" s="1"/>
  <c r="H23" i="7"/>
  <c r="H8" i="7"/>
  <c r="G38" i="6"/>
  <c r="G34" i="6"/>
  <c r="H15" i="7" s="1"/>
  <c r="I23" i="7"/>
  <c r="I8" i="7"/>
  <c r="H38" i="6"/>
  <c r="H34" i="6"/>
  <c r="I15" i="7" s="1"/>
  <c r="F48" i="9"/>
  <c r="F40" i="9"/>
  <c r="J23" i="7"/>
  <c r="J8" i="7"/>
  <c r="I38" i="6"/>
  <c r="I34" i="6"/>
  <c r="J15" i="7" s="1"/>
  <c r="G48" i="9"/>
  <c r="G52" i="9" s="1"/>
  <c r="G40" i="9"/>
  <c r="G61" i="9" s="1"/>
  <c r="K23" i="7"/>
  <c r="K8" i="7"/>
  <c r="J38" i="6"/>
  <c r="J34" i="6"/>
  <c r="K15" i="7" s="1"/>
  <c r="H48" i="9"/>
  <c r="H52" i="9" s="1"/>
  <c r="H60" i="9" s="1"/>
  <c r="H40" i="9"/>
  <c r="H61" i="9" s="1"/>
  <c r="H63" i="9" s="1"/>
  <c r="L23" i="7"/>
  <c r="L8" i="7"/>
  <c r="K38" i="6"/>
  <c r="K34" i="6"/>
  <c r="L15" i="7" s="1"/>
  <c r="I48" i="9"/>
  <c r="I52" i="9" s="1"/>
  <c r="I60" i="9" s="1"/>
  <c r="I40" i="9"/>
  <c r="I61" i="9" s="1"/>
  <c r="I63" i="9" s="1"/>
  <c r="M23" i="7"/>
  <c r="M8" i="7"/>
  <c r="L38" i="6"/>
  <c r="L34" i="6"/>
  <c r="M15" i="7" s="1"/>
  <c r="J48" i="9"/>
  <c r="J52" i="9" s="1"/>
  <c r="J60" i="9" s="1"/>
  <c r="J40" i="9"/>
  <c r="J61" i="9" s="1"/>
  <c r="J63" i="9" s="1"/>
  <c r="F9" i="10"/>
  <c r="H93" i="14" l="1"/>
  <c r="H67" i="14"/>
  <c r="H75" i="14"/>
  <c r="H76" i="14"/>
  <c r="H74" i="14"/>
  <c r="H77" i="14" s="1"/>
  <c r="H98" i="14"/>
  <c r="H68" i="14"/>
  <c r="H101" i="14" s="1"/>
  <c r="H99" i="14"/>
  <c r="H69" i="14"/>
  <c r="H102" i="14" s="1"/>
  <c r="H91" i="14"/>
  <c r="H94" i="14" s="1"/>
  <c r="G41" i="14"/>
  <c r="G45" i="14" s="1"/>
  <c r="G100" i="14"/>
  <c r="E34" i="14"/>
  <c r="E117" i="14" s="1"/>
  <c r="E66" i="14"/>
  <c r="I58" i="14"/>
  <c r="I47" i="14"/>
  <c r="I43" i="14"/>
  <c r="I74" i="14" s="1"/>
  <c r="I44" i="14"/>
  <c r="I76" i="14" s="1"/>
  <c r="I42" i="14"/>
  <c r="F33" i="14"/>
  <c r="I26" i="14"/>
  <c r="I28" i="14"/>
  <c r="G32" i="14"/>
  <c r="H27" i="14"/>
  <c r="H29" i="14" s="1"/>
  <c r="H31" i="14" s="1"/>
  <c r="I24" i="14"/>
  <c r="I25" i="14"/>
  <c r="L39" i="6"/>
  <c r="L42" i="6"/>
  <c r="L44" i="6" s="1"/>
  <c r="M22" i="7" s="1"/>
  <c r="M24" i="7" s="1"/>
  <c r="K39" i="6"/>
  <c r="K42" i="6"/>
  <c r="K44" i="6" s="1"/>
  <c r="L22" i="7" s="1"/>
  <c r="L24" i="7" s="1"/>
  <c r="J39" i="6"/>
  <c r="J42" i="6"/>
  <c r="J44" i="6" s="1"/>
  <c r="K22" i="7" s="1"/>
  <c r="K24" i="7" s="1"/>
  <c r="G60" i="9"/>
  <c r="G63" i="9" s="1"/>
  <c r="J55" i="9"/>
  <c r="F11" i="10" s="1"/>
  <c r="J54" i="9"/>
  <c r="I39" i="6"/>
  <c r="I42" i="6"/>
  <c r="I44" i="6" s="1"/>
  <c r="J22" i="7" s="1"/>
  <c r="J24" i="7" s="1"/>
  <c r="H39" i="6"/>
  <c r="H42" i="6"/>
  <c r="H44" i="6" s="1"/>
  <c r="I22" i="7" s="1"/>
  <c r="I24" i="7" s="1"/>
  <c r="G39" i="6"/>
  <c r="G42" i="6"/>
  <c r="G44" i="6" s="1"/>
  <c r="H22" i="7" s="1"/>
  <c r="H24" i="7" s="1"/>
  <c r="F39" i="6"/>
  <c r="F42" i="6"/>
  <c r="F44" i="6" s="1"/>
  <c r="G22" i="7" s="1"/>
  <c r="G24" i="7" s="1"/>
  <c r="E39" i="6"/>
  <c r="E42" i="6"/>
  <c r="E44" i="6" s="1"/>
  <c r="F22" i="7" s="1"/>
  <c r="F24" i="7" s="1"/>
  <c r="D39" i="6"/>
  <c r="D42" i="6"/>
  <c r="D44" i="6" s="1"/>
  <c r="E22" i="7" s="1"/>
  <c r="E24" i="7" s="1"/>
  <c r="P8" i="7"/>
  <c r="O8" i="7"/>
  <c r="P15" i="7"/>
  <c r="O15" i="7"/>
  <c r="C42" i="6"/>
  <c r="C44" i="6" s="1"/>
  <c r="D22" i="7" s="1"/>
  <c r="P23" i="7"/>
  <c r="O23" i="7"/>
  <c r="I93" i="14" l="1"/>
  <c r="I67" i="14"/>
  <c r="I75" i="14"/>
  <c r="I77" i="14"/>
  <c r="I98" i="14"/>
  <c r="I68" i="14"/>
  <c r="I101" i="14" s="1"/>
  <c r="I99" i="14"/>
  <c r="I69" i="14"/>
  <c r="I102" i="14" s="1"/>
  <c r="E70" i="14"/>
  <c r="E116" i="14"/>
  <c r="E118" i="14" s="1"/>
  <c r="I91" i="14"/>
  <c r="I94" i="14" s="1"/>
  <c r="I41" i="14" s="1"/>
  <c r="I45" i="14" s="1"/>
  <c r="H41" i="14"/>
  <c r="H45" i="14" s="1"/>
  <c r="H100" i="14"/>
  <c r="F34" i="14"/>
  <c r="F117" i="14" s="1"/>
  <c r="F66" i="14"/>
  <c r="E81" i="14"/>
  <c r="E82" i="14" s="1"/>
  <c r="E84" i="14" s="1"/>
  <c r="E86" i="14" s="1"/>
  <c r="E35" i="14"/>
  <c r="G33" i="14"/>
  <c r="H32" i="14"/>
  <c r="I27" i="14"/>
  <c r="I29" i="14" s="1"/>
  <c r="I31" i="14" s="1"/>
  <c r="D24" i="7"/>
  <c r="P22" i="7"/>
  <c r="O22" i="7"/>
  <c r="G11" i="10"/>
  <c r="H11" i="10" s="1"/>
  <c r="I11" i="10" s="1"/>
  <c r="J11" i="10" s="1"/>
  <c r="K11" i="10" s="1"/>
  <c r="F13" i="10"/>
  <c r="J66" i="9"/>
  <c r="D20" i="10" s="1"/>
  <c r="G5" i="10" s="1"/>
  <c r="J65" i="9"/>
  <c r="F70" i="14" l="1"/>
  <c r="F116" i="14"/>
  <c r="E56" i="14"/>
  <c r="E59" i="14" s="1"/>
  <c r="F115" i="14"/>
  <c r="F118" i="14" s="1"/>
  <c r="I100" i="14"/>
  <c r="G34" i="14"/>
  <c r="G117" i="14" s="1"/>
  <c r="G66" i="14"/>
  <c r="F81" i="14"/>
  <c r="F82" i="14" s="1"/>
  <c r="F84" i="14" s="1"/>
  <c r="F35" i="14"/>
  <c r="E49" i="14"/>
  <c r="E50" i="14" s="1"/>
  <c r="E52" i="14" s="1"/>
  <c r="E61" i="14" s="1"/>
  <c r="F85" i="14"/>
  <c r="F86" i="14" s="1"/>
  <c r="H33" i="14"/>
  <c r="I32" i="14"/>
  <c r="I33" i="14" s="1"/>
  <c r="G9" i="10"/>
  <c r="G13" i="10" s="1"/>
  <c r="H5" i="10"/>
  <c r="P24" i="7"/>
  <c r="O24" i="7"/>
  <c r="G70" i="14" l="1"/>
  <c r="G116" i="14"/>
  <c r="F56" i="14"/>
  <c r="F59" i="14" s="1"/>
  <c r="G115" i="14"/>
  <c r="G118" i="14" s="1"/>
  <c r="I34" i="14"/>
  <c r="I117" i="14" s="1"/>
  <c r="I66" i="14"/>
  <c r="H34" i="14"/>
  <c r="H117" i="14" s="1"/>
  <c r="H66" i="14"/>
  <c r="G81" i="14"/>
  <c r="G82" i="14" s="1"/>
  <c r="G84" i="14" s="1"/>
  <c r="G35" i="14"/>
  <c r="G85" i="14"/>
  <c r="G86" i="14" s="1"/>
  <c r="F49" i="14"/>
  <c r="F50" i="14" s="1"/>
  <c r="F52" i="14" s="1"/>
  <c r="F61" i="14" s="1"/>
  <c r="H9" i="10"/>
  <c r="H13" i="10" s="1"/>
  <c r="I5" i="10"/>
  <c r="H70" i="14" l="1"/>
  <c r="H116" i="14"/>
  <c r="I70" i="14"/>
  <c r="I116" i="14"/>
  <c r="G56" i="14"/>
  <c r="G59" i="14" s="1"/>
  <c r="H115" i="14"/>
  <c r="H118" i="14" s="1"/>
  <c r="H81" i="14"/>
  <c r="H82" i="14" s="1"/>
  <c r="H84" i="14" s="1"/>
  <c r="H35" i="14"/>
  <c r="I81" i="14"/>
  <c r="I82" i="14" s="1"/>
  <c r="I84" i="14" s="1"/>
  <c r="I35" i="14"/>
  <c r="H85" i="14"/>
  <c r="H86" i="14" s="1"/>
  <c r="G49" i="14"/>
  <c r="G50" i="14" s="1"/>
  <c r="G52" i="14" s="1"/>
  <c r="G61" i="14" s="1"/>
  <c r="I9" i="10"/>
  <c r="I13" i="10" s="1"/>
  <c r="J5" i="10"/>
  <c r="H56" i="14" l="1"/>
  <c r="H59" i="14" s="1"/>
  <c r="I115" i="14"/>
  <c r="I118" i="14" s="1"/>
  <c r="I56" i="14" s="1"/>
  <c r="I59" i="14" s="1"/>
  <c r="I85" i="14"/>
  <c r="I86" i="14" s="1"/>
  <c r="I49" i="14" s="1"/>
  <c r="I50" i="14" s="1"/>
  <c r="I52" i="14" s="1"/>
  <c r="I61" i="14" s="1"/>
  <c r="H49" i="14"/>
  <c r="H50" i="14" s="1"/>
  <c r="H52" i="14" s="1"/>
  <c r="H61" i="14" s="1"/>
  <c r="J9" i="10"/>
  <c r="J13" i="10" s="1"/>
  <c r="K5" i="10"/>
  <c r="K9" i="10" s="1"/>
  <c r="K13" i="10" s="1"/>
  <c r="E27" i="10" l="1"/>
  <c r="J40" i="8"/>
  <c r="D22" i="10"/>
  <c r="G16" i="10"/>
  <c r="H16" i="10"/>
  <c r="I16" i="10"/>
  <c r="J16" i="10"/>
  <c r="K16" i="10"/>
  <c r="E28" i="10"/>
  <c r="G18" i="10"/>
  <c r="H18" i="10"/>
  <c r="I18" i="10"/>
  <c r="J18" i="10"/>
  <c r="K18" i="10"/>
  <c r="E36" i="10"/>
  <c r="E31" i="10"/>
  <c r="E37" i="10"/>
  <c r="E38" i="10"/>
  <c r="E42" i="10"/>
  <c r="E44" i="10"/>
  <c r="G27" i="10"/>
  <c r="E46" i="10"/>
</calcChain>
</file>

<file path=xl/sharedStrings.xml><?xml version="1.0" encoding="utf-8"?>
<sst xmlns="http://schemas.openxmlformats.org/spreadsheetml/2006/main" count="596" uniqueCount="433">
  <si>
    <t>INFOSYS LTD - ONE PAGE PROFILE</t>
  </si>
  <si>
    <t>Competitive Strengths</t>
  </si>
  <si>
    <t>Key Risks</t>
  </si>
  <si>
    <t xml:space="preserve">Key Business Areas </t>
  </si>
  <si>
    <t>Strong global brand</t>
  </si>
  <si>
    <t>Global IT spending slowdown</t>
  </si>
  <si>
    <t>1) Digital Transformation</t>
  </si>
  <si>
    <t>4) Application Services</t>
  </si>
  <si>
    <t>Large skilled workforce</t>
  </si>
  <si>
    <t>Intense industry competition</t>
  </si>
  <si>
    <t>Cloud • AI • Automation</t>
  </si>
  <si>
    <t>Development • Maintenance</t>
  </si>
  <si>
    <t>Long-term enterprise clients</t>
  </si>
  <si>
    <t>Employee attrition and wage inflation</t>
  </si>
  <si>
    <t>2) Consulting</t>
  </si>
  <si>
    <t>5) Cybersecurity</t>
  </si>
  <si>
    <t>Strong balance sheet</t>
  </si>
  <si>
    <t>Currency fluctuations</t>
  </si>
  <si>
    <t>Strategy • Technology Consulting</t>
  </si>
  <si>
    <t>Security • Risk Management</t>
  </si>
  <si>
    <t>Global delivery model</t>
  </si>
  <si>
    <t>Rapid technological changes</t>
  </si>
  <si>
    <t>3) Data &amp; Analytics</t>
  </si>
  <si>
    <t>6) Engineering Services</t>
  </si>
  <si>
    <t>Broad digital capabilities</t>
  </si>
  <si>
    <t>AI disruption</t>
  </si>
  <si>
    <t>Data Analytics • AI Solutions</t>
  </si>
  <si>
    <t>Product Engineering • R&amp;D</t>
  </si>
  <si>
    <t>Strong cash generation</t>
  </si>
  <si>
    <t>Dependence on international markets</t>
  </si>
  <si>
    <t>Key Financial Metrics</t>
  </si>
  <si>
    <t>Total sales</t>
  </si>
  <si>
    <t>Sales growth</t>
  </si>
  <si>
    <t>Gross Profit Margins (%)</t>
  </si>
  <si>
    <t>EBITDA Margins (%)</t>
  </si>
  <si>
    <t>EBIT Margins (%)</t>
  </si>
  <si>
    <t>Net Profit Margins (%)</t>
  </si>
  <si>
    <t>Earnings Per Share</t>
  </si>
  <si>
    <t>EPS Growth (%)</t>
  </si>
  <si>
    <t>Dividend Per Share (%)</t>
  </si>
  <si>
    <t>DPS Growth (%)</t>
  </si>
  <si>
    <t>Key Financial Ratios</t>
  </si>
  <si>
    <t>Return On Equity (%)</t>
  </si>
  <si>
    <t>Return On Capital Employed (%)</t>
  </si>
  <si>
    <t>Retained Earnings (%)</t>
  </si>
  <si>
    <t>Self Sustained Growth Rate</t>
  </si>
  <si>
    <t>SHAREHOLDING PATTERN</t>
  </si>
  <si>
    <t xml:space="preserve">Promoters </t>
  </si>
  <si>
    <t xml:space="preserve">FIIs </t>
  </si>
  <si>
    <t xml:space="preserve">DIIs </t>
  </si>
  <si>
    <t xml:space="preserve">Government </t>
  </si>
  <si>
    <t xml:space="preserve">Public </t>
  </si>
  <si>
    <t xml:space="preserve">Others </t>
  </si>
  <si>
    <t>No. of Shareholders</t>
  </si>
  <si>
    <t>25,79,164</t>
  </si>
  <si>
    <t>27,19,353</t>
  </si>
  <si>
    <t>26,31,803</t>
  </si>
  <si>
    <t>27,48,596</t>
  </si>
  <si>
    <t>COMPANY NAME</t>
  </si>
  <si>
    <t>INFOSYS LTD</t>
  </si>
  <si>
    <t>LATEST VERSION</t>
  </si>
  <si>
    <t>PLEASE DO NOT MAKE ANY CHANGES TO THIS SHEET</t>
  </si>
  <si>
    <t>CURRENT VERSION</t>
  </si>
  <si>
    <t>META</t>
  </si>
  <si>
    <t>Number of shares</t>
  </si>
  <si>
    <t>Face Value</t>
  </si>
  <si>
    <t>Current Price</t>
  </si>
  <si>
    <t>Market Capitalization</t>
  </si>
  <si>
    <t>PROFIT &amp; LOSS</t>
  </si>
  <si>
    <t>Report Date</t>
  </si>
  <si>
    <t>Sales</t>
  </si>
  <si>
    <t>Raw Material Cost</t>
  </si>
  <si>
    <t>Change in Inventory</t>
  </si>
  <si>
    <t>Power and Fuel</t>
  </si>
  <si>
    <t>Other Mfr. Exp</t>
  </si>
  <si>
    <t>Employee Cost</t>
  </si>
  <si>
    <t>Selling and admin</t>
  </si>
  <si>
    <t>Other Expenses</t>
  </si>
  <si>
    <t>Other Income</t>
  </si>
  <si>
    <t>Depreciation</t>
  </si>
  <si>
    <t>Interest</t>
  </si>
  <si>
    <t>Profit before tax</t>
  </si>
  <si>
    <t>Tax</t>
  </si>
  <si>
    <t>Net profit</t>
  </si>
  <si>
    <t>Dividend Amount</t>
  </si>
  <si>
    <t>Effective Tax Rate</t>
  </si>
  <si>
    <t>EBITDA</t>
  </si>
  <si>
    <t>Quarters</t>
  </si>
  <si>
    <t>Expenses</t>
  </si>
  <si>
    <t>Operating Profit</t>
  </si>
  <si>
    <t>BALANCE SHEET</t>
  </si>
  <si>
    <t>Equity Share Capital</t>
  </si>
  <si>
    <t>Reserves</t>
  </si>
  <si>
    <t>Borrowings</t>
  </si>
  <si>
    <t>Other Liabilities</t>
  </si>
  <si>
    <t>Total</t>
  </si>
  <si>
    <t>Net Block</t>
  </si>
  <si>
    <t>Capital Work in Progress</t>
  </si>
  <si>
    <t>Investments</t>
  </si>
  <si>
    <t>Other Assets</t>
  </si>
  <si>
    <t>Receivables</t>
  </si>
  <si>
    <t>Inventory</t>
  </si>
  <si>
    <t>Cash &amp; Bank</t>
  </si>
  <si>
    <t>No. of Equity Shares</t>
  </si>
  <si>
    <t>New Bonus Shares</t>
  </si>
  <si>
    <t>Face value</t>
  </si>
  <si>
    <t>CASH FLOW:</t>
  </si>
  <si>
    <t>Cash from Operating Activity</t>
  </si>
  <si>
    <t>Cash from Investing Activity</t>
  </si>
  <si>
    <t>Cash from Financing Activity</t>
  </si>
  <si>
    <t>Net Cash Flow</t>
  </si>
  <si>
    <t>PRICE:</t>
  </si>
  <si>
    <t>DERIVED:</t>
  </si>
  <si>
    <t>Adjusted Equity Shares in Cr</t>
  </si>
  <si>
    <t xml:space="preserve">
Mar 2015</t>
  </si>
  <si>
    <t>Equity Capital</t>
  </si>
  <si>
    <t>Borrowings </t>
  </si>
  <si>
    <t>Lease Liabilities</t>
  </si>
  <si>
    <t>Other Liabilities </t>
  </si>
  <si>
    <t>Non controlling int</t>
  </si>
  <si>
    <t>Trade Payables</t>
  </si>
  <si>
    <t>Advance from Customers</t>
  </si>
  <si>
    <t>Other liability items</t>
  </si>
  <si>
    <t>Total Liabilities</t>
  </si>
  <si>
    <t>Fixed Assets </t>
  </si>
  <si>
    <t>Land</t>
  </si>
  <si>
    <t>Building</t>
  </si>
  <si>
    <t>Plant Machinery</t>
  </si>
  <si>
    <t>Equipments</t>
  </si>
  <si>
    <t>Computers</t>
  </si>
  <si>
    <t>Furniture n fittings</t>
  </si>
  <si>
    <t>Vehicles</t>
  </si>
  <si>
    <t>Intangible Assets</t>
  </si>
  <si>
    <t>Other fixed assets</t>
  </si>
  <si>
    <t>Gross Block</t>
  </si>
  <si>
    <t>Accumulated Depreciation</t>
  </si>
  <si>
    <t>CWIP</t>
  </si>
  <si>
    <t>Other Assets </t>
  </si>
  <si>
    <t>Trade receivables</t>
  </si>
  <si>
    <t>Cash Equivalents</t>
  </si>
  <si>
    <t>Loans n Advances</t>
  </si>
  <si>
    <t>Other asset items</t>
  </si>
  <si>
    <t>Total Assets</t>
  </si>
  <si>
    <t xml:space="preserve">Cash from Operating Activity </t>
  </si>
  <si>
    <t>Profit from operations</t>
  </si>
  <si>
    <t>Payables</t>
  </si>
  <si>
    <t>Loans Advances</t>
  </si>
  <si>
    <t>Other WC items</t>
  </si>
  <si>
    <t>Direct taxes</t>
  </si>
  <si>
    <t xml:space="preserve">Cash from Investing Activity </t>
  </si>
  <si>
    <t>Fixed assets purchased</t>
  </si>
  <si>
    <t>Investments purchased</t>
  </si>
  <si>
    <t>Investments sold</t>
  </si>
  <si>
    <t>Interest received</t>
  </si>
  <si>
    <t>Dividends received</t>
  </si>
  <si>
    <t>Acquisition of companies</t>
  </si>
  <si>
    <t>Inter corporate deposits</t>
  </si>
  <si>
    <t>Other investing items</t>
  </si>
  <si>
    <t xml:space="preserve">Cash from Financing Activity </t>
  </si>
  <si>
    <t>Proceeds from shares</t>
  </si>
  <si>
    <t>Repayment of borrowings</t>
  </si>
  <si>
    <t>Dividends paid</t>
  </si>
  <si>
    <t>Financial liabilities</t>
  </si>
  <si>
    <t>Other financing items</t>
  </si>
  <si>
    <t>Years</t>
  </si>
  <si>
    <t>LTM</t>
  </si>
  <si>
    <t>#</t>
  </si>
  <si>
    <t>Income Statement</t>
  </si>
  <si>
    <t>Sales Growth</t>
  </si>
  <si>
    <t>-</t>
  </si>
  <si>
    <t>COGS</t>
  </si>
  <si>
    <t>COGS % Sales</t>
  </si>
  <si>
    <t>Gross Profit</t>
  </si>
  <si>
    <t>Gross Margins</t>
  </si>
  <si>
    <t>Selling &amp; General Expenses</t>
  </si>
  <si>
    <t>S&amp;G Exp % Sales</t>
  </si>
  <si>
    <t>EBITDA Margins</t>
  </si>
  <si>
    <t>Interest % Sales</t>
  </si>
  <si>
    <t>Depreciation%Sales</t>
  </si>
  <si>
    <t>Earnings Before Tax</t>
  </si>
  <si>
    <t>EBT % Sales</t>
  </si>
  <si>
    <t>Net Profit</t>
  </si>
  <si>
    <t>Net Margins</t>
  </si>
  <si>
    <t>No of Equity Shares</t>
  </si>
  <si>
    <t>Earnings per Share</t>
  </si>
  <si>
    <t>EPS Growth %</t>
  </si>
  <si>
    <t>Dividend per Share</t>
  </si>
  <si>
    <t>Dividend payout ratio</t>
  </si>
  <si>
    <t>Retained Earnings</t>
  </si>
  <si>
    <t>Balance Sheet</t>
  </si>
  <si>
    <t>Fixed Assets Net Block</t>
  </si>
  <si>
    <t>Total Non Current Assets</t>
  </si>
  <si>
    <t>Total Current Assets</t>
  </si>
  <si>
    <t>Check</t>
  </si>
  <si>
    <t>Cash Flow Statements</t>
  </si>
  <si>
    <t>Operating Activities</t>
  </si>
  <si>
    <t>Cash from Operating Activities</t>
  </si>
  <si>
    <t>Investing Activities</t>
  </si>
  <si>
    <t>Cash from Investing Activities</t>
  </si>
  <si>
    <t>Financing Activities</t>
  </si>
  <si>
    <t>Cash from Financing Activities</t>
  </si>
  <si>
    <t>MEAN</t>
  </si>
  <si>
    <t>MEDIAN</t>
  </si>
  <si>
    <t>SalesGrowth</t>
  </si>
  <si>
    <t>EBITDA Growth</t>
  </si>
  <si>
    <t>EBIT Growth</t>
  </si>
  <si>
    <t>Net Profit Growth</t>
  </si>
  <si>
    <t>Dividend Growth</t>
  </si>
  <si>
    <t>Gross Margin</t>
  </si>
  <si>
    <t>EBITDA Margin</t>
  </si>
  <si>
    <t>EBIT Margin</t>
  </si>
  <si>
    <t>EBT Margin</t>
  </si>
  <si>
    <t>Net Profit Margin</t>
  </si>
  <si>
    <t>SalesExpenses%Sales</t>
  </si>
  <si>
    <t>OperatingIncome%Sales</t>
  </si>
  <si>
    <t>Return on Capital Employed</t>
  </si>
  <si>
    <t>Retained Earnings%</t>
  </si>
  <si>
    <t>Return on Equity%</t>
  </si>
  <si>
    <t>Interest Coverage Ratio</t>
  </si>
  <si>
    <t>Debtor Turnover Ratio</t>
  </si>
  <si>
    <t>Creditor Turnover Ratio</t>
  </si>
  <si>
    <t>Inventory Turnover</t>
  </si>
  <si>
    <t>Fixed Asset Turnover</t>
  </si>
  <si>
    <t>Capital Turnover Ratio</t>
  </si>
  <si>
    <t>Debtor Days</t>
  </si>
  <si>
    <t>Payable Days</t>
  </si>
  <si>
    <t>Inventory Days</t>
  </si>
  <si>
    <t>Cash Conversion Cycle</t>
  </si>
  <si>
    <t>CFO/Sales</t>
  </si>
  <si>
    <t>CFO/Total Assets</t>
  </si>
  <si>
    <t>CFO/Total Debt</t>
  </si>
  <si>
    <t>Key Assumptions</t>
  </si>
  <si>
    <t>FY2025A</t>
  </si>
  <si>
    <t>FY2026A</t>
  </si>
  <si>
    <t>FY2027F</t>
  </si>
  <si>
    <t>FY2028F</t>
  </si>
  <si>
    <t>FY2029F</t>
  </si>
  <si>
    <t>FY2030F</t>
  </si>
  <si>
    <t>FY2031F</t>
  </si>
  <si>
    <t>Revenue Growth %</t>
  </si>
  <si>
    <t>COGS % of Sales</t>
  </si>
  <si>
    <t>SG&amp;A % of Sales</t>
  </si>
  <si>
    <t>D&amp;A % of Sales</t>
  </si>
  <si>
    <t>Effective Tax Rate %</t>
  </si>
  <si>
    <t>Interest Rate on Average Borrowings %</t>
  </si>
  <si>
    <t>Capex % of Sales</t>
  </si>
  <si>
    <t>Receivable Days (DSO)</t>
  </si>
  <si>
    <t>Other Liabilities % of Sales</t>
  </si>
  <si>
    <t>CWIP % of Sales</t>
  </si>
  <si>
    <t>Investments % of Sales</t>
  </si>
  <si>
    <t>Other Non-Current Assets % of Sales</t>
  </si>
  <si>
    <t>Dividend Payout Ratio %</t>
  </si>
  <si>
    <t>Shares Outstanding (Cr)</t>
  </si>
  <si>
    <t>New Borrowings / (Repayments)</t>
  </si>
  <si>
    <t>INCOME STATEMENT</t>
  </si>
  <si>
    <t>Less: COGS</t>
  </si>
  <si>
    <t>Less: SG&amp;A Expenses</t>
  </si>
  <si>
    <t>Less: Depreciation &amp; Amortization</t>
  </si>
  <si>
    <t>EBIT</t>
  </si>
  <si>
    <t>Less: Interest Expense</t>
  </si>
  <si>
    <t>Earnings Before Tax (EBT)</t>
  </si>
  <si>
    <t>Less: Tax</t>
  </si>
  <si>
    <t>Net Income</t>
  </si>
  <si>
    <t>Dividends Paid</t>
  </si>
  <si>
    <t>Retained Earnings (to Reserves)</t>
  </si>
  <si>
    <t>Assets</t>
  </si>
  <si>
    <t>Other Non-Current Assets</t>
  </si>
  <si>
    <t>Total Non-Current Assets</t>
  </si>
  <si>
    <t>Trade Receivables</t>
  </si>
  <si>
    <t>TOTAL ASSETS</t>
  </si>
  <si>
    <t>Liabilities &amp; Equity</t>
  </si>
  <si>
    <t>Reserves &amp; Surplus</t>
  </si>
  <si>
    <t>Other Liabilities &amp; Provisions</t>
  </si>
  <si>
    <t>TOTAL LIABILITIES &amp; EQUITY</t>
  </si>
  <si>
    <t>Balance Check (Assets = Liabilities + Equity)</t>
  </si>
  <si>
    <t>CASH FLOW STATEMENT</t>
  </si>
  <si>
    <t>Add: Depreciation &amp; Amortization</t>
  </si>
  <si>
    <t>(Increase) / Decrease in Receivables</t>
  </si>
  <si>
    <t>Increase / (Decrease) in Other Liabilities</t>
  </si>
  <si>
    <t>Capital Expenditure</t>
  </si>
  <si>
    <t>(Increase) in Investments</t>
  </si>
  <si>
    <t>(Increase) in Capital Work in Progress</t>
  </si>
  <si>
    <t>(Increase) in Other Non-Current Assets</t>
  </si>
  <si>
    <t>Net Change in Cash</t>
  </si>
  <si>
    <t>Beginning Cash &amp; Bank</t>
  </si>
  <si>
    <t>Ending Cash &amp; Bank</t>
  </si>
  <si>
    <t>SUPPORTING SCHEDULE 1: PP&amp;E &amp; DEPRECIATION</t>
  </si>
  <si>
    <t>Beginning Net Block</t>
  </si>
  <si>
    <t>Add: Capital Expenditure</t>
  </si>
  <si>
    <t>Ending Net Block</t>
  </si>
  <si>
    <t>SUPPORTING SCHEDULE 2: WORKING CAPITAL</t>
  </si>
  <si>
    <t>Net Working Capital</t>
  </si>
  <si>
    <t>SUPPORTING SCHEDULE 3: DEBT</t>
  </si>
  <si>
    <t>Beginning Borrowings</t>
  </si>
  <si>
    <t>Ending Borrowings</t>
  </si>
  <si>
    <t>Average Borrowings</t>
  </si>
  <si>
    <t>Interest Expense</t>
  </si>
  <si>
    <t>SUPPORTING SCHEDULE 4: EQUITY / RESERVES</t>
  </si>
  <si>
    <t>(₹ Crores, unless stated)</t>
  </si>
  <si>
    <t>Beginning Reserves</t>
  </si>
  <si>
    <t>Add: Net Income</t>
  </si>
  <si>
    <t>Less: Dividends Paid</t>
  </si>
  <si>
    <t>Ending Reserves</t>
  </si>
  <si>
    <t>Weighted Average Cost of Capital</t>
  </si>
  <si>
    <t>All figures are in INR unless stated otherwise</t>
  </si>
  <si>
    <t>Peer Comps</t>
  </si>
  <si>
    <t>Debt/</t>
  </si>
  <si>
    <t>Levered</t>
  </si>
  <si>
    <t>UnLevered</t>
  </si>
  <si>
    <t>Name of the Comp</t>
  </si>
  <si>
    <t xml:space="preserve">Country </t>
  </si>
  <si>
    <t>Total Debt</t>
  </si>
  <si>
    <t>Total Equity</t>
  </si>
  <si>
    <t>Tax Rate 1</t>
  </si>
  <si>
    <t>Equity</t>
  </si>
  <si>
    <t>Capital</t>
  </si>
  <si>
    <t xml:space="preserve">Beta 2 </t>
  </si>
  <si>
    <t>Beta 3</t>
  </si>
  <si>
    <t>Infosys</t>
  </si>
  <si>
    <t>India</t>
  </si>
  <si>
    <t>TCS</t>
  </si>
  <si>
    <t>HCL Technologies</t>
  </si>
  <si>
    <t>Wipro</t>
  </si>
  <si>
    <t>Tech Mahindra</t>
  </si>
  <si>
    <t>Average</t>
  </si>
  <si>
    <t>Median</t>
  </si>
  <si>
    <t>Cost of Debt</t>
  </si>
  <si>
    <t>Cost of Equity</t>
  </si>
  <si>
    <t>Pre-tax Cost of Debt</t>
  </si>
  <si>
    <t>Risk Free Rate</t>
  </si>
  <si>
    <t>Tax Rate</t>
  </si>
  <si>
    <t>Equity Risk Premium</t>
  </si>
  <si>
    <t>After Tax Cost of Debt</t>
  </si>
  <si>
    <t>Levered Beta 4</t>
  </si>
  <si>
    <t>Capital Structure</t>
  </si>
  <si>
    <t xml:space="preserve">Levered Beta </t>
  </si>
  <si>
    <t>Current</t>
  </si>
  <si>
    <t>Target</t>
  </si>
  <si>
    <t>Comps Median Unlevered Beta</t>
  </si>
  <si>
    <t>Target Debt/Equity</t>
  </si>
  <si>
    <t>Total Capitalization</t>
  </si>
  <si>
    <t>Debt/Equity</t>
  </si>
  <si>
    <t>Total Cost</t>
  </si>
  <si>
    <t>Total Weight</t>
  </si>
  <si>
    <t>Debt Capital</t>
  </si>
  <si>
    <t>Calculation of ROIC</t>
  </si>
  <si>
    <t>Current Assets</t>
  </si>
  <si>
    <t>Current Liabilites</t>
  </si>
  <si>
    <t>Total Current Liabilities</t>
  </si>
  <si>
    <t>Non-Current Assets</t>
  </si>
  <si>
    <t>Net Non Current Assets</t>
  </si>
  <si>
    <t>Invested Capital</t>
  </si>
  <si>
    <t>Marginal Tax Rate</t>
  </si>
  <si>
    <t>NOPAT</t>
  </si>
  <si>
    <t>ROIC</t>
  </si>
  <si>
    <t>Calculation of Reinvestment Rate</t>
  </si>
  <si>
    <t>Net Capex</t>
  </si>
  <si>
    <t>Change In Working Capital</t>
  </si>
  <si>
    <t>Reinvestment</t>
  </si>
  <si>
    <t>Reinvestment Rate</t>
  </si>
  <si>
    <t>4 Year Average</t>
  </si>
  <si>
    <t>4 Year Median</t>
  </si>
  <si>
    <t>Calculation of Growth Rate</t>
  </si>
  <si>
    <t>Intrinsic Growth</t>
  </si>
  <si>
    <t>Calculation of PV of FCFF</t>
  </si>
  <si>
    <t>EBIT(1-T)</t>
  </si>
  <si>
    <t>Less: Reinvestment Rate</t>
  </si>
  <si>
    <t>Free Cash Flow to Firm</t>
  </si>
  <si>
    <t>Mid Year Convention</t>
  </si>
  <si>
    <t>Discounting Factor</t>
  </si>
  <si>
    <t>PV of FCFF</t>
  </si>
  <si>
    <t>Excepted Growth</t>
  </si>
  <si>
    <t>Terminal Growth</t>
  </si>
  <si>
    <t>WACC</t>
  </si>
  <si>
    <t>Calculation of Terminal Value</t>
  </si>
  <si>
    <t>Sensitivity Analysis</t>
  </si>
  <si>
    <t>FCFF(n+1)</t>
  </si>
  <si>
    <t>Terminal Growth Rate</t>
  </si>
  <si>
    <t>Terminal Value</t>
  </si>
  <si>
    <t>Calculation of Equity Value per Share</t>
  </si>
  <si>
    <t>PV of Terminal Value</t>
  </si>
  <si>
    <t>Value of Operating Asset</t>
  </si>
  <si>
    <t>Add: Cash</t>
  </si>
  <si>
    <t>Less: Debt</t>
  </si>
  <si>
    <t>Value of Equity</t>
  </si>
  <si>
    <t>No. of Shares</t>
  </si>
  <si>
    <t>Equity Value per Share</t>
  </si>
  <si>
    <t>Amount in Crores</t>
  </si>
  <si>
    <t>Comparable Company Valuation</t>
  </si>
  <si>
    <t>Market Data</t>
  </si>
  <si>
    <t>Financials</t>
  </si>
  <si>
    <t>Valuation</t>
  </si>
  <si>
    <t>Company</t>
  </si>
  <si>
    <t>Share Price</t>
  </si>
  <si>
    <t>Shares Outstanding</t>
  </si>
  <si>
    <t>Equity Value</t>
  </si>
  <si>
    <t>Net Debt</t>
  </si>
  <si>
    <t>Enterprise Value</t>
  </si>
  <si>
    <t>Revenue</t>
  </si>
  <si>
    <t>EV/Revenue</t>
  </si>
  <si>
    <t>EV/EBITDA</t>
  </si>
  <si>
    <t>P/E</t>
  </si>
  <si>
    <t>Oracle Fin.Serv.</t>
  </si>
  <si>
    <t>Persistent Systems</t>
  </si>
  <si>
    <t>Coforge</t>
  </si>
  <si>
    <t>Mphasis</t>
  </si>
  <si>
    <t>High</t>
  </si>
  <si>
    <t>75th Percentile</t>
  </si>
  <si>
    <t>25th Percentile</t>
  </si>
  <si>
    <t>Low</t>
  </si>
  <si>
    <t>Infosys Comparable Valuation</t>
  </si>
  <si>
    <t>Implied Enterprise Value</t>
  </si>
  <si>
    <t>Implied Market Value</t>
  </si>
  <si>
    <t>Implied Value per Share</t>
  </si>
  <si>
    <t>Source: Screener.in</t>
  </si>
  <si>
    <t>(NSE : INFY  | BSE Code : 500209)</t>
  </si>
  <si>
    <t>INR 1,091</t>
  </si>
  <si>
    <t>52 Week (High - ₹ 1,728 &amp; Low  - ₹ 982)</t>
  </si>
  <si>
    <t>About The Company</t>
  </si>
  <si>
    <t>Infosys Limited is an Indian multinational technology company that offers information technology, business consulting, and outsourcing services. Founded in 1981 by seven engineers, the company is headquartered in Bengaluru and considered one of the Big Six Indian IT companies.Infosys was founded by N. R. Narayana Murthy, Nandan Nilekani, Kris Gopalakrishnan, S. D. Shibulal, K. Dinesh, N. S. Raghavan, and Ashok Arora, with an initial capital of $250.</t>
  </si>
  <si>
    <t>Financial Summary</t>
  </si>
  <si>
    <t>Return on Equity (ROE)</t>
  </si>
  <si>
    <t>Average Shareholder Equity</t>
  </si>
  <si>
    <t>Return on Equity</t>
  </si>
  <si>
    <t>ROE - Dupont Equation</t>
  </si>
  <si>
    <t>Net Profit Margin (A)</t>
  </si>
  <si>
    <t>Average Total Asset</t>
  </si>
  <si>
    <t>Asset Turnover Ratio (B)</t>
  </si>
  <si>
    <t>Equity Multiplier (C)</t>
  </si>
  <si>
    <t>Return on Equity (A*B*C)</t>
  </si>
  <si>
    <t>Return on Asset</t>
  </si>
  <si>
    <t>ROA - Dupont Equation</t>
  </si>
  <si>
    <t>Return on Asset (A*B)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</si>
</sst>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 #,##0.00_ ;_ * \-#,##0.00_ ;_ * &quot;-&quot;??_ ;_ @_ "/>
    <numFmt numFmtId="165" formatCode="[$-409]mmm\-yy;@"/>
    <numFmt numFmtId="166" formatCode="&quot;₹&quot;\ #,##0.0;\(&quot;₹&quot;\ #,##0.0\);\-"/>
    <numFmt numFmtId="167" formatCode="&quot;₹&quot;\ #,##0.00"/>
    <numFmt numFmtId="168" formatCode="0.00\x"/>
    <numFmt numFmtId="169" formatCode="#,##0.0"/>
    <numFmt numFmtId="170" formatCode="mmm\-yy\A"/>
    <numFmt numFmtId="171" formatCode="mmm\-yy\F"/>
    <numFmt numFmtId="172" formatCode="0.0\x"/>
    <numFmt numFmtId="173" formatCode="0.0"/>
    <numFmt numFmtId="174" formatCode="0.0%"/>
    <numFmt numFmtId="175" formatCode="#,##0;\(#,##0\);\-"/>
  </numFmts>
  <fonts count="43">
    <font>
      <sz val="11"/>
      <color theme="1"/>
      <name val="Calibri"/>
      <family val="2"/>
    </font>
    <font>
      <sz val="11"/>
      <color theme="1"/>
      <name val="calibri"/>
      <family val="2"/>
    </font>
    <font>
      <b/>
      <sz val="11"/>
      <color theme="0"/>
      <name val="calibri"/>
      <family val="2"/>
    </font>
    <font>
      <b/>
      <sz val="11"/>
      <color theme="1"/>
      <name val="calibri"/>
      <family val="2"/>
    </font>
    <font>
      <u/>
      <sz val="11"/>
      <color theme="10"/>
      <name val="calibri"/>
      <family val="2"/>
    </font>
    <font>
      <sz val="11"/>
      <color theme="1"/>
      <name val="Calibri"/>
      <family val="2"/>
      <scheme val="minor"/>
    </font>
    <font>
      <b/>
      <sz val="10"/>
      <color theme="1"/>
      <name val="Arial"/>
      <family val="2"/>
    </font>
    <font>
      <u/>
      <sz val="10"/>
      <color theme="10"/>
      <name val="Arial"/>
      <family val="2"/>
    </font>
    <font>
      <sz val="10"/>
      <color theme="1"/>
      <name val="Arial"/>
      <family val="2"/>
    </font>
    <font>
      <sz val="11"/>
      <color theme="0"/>
      <name val="Calibri"/>
      <family val="2"/>
      <scheme val="minor"/>
    </font>
    <font>
      <b/>
      <sz val="10"/>
      <color theme="0"/>
      <name val="Arial"/>
      <family val="2"/>
    </font>
    <font>
      <sz val="10"/>
      <name val="Arial"/>
      <family val="2"/>
    </font>
    <font>
      <sz val="11"/>
      <color theme="1"/>
      <name val="Arial Narrow"/>
      <family val="2"/>
    </font>
    <font>
      <i/>
      <sz val="11"/>
      <color theme="1"/>
      <name val="calibri"/>
      <family val="2"/>
    </font>
    <font>
      <i/>
      <sz val="11"/>
      <color theme="0" tint="-0.499984740745262"/>
      <name val="calibri"/>
      <family val="2"/>
    </font>
    <font>
      <sz val="11"/>
      <color theme="0"/>
      <name val="Calibri"/>
      <family val="2"/>
    </font>
    <font>
      <i/>
      <sz val="10"/>
      <color theme="1"/>
      <name val="Calibri"/>
      <family val="2"/>
    </font>
    <font>
      <sz val="11"/>
      <color rgb="FF000000"/>
      <name val="Calibri"/>
    </font>
    <font>
      <sz val="11"/>
      <color rgb="FF3333FF"/>
      <name val="calibri"/>
      <family val="2"/>
    </font>
    <font>
      <b/>
      <sz val="14"/>
      <color theme="1"/>
      <name val="calibri"/>
      <family val="2"/>
    </font>
    <font>
      <sz val="14"/>
      <color theme="1"/>
      <name val="Calibri"/>
      <family val="2"/>
    </font>
    <font>
      <sz val="11"/>
      <color rgb="FF606F7B"/>
      <name val="InterVariable"/>
      <family val="2"/>
      <charset val="1"/>
    </font>
    <font>
      <sz val="11"/>
      <color rgb="FF22222F"/>
      <name val="InterVariable"/>
      <family val="2"/>
      <charset val="1"/>
    </font>
    <font>
      <sz val="11"/>
      <color rgb="FF0D57E0"/>
      <name val="Calibri"/>
      <family val="2"/>
    </font>
    <font>
      <b/>
      <sz val="12"/>
      <color theme="1"/>
      <name val="calibri"/>
      <family val="2"/>
    </font>
    <font>
      <b/>
      <sz val="11"/>
      <color theme="0"/>
      <name val="Calibri"/>
    </font>
    <font>
      <sz val="11"/>
      <color rgb="FF2596BE"/>
      <name val="Calibri"/>
      <family val="2"/>
    </font>
    <font>
      <b/>
      <sz val="24"/>
      <color rgb="FF2596BE"/>
      <name val="Calibri"/>
      <family val="2"/>
    </font>
    <font>
      <b/>
      <sz val="14"/>
      <color rgb="FF2596BE"/>
      <name val="Calibri"/>
      <family val="2"/>
    </font>
    <font>
      <b/>
      <sz val="11"/>
      <color rgb="FF2596BE"/>
      <name val="Calibri"/>
      <family val="2"/>
    </font>
    <font>
      <b/>
      <sz val="12"/>
      <color theme="0"/>
      <name val="calibri"/>
      <family val="2"/>
    </font>
    <font>
      <b/>
      <sz val="11"/>
      <color theme="0"/>
      <name val="Calibri"/>
      <scheme val="minor"/>
    </font>
    <font>
      <b/>
      <sz val="14"/>
      <color theme="0"/>
      <name val="Calibri"/>
      <family val="2"/>
    </font>
    <font>
      <sz val="11"/>
      <color rgb="FF22222F"/>
      <name val="Calibri"/>
      <scheme val="minor"/>
    </font>
    <font>
      <b/>
      <sz val="11"/>
      <color rgb="FF22222F"/>
      <name val="Calibri"/>
      <scheme val="minor"/>
    </font>
    <font>
      <sz val="10"/>
      <color rgb="FF000000"/>
      <name val="Arial"/>
      <charset val="1"/>
    </font>
    <font>
      <sz val="10"/>
      <color rgb="FF0000FF"/>
      <name val="Arial"/>
      <charset val="1"/>
    </font>
    <font>
      <b/>
      <sz val="11"/>
      <color rgb="FFFFFFFF"/>
      <name val="Arial"/>
      <charset val="1"/>
    </font>
    <font>
      <i/>
      <sz val="10"/>
      <color rgb="FF404040"/>
      <name val="Arial"/>
      <charset val="1"/>
    </font>
    <font>
      <b/>
      <sz val="10"/>
      <color rgb="FF000000"/>
      <name val="Arial"/>
      <charset val="1"/>
    </font>
    <font>
      <sz val="11"/>
      <color rgb="FF000000"/>
      <name val="Calibri"/>
      <family val="2"/>
    </font>
    <font>
      <sz val="10"/>
      <color theme="1"/>
      <name val="Arial"/>
      <charset val="1"/>
    </font>
    <font>
      <b/>
      <sz val="10"/>
      <color theme="1"/>
      <name val="Arial"/>
      <charset val="1"/>
    </font>
  </fonts>
  <fills count="20">
    <fill>
      <patternFill patternType="none"/>
    </fill>
    <fill>
      <patternFill patternType="gray125"/>
    </fill>
    <fill>
      <patternFill patternType="solid">
        <fgColor theme="9"/>
      </patternFill>
    </fill>
    <fill>
      <patternFill patternType="solid">
        <fgColor rgb="FF0275D8"/>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theme="4" tint="-0.249977111117893"/>
        <bgColor indexed="64"/>
      </patternFill>
    </fill>
    <fill>
      <patternFill patternType="solid">
        <fgColor theme="0" tint="-4.9989318521683403E-2"/>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2"/>
        <bgColor indexed="64"/>
      </patternFill>
    </fill>
    <fill>
      <patternFill patternType="solid">
        <fgColor rgb="FF002060"/>
        <bgColor indexed="64"/>
      </patternFill>
    </fill>
    <fill>
      <patternFill patternType="solid">
        <fgColor theme="2" tint="-9.9978637043366805E-2"/>
        <bgColor indexed="64"/>
      </patternFill>
    </fill>
    <fill>
      <patternFill patternType="solid">
        <fgColor theme="0"/>
        <bgColor indexed="64"/>
      </patternFill>
    </fill>
    <fill>
      <patternFill patternType="solid">
        <fgColor rgb="FF2596BE"/>
        <bgColor indexed="64"/>
      </patternFill>
    </fill>
    <fill>
      <patternFill patternType="solid">
        <fgColor rgb="FF88DAF7"/>
        <bgColor indexed="64"/>
      </patternFill>
    </fill>
    <fill>
      <patternFill patternType="solid">
        <fgColor rgb="FF1F4E78"/>
        <bgColor rgb="FF1F4E79"/>
      </patternFill>
    </fill>
    <fill>
      <patternFill patternType="solid">
        <fgColor rgb="FFF2F2F2"/>
        <bgColor rgb="FFE7E6E6"/>
      </patternFill>
    </fill>
    <fill>
      <patternFill patternType="solid">
        <fgColor rgb="FFD9E1F2"/>
        <bgColor rgb="FFDEEBF7"/>
      </patternFill>
    </fill>
    <fill>
      <patternFill patternType="solid">
        <fgColor rgb="FFE2EFDA"/>
        <bgColor rgb="FFE7E6E6"/>
      </patternFill>
    </fill>
  </fills>
  <borders count="10">
    <border>
      <left/>
      <right/>
      <top/>
      <bottom/>
      <diagonal/>
    </border>
    <border>
      <left/>
      <right/>
      <top style="thin">
        <color rgb="FF000000"/>
      </top>
      <bottom/>
      <diagonal/>
    </border>
    <border>
      <left/>
      <right/>
      <top/>
      <bottom style="thin">
        <color rgb="FF000000"/>
      </bottom>
      <diagonal/>
    </border>
    <border>
      <left/>
      <right/>
      <top style="dashed">
        <color rgb="FF000000"/>
      </top>
      <bottom/>
      <diagonal/>
    </border>
    <border>
      <left/>
      <right/>
      <top/>
      <bottom style="dashed">
        <color rgb="FF000000"/>
      </bottom>
      <diagonal/>
    </border>
    <border>
      <left/>
      <right/>
      <top style="thin">
        <color rgb="FF000000"/>
      </top>
      <bottom style="medium">
        <color rgb="FF000000"/>
      </bottom>
      <diagonal/>
    </border>
    <border>
      <left/>
      <right/>
      <top style="thin">
        <color rgb="FF000000"/>
      </top>
      <bottom style="double">
        <color rgb="FF000000"/>
      </bottom>
      <diagonal/>
    </border>
    <border>
      <left/>
      <right/>
      <top/>
      <bottom style="thin">
        <color theme="0"/>
      </bottom>
      <diagonal/>
    </border>
    <border>
      <left/>
      <right/>
      <top style="thin">
        <color rgb="FF000000"/>
      </top>
      <bottom style="thin">
        <color rgb="FF000000"/>
      </bottom>
      <diagonal/>
    </border>
    <border>
      <left/>
      <right/>
      <top style="thin">
        <color auto="1"/>
      </top>
      <bottom/>
      <diagonal/>
    </border>
  </borders>
  <cellStyleXfs count="9">
    <xf numFmtId="0" fontId="0" fillId="0" borderId="0"/>
    <xf numFmtId="9" fontId="1" fillId="0" borderId="0"/>
    <xf numFmtId="164" fontId="5" fillId="0" borderId="0"/>
    <xf numFmtId="0" fontId="4" fillId="0" borderId="0">
      <alignment vertical="top"/>
      <protection locked="0"/>
    </xf>
    <xf numFmtId="0" fontId="9" fillId="2" borderId="0"/>
    <xf numFmtId="0" fontId="5" fillId="0" borderId="0"/>
    <xf numFmtId="9" fontId="5" fillId="0" borderId="0"/>
    <xf numFmtId="0" fontId="12" fillId="0" borderId="0"/>
    <xf numFmtId="0" fontId="4" fillId="0" borderId="0"/>
  </cellStyleXfs>
  <cellXfs count="208">
    <xf numFmtId="0" fontId="0" fillId="0" borderId="0" xfId="0"/>
    <xf numFmtId="164" fontId="6" fillId="0" borderId="0" xfId="2" applyFont="1"/>
    <xf numFmtId="164" fontId="8" fillId="0" borderId="0" xfId="2" applyFont="1"/>
    <xf numFmtId="0" fontId="8" fillId="0" borderId="0" xfId="5" applyFont="1"/>
    <xf numFmtId="165" fontId="10" fillId="3" borderId="0" xfId="2" applyNumberFormat="1" applyFont="1" applyFill="1"/>
    <xf numFmtId="165" fontId="10" fillId="3" borderId="0" xfId="5" applyNumberFormat="1" applyFont="1" applyFill="1" applyAlignment="1">
      <alignment horizontal="center"/>
    </xf>
    <xf numFmtId="165" fontId="11" fillId="0" borderId="0" xfId="2" applyNumberFormat="1" applyFont="1"/>
    <xf numFmtId="0" fontId="5" fillId="0" borderId="0" xfId="5"/>
    <xf numFmtId="9" fontId="8" fillId="0" borderId="0" xfId="6" applyFont="1"/>
    <xf numFmtId="0" fontId="12" fillId="0" borderId="0" xfId="7"/>
    <xf numFmtId="43" fontId="8" fillId="0" borderId="0" xfId="2" applyNumberFormat="1" applyFont="1"/>
    <xf numFmtId="17" fontId="0" fillId="0" borderId="0" xfId="0" applyNumberFormat="1"/>
    <xf numFmtId="0" fontId="2" fillId="4" borderId="0" xfId="0" applyFont="1" applyFill="1"/>
    <xf numFmtId="17" fontId="2" fillId="4" borderId="0" xfId="0" applyNumberFormat="1" applyFont="1" applyFill="1"/>
    <xf numFmtId="17" fontId="2" fillId="4" borderId="0" xfId="0" applyNumberFormat="1" applyFont="1" applyFill="1" applyAlignment="1">
      <alignment horizontal="right"/>
    </xf>
    <xf numFmtId="166" fontId="0" fillId="0" borderId="0" xfId="0" applyNumberFormat="1"/>
    <xf numFmtId="10" fontId="0" fillId="0" borderId="0" xfId="1" applyNumberFormat="1" applyFont="1"/>
    <xf numFmtId="0" fontId="13" fillId="0" borderId="0" xfId="0" applyFont="1"/>
    <xf numFmtId="0" fontId="14" fillId="0" borderId="0" xfId="0" applyFont="1"/>
    <xf numFmtId="0" fontId="14" fillId="0" borderId="0" xfId="0" applyFont="1" applyAlignment="1">
      <alignment horizontal="right"/>
    </xf>
    <xf numFmtId="10" fontId="14" fillId="0" borderId="0" xfId="1" applyNumberFormat="1" applyFont="1"/>
    <xf numFmtId="167" fontId="0" fillId="0" borderId="0" xfId="0" applyNumberFormat="1"/>
    <xf numFmtId="0" fontId="2" fillId="0" borderId="0" xfId="0" applyFont="1"/>
    <xf numFmtId="17" fontId="2" fillId="0" borderId="0" xfId="0" applyNumberFormat="1" applyFont="1"/>
    <xf numFmtId="17" fontId="2" fillId="0" borderId="0" xfId="0" applyNumberFormat="1" applyFont="1" applyAlignment="1">
      <alignment horizontal="right"/>
    </xf>
    <xf numFmtId="0" fontId="3" fillId="5" borderId="0" xfId="0" applyFont="1" applyFill="1"/>
    <xf numFmtId="0" fontId="0" fillId="5" borderId="0" xfId="0" applyFill="1"/>
    <xf numFmtId="166" fontId="3" fillId="0" borderId="0" xfId="0" applyNumberFormat="1" applyFont="1"/>
    <xf numFmtId="3" fontId="0" fillId="0" borderId="0" xfId="0" applyNumberFormat="1"/>
    <xf numFmtId="9" fontId="0" fillId="0" borderId="0" xfId="0" applyNumberFormat="1"/>
    <xf numFmtId="0" fontId="15" fillId="6" borderId="0" xfId="0" applyFont="1" applyFill="1"/>
    <xf numFmtId="0" fontId="15" fillId="6" borderId="0" xfId="0" quotePrefix="1" applyFont="1" applyFill="1"/>
    <xf numFmtId="17" fontId="15" fillId="6" borderId="0" xfId="0" applyNumberFormat="1" applyFont="1" applyFill="1"/>
    <xf numFmtId="2" fontId="0" fillId="0" borderId="0" xfId="0" applyNumberFormat="1"/>
    <xf numFmtId="0" fontId="0" fillId="0" borderId="1" xfId="0" applyBorder="1"/>
    <xf numFmtId="9" fontId="0" fillId="0" borderId="1" xfId="0" applyNumberFormat="1" applyBorder="1"/>
    <xf numFmtId="10" fontId="0" fillId="0" borderId="1" xfId="0" applyNumberFormat="1" applyBorder="1"/>
    <xf numFmtId="0" fontId="0" fillId="0" borderId="2" xfId="0" applyBorder="1"/>
    <xf numFmtId="10" fontId="0" fillId="0" borderId="2" xfId="0" applyNumberFormat="1" applyBorder="1"/>
    <xf numFmtId="168" fontId="0" fillId="0" borderId="2" xfId="0" applyNumberFormat="1" applyBorder="1"/>
    <xf numFmtId="168" fontId="0" fillId="0" borderId="1" xfId="0" applyNumberFormat="1" applyBorder="1"/>
    <xf numFmtId="168" fontId="0" fillId="0" borderId="0" xfId="0" applyNumberFormat="1"/>
    <xf numFmtId="1" fontId="0" fillId="0" borderId="1" xfId="0" applyNumberFormat="1" applyBorder="1"/>
    <xf numFmtId="1" fontId="0" fillId="0" borderId="2" xfId="0" applyNumberFormat="1" applyBorder="1"/>
    <xf numFmtId="0" fontId="16" fillId="0" borderId="0" xfId="0" applyFont="1"/>
    <xf numFmtId="0" fontId="17" fillId="0" borderId="2" xfId="0" applyFont="1" applyBorder="1"/>
    <xf numFmtId="0" fontId="0" fillId="0" borderId="2" xfId="0" applyBorder="1" applyAlignment="1">
      <alignment vertical="top"/>
    </xf>
    <xf numFmtId="0" fontId="17" fillId="0" borderId="2" xfId="0" applyFont="1" applyBorder="1" applyAlignment="1">
      <alignment vertical="top"/>
    </xf>
    <xf numFmtId="0" fontId="18" fillId="0" borderId="0" xfId="0" applyFont="1"/>
    <xf numFmtId="10" fontId="18" fillId="0" borderId="0" xfId="0" applyNumberFormat="1" applyFont="1"/>
    <xf numFmtId="2" fontId="18" fillId="0" borderId="0" xfId="0" applyNumberFormat="1" applyFont="1"/>
    <xf numFmtId="2" fontId="0" fillId="7" borderId="0" xfId="0" applyNumberFormat="1" applyFill="1"/>
    <xf numFmtId="0" fontId="3" fillId="0" borderId="1" xfId="0" applyFont="1" applyBorder="1"/>
    <xf numFmtId="2" fontId="0" fillId="0" borderId="1" xfId="0" applyNumberFormat="1" applyBorder="1"/>
    <xf numFmtId="0" fontId="3" fillId="0" borderId="2" xfId="0" applyFont="1" applyBorder="1"/>
    <xf numFmtId="2" fontId="0" fillId="0" borderId="2" xfId="0" applyNumberFormat="1" applyBorder="1"/>
    <xf numFmtId="0" fontId="0" fillId="0" borderId="3" xfId="0" applyBorder="1"/>
    <xf numFmtId="10" fontId="0" fillId="7" borderId="3" xfId="0" applyNumberFormat="1" applyFill="1" applyBorder="1"/>
    <xf numFmtId="0" fontId="17" fillId="0" borderId="0" xfId="0" applyFont="1"/>
    <xf numFmtId="0" fontId="3" fillId="0" borderId="2" xfId="0" applyFont="1" applyBorder="1" applyAlignment="1">
      <alignment horizontal="right"/>
    </xf>
    <xf numFmtId="10" fontId="0" fillId="0" borderId="3" xfId="0" applyNumberFormat="1" applyBorder="1"/>
    <xf numFmtId="2" fontId="0" fillId="7" borderId="3" xfId="0" applyNumberFormat="1" applyFill="1" applyBorder="1"/>
    <xf numFmtId="0" fontId="0" fillId="0" borderId="4" xfId="0" applyBorder="1"/>
    <xf numFmtId="0" fontId="19" fillId="8" borderId="0" xfId="0" applyFont="1" applyFill="1"/>
    <xf numFmtId="0" fontId="20" fillId="8" borderId="0" xfId="0" applyFont="1" applyFill="1"/>
    <xf numFmtId="10" fontId="0" fillId="0" borderId="0" xfId="0" applyNumberFormat="1"/>
    <xf numFmtId="0" fontId="22" fillId="0" borderId="0" xfId="0" applyFont="1"/>
    <xf numFmtId="0" fontId="4" fillId="0" borderId="0" xfId="8"/>
    <xf numFmtId="0" fontId="22" fillId="0" borderId="0" xfId="0" applyFont="1" applyAlignment="1">
      <alignment wrapText="1"/>
    </xf>
    <xf numFmtId="0" fontId="21" fillId="0" borderId="0" xfId="0" applyFont="1"/>
    <xf numFmtId="0" fontId="21" fillId="0" borderId="0" xfId="0" applyFont="1" applyAlignment="1">
      <alignment wrapText="1"/>
    </xf>
    <xf numFmtId="0" fontId="3" fillId="0" borderId="5" xfId="0" applyFont="1" applyBorder="1"/>
    <xf numFmtId="0" fontId="0" fillId="0" borderId="5" xfId="0" applyBorder="1"/>
    <xf numFmtId="0" fontId="15" fillId="6" borderId="0" xfId="0" applyFont="1" applyFill="1" applyAlignment="1">
      <alignment wrapText="1"/>
    </xf>
    <xf numFmtId="0" fontId="3" fillId="0" borderId="6" xfId="0" applyFont="1" applyBorder="1"/>
    <xf numFmtId="169" fontId="3" fillId="0" borderId="1" xfId="0" applyNumberFormat="1" applyFont="1" applyBorder="1"/>
    <xf numFmtId="169" fontId="3" fillId="0" borderId="5" xfId="0" applyNumberFormat="1" applyFont="1" applyBorder="1"/>
    <xf numFmtId="169" fontId="3" fillId="0" borderId="0" xfId="0" applyNumberFormat="1" applyFont="1"/>
    <xf numFmtId="10" fontId="3" fillId="0" borderId="5" xfId="0" applyNumberFormat="1" applyFont="1" applyBorder="1"/>
    <xf numFmtId="10" fontId="23" fillId="0" borderId="0" xfId="0" applyNumberFormat="1" applyFont="1"/>
    <xf numFmtId="10" fontId="0" fillId="9" borderId="0" xfId="0" applyNumberFormat="1" applyFill="1"/>
    <xf numFmtId="10" fontId="3" fillId="0" borderId="6" xfId="0" applyNumberFormat="1" applyFont="1" applyBorder="1"/>
    <xf numFmtId="2" fontId="3" fillId="0" borderId="5" xfId="0" applyNumberFormat="1" applyFont="1" applyBorder="1"/>
    <xf numFmtId="0" fontId="0" fillId="10" borderId="0" xfId="0" applyFill="1"/>
    <xf numFmtId="10" fontId="0" fillId="10" borderId="0" xfId="0" applyNumberFormat="1" applyFill="1"/>
    <xf numFmtId="0" fontId="0" fillId="7" borderId="0" xfId="0" applyFill="1"/>
    <xf numFmtId="10" fontId="23" fillId="7" borderId="0" xfId="0" applyNumberFormat="1" applyFont="1" applyFill="1"/>
    <xf numFmtId="2" fontId="3" fillId="7" borderId="5" xfId="0" applyNumberFormat="1" applyFont="1" applyFill="1" applyBorder="1"/>
    <xf numFmtId="0" fontId="3" fillId="7" borderId="5" xfId="0" applyFont="1" applyFill="1" applyBorder="1"/>
    <xf numFmtId="0" fontId="2" fillId="11" borderId="0" xfId="0" applyFont="1" applyFill="1"/>
    <xf numFmtId="0" fontId="15" fillId="11" borderId="0" xfId="0" applyFont="1" applyFill="1"/>
    <xf numFmtId="2" fontId="3" fillId="0" borderId="6" xfId="0" applyNumberFormat="1" applyFont="1" applyBorder="1"/>
    <xf numFmtId="2" fontId="0" fillId="0" borderId="0" xfId="0" applyNumberFormat="1" applyAlignment="1">
      <alignment horizontal="right"/>
    </xf>
    <xf numFmtId="2" fontId="3" fillId="0" borderId="0" xfId="0" applyNumberFormat="1" applyFont="1" applyAlignment="1">
      <alignment horizontal="right"/>
    </xf>
    <xf numFmtId="0" fontId="3" fillId="0" borderId="0" xfId="0" applyFont="1"/>
    <xf numFmtId="169" fontId="0" fillId="0" borderId="0" xfId="0" applyNumberFormat="1"/>
    <xf numFmtId="10" fontId="0" fillId="7" borderId="0" xfId="0" applyNumberFormat="1" applyFill="1"/>
    <xf numFmtId="0" fontId="24" fillId="0" borderId="0" xfId="0" applyFont="1"/>
    <xf numFmtId="0" fontId="25" fillId="11" borderId="0" xfId="0" applyFont="1" applyFill="1" applyAlignment="1">
      <alignment horizontal="left"/>
    </xf>
    <xf numFmtId="0" fontId="2" fillId="11" borderId="0" xfId="0" applyFont="1" applyFill="1" applyAlignment="1">
      <alignment horizontal="right"/>
    </xf>
    <xf numFmtId="0" fontId="2" fillId="11" borderId="0" xfId="0" applyFont="1" applyFill="1" applyAlignment="1">
      <alignment horizontal="right" wrapText="1"/>
    </xf>
    <xf numFmtId="0" fontId="3" fillId="11" borderId="0" xfId="0" applyFont="1" applyFill="1" applyAlignment="1">
      <alignment horizontal="right"/>
    </xf>
    <xf numFmtId="9" fontId="2" fillId="11" borderId="0" xfId="0" applyNumberFormat="1" applyFont="1" applyFill="1"/>
    <xf numFmtId="9" fontId="2" fillId="11" borderId="0" xfId="0" applyNumberFormat="1" applyFont="1" applyFill="1" applyAlignment="1">
      <alignment horizontal="right"/>
    </xf>
    <xf numFmtId="1" fontId="0" fillId="0" borderId="0" xfId="0" applyNumberFormat="1"/>
    <xf numFmtId="0" fontId="0" fillId="0" borderId="0" xfId="0"/>
    <xf numFmtId="0" fontId="0" fillId="9" borderId="0" xfId="0" applyFill="1"/>
    <xf numFmtId="9" fontId="0" fillId="9" borderId="0" xfId="0" applyNumberFormat="1" applyFill="1"/>
    <xf numFmtId="0" fontId="0" fillId="9" borderId="2" xfId="0" applyFill="1" applyBorder="1"/>
    <xf numFmtId="9" fontId="0" fillId="9" borderId="2" xfId="0" applyNumberFormat="1" applyFill="1" applyBorder="1"/>
    <xf numFmtId="0" fontId="0" fillId="9" borderId="3" xfId="0" applyFill="1" applyBorder="1"/>
    <xf numFmtId="9" fontId="0" fillId="9" borderId="3" xfId="0" applyNumberFormat="1" applyFill="1" applyBorder="1"/>
    <xf numFmtId="1" fontId="0" fillId="10" borderId="0" xfId="0" applyNumberFormat="1" applyFill="1"/>
    <xf numFmtId="9" fontId="0" fillId="10" borderId="0" xfId="0" applyNumberFormat="1" applyFill="1"/>
    <xf numFmtId="9" fontId="2" fillId="11" borderId="0" xfId="0" applyNumberFormat="1" applyFont="1" applyFill="1" applyAlignment="1">
      <alignment horizontal="left"/>
    </xf>
    <xf numFmtId="0" fontId="3" fillId="12" borderId="6" xfId="0" applyFont="1" applyFill="1" applyBorder="1"/>
    <xf numFmtId="9" fontId="3" fillId="12" borderId="6" xfId="0" applyNumberFormat="1" applyFont="1" applyFill="1" applyBorder="1"/>
    <xf numFmtId="2" fontId="0" fillId="10" borderId="0" xfId="0" applyNumberFormat="1" applyFill="1"/>
    <xf numFmtId="170" fontId="15" fillId="6" borderId="0" xfId="0" applyNumberFormat="1" applyFont="1" applyFill="1"/>
    <xf numFmtId="171" fontId="15" fillId="6" borderId="0" xfId="0" applyNumberFormat="1" applyFont="1" applyFill="1"/>
    <xf numFmtId="164" fontId="2" fillId="0" borderId="0" xfId="0" applyNumberFormat="1" applyFont="1" applyAlignment="1">
      <alignment horizontal="left"/>
    </xf>
    <xf numFmtId="10" fontId="3" fillId="0" borderId="0" xfId="0" applyNumberFormat="1" applyFont="1"/>
    <xf numFmtId="10" fontId="3" fillId="0" borderId="0" xfId="0" applyNumberFormat="1" applyFont="1" applyAlignment="1">
      <alignment horizontal="left"/>
    </xf>
    <xf numFmtId="169" fontId="1" fillId="0" borderId="0" xfId="0" applyNumberFormat="1" applyFont="1"/>
    <xf numFmtId="172" fontId="0" fillId="10" borderId="0" xfId="0" applyNumberFormat="1" applyFill="1"/>
    <xf numFmtId="172" fontId="0" fillId="0" borderId="0" xfId="0" applyNumberFormat="1"/>
    <xf numFmtId="172" fontId="0" fillId="9" borderId="3" xfId="0" applyNumberFormat="1" applyFill="1" applyBorder="1"/>
    <xf numFmtId="172" fontId="0" fillId="9" borderId="0" xfId="0" applyNumberFormat="1" applyFill="1"/>
    <xf numFmtId="172" fontId="0" fillId="9" borderId="2" xfId="0" applyNumberFormat="1" applyFill="1" applyBorder="1"/>
    <xf numFmtId="173" fontId="3" fillId="12" borderId="6" xfId="0" applyNumberFormat="1" applyFont="1" applyFill="1" applyBorder="1"/>
    <xf numFmtId="169" fontId="1" fillId="12" borderId="0" xfId="0" applyNumberFormat="1" applyFont="1" applyFill="1"/>
    <xf numFmtId="169" fontId="1" fillId="0" borderId="0" xfId="0" applyNumberFormat="1" applyFont="1" applyFill="1"/>
    <xf numFmtId="0" fontId="0" fillId="13" borderId="0" xfId="0" applyFill="1"/>
    <xf numFmtId="0" fontId="26" fillId="0" borderId="0" xfId="0" applyFont="1"/>
    <xf numFmtId="0" fontId="27" fillId="0" borderId="0" xfId="0" applyFont="1" applyAlignment="1">
      <alignment horizontal="left"/>
    </xf>
    <xf numFmtId="0" fontId="28" fillId="0" borderId="0" xfId="0" applyFont="1" applyAlignment="1">
      <alignment horizontal="left"/>
    </xf>
    <xf numFmtId="0" fontId="0" fillId="14" borderId="0" xfId="0" applyFill="1"/>
    <xf numFmtId="0" fontId="29" fillId="0" borderId="0" xfId="0" applyFont="1"/>
    <xf numFmtId="0" fontId="0" fillId="0" borderId="0" xfId="0" applyAlignment="1">
      <alignment wrapText="1"/>
    </xf>
    <xf numFmtId="17" fontId="3" fillId="0" borderId="0" xfId="0" applyNumberFormat="1" applyFont="1"/>
    <xf numFmtId="0" fontId="3" fillId="15" borderId="0" xfId="0" applyFont="1" applyFill="1"/>
    <xf numFmtId="10" fontId="3" fillId="15" borderId="0" xfId="1" applyNumberFormat="1" applyFont="1" applyFill="1"/>
    <xf numFmtId="172" fontId="3" fillId="15" borderId="0" xfId="1" applyNumberFormat="1" applyFont="1" applyFill="1"/>
    <xf numFmtId="168" fontId="3" fillId="15" borderId="0" xfId="1" applyNumberFormat="1" applyFont="1" applyFill="1"/>
    <xf numFmtId="0" fontId="0" fillId="0" borderId="0" xfId="0" applyFill="1"/>
    <xf numFmtId="0" fontId="26" fillId="14" borderId="0" xfId="0" applyFont="1" applyFill="1"/>
    <xf numFmtId="0" fontId="3" fillId="0" borderId="0" xfId="0" applyFont="1" applyBorder="1"/>
    <xf numFmtId="0" fontId="0" fillId="0" borderId="0" xfId="0" applyBorder="1" applyAlignment="1">
      <alignment horizontal="left"/>
    </xf>
    <xf numFmtId="0" fontId="0" fillId="0" borderId="0" xfId="0" applyBorder="1"/>
    <xf numFmtId="0" fontId="32" fillId="14" borderId="0" xfId="0" applyFont="1" applyFill="1"/>
    <xf numFmtId="0" fontId="15" fillId="14" borderId="0" xfId="0" applyFont="1" applyFill="1"/>
    <xf numFmtId="17" fontId="32" fillId="14" borderId="0" xfId="0" applyNumberFormat="1" applyFont="1" applyFill="1"/>
    <xf numFmtId="4" fontId="0" fillId="0" borderId="0" xfId="0" applyNumberFormat="1"/>
    <xf numFmtId="0" fontId="0" fillId="0" borderId="0" xfId="0" applyAlignment="1">
      <alignment horizontal="right"/>
    </xf>
    <xf numFmtId="0" fontId="24" fillId="0" borderId="0" xfId="0" applyFont="1" applyBorder="1"/>
    <xf numFmtId="0" fontId="0" fillId="0" borderId="0" xfId="0" applyAlignment="1">
      <alignment vertical="top"/>
    </xf>
    <xf numFmtId="0" fontId="0" fillId="0" borderId="0" xfId="0" applyFill="1" applyBorder="1"/>
    <xf numFmtId="0" fontId="33" fillId="0" borderId="0" xfId="0" applyFont="1" applyFill="1" applyBorder="1"/>
    <xf numFmtId="0" fontId="33" fillId="0" borderId="0" xfId="0" applyFont="1" applyFill="1" applyBorder="1" applyAlignment="1">
      <alignment wrapText="1"/>
    </xf>
    <xf numFmtId="3" fontId="33" fillId="0" borderId="0" xfId="0" applyNumberFormat="1" applyFont="1" applyFill="1" applyBorder="1" applyAlignment="1">
      <alignment wrapText="1"/>
    </xf>
    <xf numFmtId="0" fontId="34" fillId="0" borderId="8" xfId="0" applyFont="1" applyFill="1" applyBorder="1"/>
    <xf numFmtId="3" fontId="34" fillId="0" borderId="8" xfId="0" applyNumberFormat="1" applyFont="1" applyFill="1" applyBorder="1" applyAlignment="1">
      <alignment wrapText="1"/>
    </xf>
    <xf numFmtId="0" fontId="31" fillId="14" borderId="0" xfId="0" applyFont="1" applyFill="1"/>
    <xf numFmtId="0" fontId="31" fillId="14" borderId="0" xfId="0" applyFont="1" applyFill="1" applyBorder="1" applyAlignment="1">
      <alignment wrapText="1"/>
    </xf>
    <xf numFmtId="17" fontId="31" fillId="14" borderId="0" xfId="0" applyNumberFormat="1" applyFont="1" applyFill="1" applyBorder="1" applyAlignment="1">
      <alignment wrapText="1"/>
    </xf>
    <xf numFmtId="3" fontId="3" fillId="0" borderId="0" xfId="0" applyNumberFormat="1" applyFont="1"/>
    <xf numFmtId="0" fontId="3" fillId="0" borderId="8" xfId="0" applyFont="1" applyBorder="1"/>
    <xf numFmtId="3" fontId="3" fillId="0" borderId="8" xfId="0" applyNumberFormat="1" applyFont="1" applyBorder="1"/>
    <xf numFmtId="0" fontId="35" fillId="0" borderId="0" xfId="0" applyFont="1"/>
    <xf numFmtId="174" fontId="36" fillId="0" borderId="0" xfId="0" applyNumberFormat="1" applyFont="1"/>
    <xf numFmtId="173" fontId="36" fillId="0" borderId="0" xfId="0" applyNumberFormat="1" applyFont="1"/>
    <xf numFmtId="4" fontId="35" fillId="0" borderId="0" xfId="0" applyNumberFormat="1" applyFont="1"/>
    <xf numFmtId="175" fontId="36" fillId="0" borderId="0" xfId="0" applyNumberFormat="1" applyFont="1"/>
    <xf numFmtId="2" fontId="36" fillId="0" borderId="0" xfId="0" applyNumberFormat="1" applyFont="1"/>
    <xf numFmtId="0" fontId="37" fillId="16" borderId="0" xfId="0" applyFont="1" applyFill="1"/>
    <xf numFmtId="0" fontId="38" fillId="17" borderId="0" xfId="0" applyFont="1" applyFill="1"/>
    <xf numFmtId="175" fontId="39" fillId="0" borderId="0" xfId="0" applyNumberFormat="1" applyFont="1"/>
    <xf numFmtId="0" fontId="38" fillId="0" borderId="0" xfId="0" applyFont="1"/>
    <xf numFmtId="174" fontId="35" fillId="0" borderId="0" xfId="0" applyNumberFormat="1" applyFont="1"/>
    <xf numFmtId="175" fontId="35" fillId="0" borderId="0" xfId="0" applyNumberFormat="1" applyFont="1"/>
    <xf numFmtId="0" fontId="39" fillId="18" borderId="0" xfId="0" applyFont="1" applyFill="1"/>
    <xf numFmtId="0" fontId="0" fillId="18" borderId="0" xfId="0" applyFill="1"/>
    <xf numFmtId="17" fontId="2" fillId="16" borderId="0" xfId="0" applyNumberFormat="1" applyFont="1" applyFill="1" applyAlignment="1">
      <alignment horizontal="right"/>
    </xf>
    <xf numFmtId="0" fontId="2" fillId="16" borderId="0" xfId="0" applyFont="1" applyFill="1" applyAlignment="1">
      <alignment horizontal="right"/>
    </xf>
    <xf numFmtId="173" fontId="35" fillId="0" borderId="0" xfId="0" applyNumberFormat="1" applyFont="1"/>
    <xf numFmtId="0" fontId="40" fillId="0" borderId="0" xfId="0" applyFont="1"/>
    <xf numFmtId="175" fontId="41" fillId="0" borderId="0" xfId="0" applyNumberFormat="1" applyFont="1"/>
    <xf numFmtId="175" fontId="42" fillId="0" borderId="0" xfId="0" applyNumberFormat="1" applyFont="1"/>
    <xf numFmtId="0" fontId="0" fillId="0" borderId="0" xfId="0" applyFont="1"/>
    <xf numFmtId="175" fontId="42" fillId="0" borderId="9" xfId="0" applyNumberFormat="1" applyFont="1" applyBorder="1"/>
    <xf numFmtId="0" fontId="0" fillId="18" borderId="0" xfId="0" applyFont="1" applyFill="1"/>
    <xf numFmtId="0" fontId="41" fillId="19" borderId="0" xfId="0" applyFont="1" applyFill="1" applyAlignment="1">
      <alignment horizontal="center"/>
    </xf>
    <xf numFmtId="0" fontId="0" fillId="16" borderId="0" xfId="0" applyFont="1" applyFill="1"/>
    <xf numFmtId="0" fontId="42" fillId="17" borderId="0" xfId="0" applyFont="1" applyFill="1" applyAlignment="1">
      <alignment horizontal="center"/>
    </xf>
    <xf numFmtId="0" fontId="32" fillId="14" borderId="0" xfId="0" applyFont="1" applyFill="1" applyAlignment="1">
      <alignment horizontal="center"/>
    </xf>
    <xf numFmtId="164" fontId="10" fillId="2" borderId="0" xfId="4" applyNumberFormat="1" applyFont="1" applyAlignment="1">
      <alignment horizontal="center"/>
    </xf>
    <xf numFmtId="164" fontId="8" fillId="0" borderId="0" xfId="2" applyFont="1" applyAlignment="1"/>
    <xf numFmtId="164" fontId="7" fillId="0" borderId="0" xfId="3" applyNumberFormat="1" applyFont="1" applyAlignment="1" applyProtection="1">
      <alignment horizontal="center"/>
    </xf>
    <xf numFmtId="164" fontId="6" fillId="0" borderId="0" xfId="2" applyFont="1" applyAlignment="1"/>
    <xf numFmtId="0" fontId="2" fillId="4" borderId="0" xfId="0" applyFont="1" applyFill="1" applyAlignment="1">
      <alignment horizontal="center"/>
    </xf>
    <xf numFmtId="0" fontId="0" fillId="0" borderId="0" xfId="0" applyAlignment="1"/>
    <xf numFmtId="9" fontId="2" fillId="11" borderId="7" xfId="0" applyNumberFormat="1" applyFont="1" applyFill="1" applyBorder="1" applyAlignment="1">
      <alignment horizontal="center"/>
    </xf>
    <xf numFmtId="0" fontId="0" fillId="0" borderId="7" xfId="0" applyBorder="1" applyAlignment="1"/>
    <xf numFmtId="0" fontId="2" fillId="11" borderId="7" xfId="0" applyFont="1" applyFill="1" applyBorder="1" applyAlignment="1">
      <alignment horizontal="center"/>
    </xf>
    <xf numFmtId="0" fontId="30" fillId="14" borderId="0" xfId="0" applyFont="1" applyFill="1" applyAlignment="1">
      <alignment horizontal="center"/>
    </xf>
    <xf numFmtId="0" fontId="0" fillId="0" borderId="0" xfId="0" applyAlignment="1">
      <alignment horizontal="left" vertical="top" wrapText="1"/>
    </xf>
    <xf numFmtId="0" fontId="0" fillId="16" borderId="0" xfId="0" applyFill="1"/>
    <xf numFmtId="17" fontId="3" fillId="0" borderId="0" xfId="0" applyNumberFormat="1" applyFont="1" applyAlignment="1">
      <alignment horizontal="right"/>
    </xf>
  </cellXfs>
  <cellStyles count="9">
    <cellStyle name="Accent6 2" xfId="4" xr:uid="{00000000-0005-0000-0000-000004000000}"/>
    <cellStyle name="Comma 2" xfId="2" xr:uid="{00000000-0005-0000-0000-000002000000}"/>
    <cellStyle name="Hyperlink" xfId="8" builtinId="8"/>
    <cellStyle name="Hyperlink 2" xfId="3" xr:uid="{00000000-0005-0000-0000-000003000000}"/>
    <cellStyle name="Normal" xfId="0" builtinId="0"/>
    <cellStyle name="Normal 2" xfId="7" xr:uid="{00000000-0005-0000-0000-000007000000}"/>
    <cellStyle name="Normal 3" xfId="5" xr:uid="{00000000-0005-0000-0000-000005000000}"/>
    <cellStyle name="Percent" xfId="1" builtinId="5"/>
    <cellStyle name="Percent 3" xfId="6" xr:uid="{00000000-0005-0000-0000-000006000000}"/>
  </cellStyles>
  <dxfs count="1">
    <dxf>
      <font>
        <b/>
        <color theme="0"/>
      </font>
      <fill>
        <patternFill>
          <bgColor theme="5"/>
        </patternFill>
      </fill>
    </dxf>
  </dxfs>
  <tableStyles count="0" defaultTableStyle="TableStyleMedium2" defaultPivotStyle="PivotStyleLight16"/>
  <colors>
    <mruColors>
      <color rgb="FF2596BE"/>
      <color rgb="FF88DAF7"/>
      <color rgb="FF3FBB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4472C4"/>
                </a:solidFill>
                <a:latin typeface="+mn-lt"/>
                <a:ea typeface="+mn-ea"/>
                <a:cs typeface="+mn-cs"/>
              </a:defRPr>
            </a:pPr>
            <a:r>
              <a:rPr lang="en-US"/>
              <a:t>Net Profit (INR Crs.)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472C4"/>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Analysis'!F68:I68</c:f>
              <c:numCache>
                <c:formatCode>mmm\-yy</c:formatCode>
                <c:ptCount val="4"/>
                <c:pt idx="0">
                  <c:v>45016</c:v>
                </c:pt>
                <c:pt idx="1">
                  <c:v>45382</c:v>
                </c:pt>
                <c:pt idx="2">
                  <c:v>45747</c:v>
                </c:pt>
                <c:pt idx="3">
                  <c:v>46112</c:v>
                </c:pt>
              </c:numCache>
            </c:numRef>
          </c:cat>
          <c:val>
            <c:numRef>
              <c:f>'Dupont Analysis'!$C$69:$I$69</c:f>
              <c:numCache>
                <c:formatCode>#,##0.0</c:formatCode>
                <c:ptCount val="7"/>
                <c:pt idx="0">
                  <c:v>13836</c:v>
                </c:pt>
                <c:pt idx="1">
                  <c:v>17222</c:v>
                </c:pt>
                <c:pt idx="2">
                  <c:v>19851</c:v>
                </c:pt>
                <c:pt idx="3">
                  <c:v>21407</c:v>
                </c:pt>
                <c:pt idx="4">
                  <c:v>21537</c:v>
                </c:pt>
                <c:pt idx="5">
                  <c:v>23150</c:v>
                </c:pt>
                <c:pt idx="6">
                  <c:v>26441</c:v>
                </c:pt>
              </c:numCache>
            </c:numRef>
          </c:val>
          <c:extLst>
            <c:ext xmlns:c16="http://schemas.microsoft.com/office/drawing/2014/chart" uri="{C3380CC4-5D6E-409C-BE32-E72D297353CC}">
              <c16:uniqueId val="{00000000-BBE8-4646-B087-EA2C3B2FEFD9}"/>
            </c:ext>
          </c:extLst>
        </c:ser>
        <c:dLbls>
          <c:showLegendKey val="0"/>
          <c:showVal val="0"/>
          <c:showCatName val="0"/>
          <c:showSerName val="0"/>
          <c:showPercent val="0"/>
          <c:showBubbleSize val="0"/>
        </c:dLbls>
        <c:gapWidth val="219"/>
        <c:overlap val="-27"/>
        <c:axId val="1041326087"/>
        <c:axId val="1041328135"/>
      </c:barChart>
      <c:dateAx>
        <c:axId val="104132608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328135"/>
        <c:crosses val="autoZero"/>
        <c:auto val="1"/>
        <c:lblOffset val="100"/>
        <c:baseTimeUnit val="years"/>
      </c:dateAx>
      <c:valAx>
        <c:axId val="1041328135"/>
        <c:scaling>
          <c:orientation val="minMax"/>
        </c:scaling>
        <c:delete val="1"/>
        <c:axPos val="l"/>
        <c:numFmt formatCode="#,##0.0" sourceLinked="1"/>
        <c:majorTickMark val="none"/>
        <c:minorTickMark val="none"/>
        <c:tickLblPos val="nextTo"/>
        <c:crossAx val="10413260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4472C4"/>
                </a:solidFill>
                <a:latin typeface="+mn-lt"/>
                <a:ea typeface="+mn-ea"/>
                <a:cs typeface="+mn-cs"/>
              </a:defRPr>
            </a:pPr>
            <a:r>
              <a:rPr lang="en-US"/>
              <a:t>Revenue (INR Crs.)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472C4"/>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Analysis'!$F$74:$I$74</c:f>
              <c:numCache>
                <c:formatCode>mmm\-yy</c:formatCode>
                <c:ptCount val="4"/>
                <c:pt idx="0">
                  <c:v>45016</c:v>
                </c:pt>
                <c:pt idx="1">
                  <c:v>45382</c:v>
                </c:pt>
                <c:pt idx="2">
                  <c:v>45747</c:v>
                </c:pt>
                <c:pt idx="3">
                  <c:v>46112</c:v>
                </c:pt>
              </c:numCache>
            </c:numRef>
          </c:cat>
          <c:val>
            <c:numRef>
              <c:f>'Dupont Analysis'!$F$76:$I$76</c:f>
              <c:numCache>
                <c:formatCode>#,##0.0</c:formatCode>
                <c:ptCount val="4"/>
                <c:pt idx="0">
                  <c:v>146767</c:v>
                </c:pt>
                <c:pt idx="1">
                  <c:v>153670</c:v>
                </c:pt>
                <c:pt idx="2">
                  <c:v>162990</c:v>
                </c:pt>
                <c:pt idx="3">
                  <c:v>178650</c:v>
                </c:pt>
              </c:numCache>
            </c:numRef>
          </c:val>
          <c:extLst>
            <c:ext xmlns:c16="http://schemas.microsoft.com/office/drawing/2014/chart" uri="{C3380CC4-5D6E-409C-BE32-E72D297353CC}">
              <c16:uniqueId val="{00000000-86B2-48DD-8626-B8213B3206D0}"/>
            </c:ext>
          </c:extLst>
        </c:ser>
        <c:dLbls>
          <c:showLegendKey val="0"/>
          <c:showVal val="0"/>
          <c:showCatName val="0"/>
          <c:showSerName val="0"/>
          <c:showPercent val="0"/>
          <c:showBubbleSize val="0"/>
        </c:dLbls>
        <c:gapWidth val="219"/>
        <c:overlap val="-27"/>
        <c:axId val="151406087"/>
        <c:axId val="151408135"/>
      </c:barChart>
      <c:dateAx>
        <c:axId val="15140608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51408135"/>
        <c:crosses val="autoZero"/>
        <c:auto val="1"/>
        <c:lblOffset val="100"/>
        <c:baseTimeUnit val="years"/>
      </c:dateAx>
      <c:valAx>
        <c:axId val="151408135"/>
        <c:scaling>
          <c:orientation val="minMax"/>
        </c:scaling>
        <c:delete val="1"/>
        <c:axPos val="l"/>
        <c:numFmt formatCode="#,##0.0" sourceLinked="1"/>
        <c:majorTickMark val="none"/>
        <c:minorTickMark val="none"/>
        <c:tickLblPos val="nextTo"/>
        <c:crossAx val="1514060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4472C4"/>
                </a:solidFill>
                <a:latin typeface="+mn-lt"/>
                <a:ea typeface="+mn-ea"/>
                <a:cs typeface="+mn-cs"/>
              </a:defRPr>
            </a:pPr>
            <a:r>
              <a:rPr lang="en-US"/>
              <a:t>Asset Turnover (INR Crs.)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472C4"/>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Analysis'!$F$74:$I$74</c:f>
              <c:numCache>
                <c:formatCode>mmm\-yy</c:formatCode>
                <c:ptCount val="4"/>
                <c:pt idx="0">
                  <c:v>45016</c:v>
                </c:pt>
                <c:pt idx="1">
                  <c:v>45382</c:v>
                </c:pt>
                <c:pt idx="2">
                  <c:v>45747</c:v>
                </c:pt>
                <c:pt idx="3">
                  <c:v>46112</c:v>
                </c:pt>
              </c:numCache>
            </c:numRef>
          </c:cat>
          <c:val>
            <c:numRef>
              <c:f>'Dupont Analysis'!$F$80:$I$80</c:f>
              <c:numCache>
                <c:formatCode>#,##0.0</c:formatCode>
                <c:ptCount val="4"/>
                <c:pt idx="0">
                  <c:v>120662.5</c:v>
                </c:pt>
                <c:pt idx="1">
                  <c:v>130308</c:v>
                </c:pt>
                <c:pt idx="2">
                  <c:v>141907.5</c:v>
                </c:pt>
                <c:pt idx="3">
                  <c:v>151041.5</c:v>
                </c:pt>
              </c:numCache>
            </c:numRef>
          </c:val>
          <c:extLst>
            <c:ext xmlns:c16="http://schemas.microsoft.com/office/drawing/2014/chart" uri="{C3380CC4-5D6E-409C-BE32-E72D297353CC}">
              <c16:uniqueId val="{00000000-80D3-47BC-B845-496B4448A1C5}"/>
            </c:ext>
          </c:extLst>
        </c:ser>
        <c:dLbls>
          <c:showLegendKey val="0"/>
          <c:showVal val="0"/>
          <c:showCatName val="0"/>
          <c:showSerName val="0"/>
          <c:showPercent val="0"/>
          <c:showBubbleSize val="0"/>
        </c:dLbls>
        <c:gapWidth val="219"/>
        <c:overlap val="-27"/>
        <c:axId val="27250695"/>
        <c:axId val="27252743"/>
      </c:barChart>
      <c:dateAx>
        <c:axId val="2725069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52743"/>
        <c:crosses val="autoZero"/>
        <c:auto val="1"/>
        <c:lblOffset val="100"/>
        <c:baseTimeUnit val="years"/>
      </c:dateAx>
      <c:valAx>
        <c:axId val="27252743"/>
        <c:scaling>
          <c:orientation val="minMax"/>
        </c:scaling>
        <c:delete val="1"/>
        <c:axPos val="l"/>
        <c:numFmt formatCode="#,##0.0" sourceLinked="1"/>
        <c:majorTickMark val="none"/>
        <c:minorTickMark val="none"/>
        <c:tickLblPos val="nextTo"/>
        <c:crossAx val="272506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4472C4"/>
                </a:solidFill>
                <a:latin typeface="+mn-lt"/>
                <a:ea typeface="+mn-ea"/>
                <a:cs typeface="+mn-cs"/>
              </a:defRPr>
            </a:pPr>
            <a:r>
              <a:rPr lang="en-US"/>
              <a:t>Return on Equity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472C4"/>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Analysis'!$F$68:$I$68</c:f>
              <c:numCache>
                <c:formatCode>mmm\-yy</c:formatCode>
                <c:ptCount val="4"/>
                <c:pt idx="0">
                  <c:v>45016</c:v>
                </c:pt>
                <c:pt idx="1">
                  <c:v>45382</c:v>
                </c:pt>
                <c:pt idx="2">
                  <c:v>45747</c:v>
                </c:pt>
                <c:pt idx="3">
                  <c:v>46112</c:v>
                </c:pt>
              </c:numCache>
            </c:numRef>
          </c:cat>
          <c:val>
            <c:numRef>
              <c:f>'Dupont Analysis'!$F$71:$I$71</c:f>
              <c:numCache>
                <c:formatCode>0.00%</c:formatCode>
                <c:ptCount val="4"/>
                <c:pt idx="0">
                  <c:v>0.1893051060292531</c:v>
                </c:pt>
                <c:pt idx="1">
                  <c:v>0.17117378466771843</c:v>
                </c:pt>
                <c:pt idx="2">
                  <c:v>0.16550373187680517</c:v>
                </c:pt>
                <c:pt idx="3">
                  <c:v>0.18784322362017888</c:v>
                </c:pt>
              </c:numCache>
            </c:numRef>
          </c:val>
          <c:extLst>
            <c:ext xmlns:c16="http://schemas.microsoft.com/office/drawing/2014/chart" uri="{C3380CC4-5D6E-409C-BE32-E72D297353CC}">
              <c16:uniqueId val="{00000000-1FC0-46EF-8ADF-540E8BC72005}"/>
            </c:ext>
          </c:extLst>
        </c:ser>
        <c:dLbls>
          <c:showLegendKey val="0"/>
          <c:showVal val="0"/>
          <c:showCatName val="0"/>
          <c:showSerName val="0"/>
          <c:showPercent val="0"/>
          <c:showBubbleSize val="0"/>
        </c:dLbls>
        <c:gapWidth val="219"/>
        <c:overlap val="-27"/>
        <c:axId val="594315783"/>
        <c:axId val="1041314311"/>
      </c:barChart>
      <c:dateAx>
        <c:axId val="594315783"/>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314311"/>
        <c:crosses val="autoZero"/>
        <c:auto val="1"/>
        <c:lblOffset val="100"/>
        <c:baseTimeUnit val="years"/>
      </c:dateAx>
      <c:valAx>
        <c:axId val="1041314311"/>
        <c:scaling>
          <c:orientation val="minMax"/>
        </c:scaling>
        <c:delete val="1"/>
        <c:axPos val="l"/>
        <c:numFmt formatCode="0.00%" sourceLinked="1"/>
        <c:majorTickMark val="none"/>
        <c:minorTickMark val="none"/>
        <c:tickLblPos val="nextTo"/>
        <c:crossAx val="5943157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4472C4"/>
                </a:solidFill>
                <a:latin typeface="+mn-lt"/>
                <a:ea typeface="+mn-ea"/>
                <a:cs typeface="+mn-cs"/>
              </a:defRPr>
            </a:pPr>
            <a:r>
              <a:rPr lang="en-US"/>
              <a:t>Return on Asset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472C4"/>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Analysis'!$F$90:$I$90</c:f>
              <c:numCache>
                <c:formatCode>mmm\-yy</c:formatCode>
                <c:ptCount val="4"/>
                <c:pt idx="0">
                  <c:v>45016</c:v>
                </c:pt>
                <c:pt idx="1">
                  <c:v>45382</c:v>
                </c:pt>
                <c:pt idx="2">
                  <c:v>45747</c:v>
                </c:pt>
                <c:pt idx="3">
                  <c:v>46112</c:v>
                </c:pt>
              </c:numCache>
            </c:numRef>
          </c:cat>
          <c:val>
            <c:numRef>
              <c:f>'Dupont Analysis'!$F$93:$I$93</c:f>
              <c:numCache>
                <c:formatCode>0.00%</c:formatCode>
                <c:ptCount val="4"/>
                <c:pt idx="0">
                  <c:v>0.17741220346006423</c:v>
                </c:pt>
                <c:pt idx="1">
                  <c:v>0.16527764987567917</c:v>
                </c:pt>
                <c:pt idx="2">
                  <c:v>0.16313443616440287</c:v>
                </c:pt>
                <c:pt idx="3">
                  <c:v>0.17505784833969473</c:v>
                </c:pt>
              </c:numCache>
            </c:numRef>
          </c:val>
          <c:extLst>
            <c:ext xmlns:c16="http://schemas.microsoft.com/office/drawing/2014/chart" uri="{C3380CC4-5D6E-409C-BE32-E72D297353CC}">
              <c16:uniqueId val="{00000000-19B1-4F7E-8F4D-1999AB746D2F}"/>
            </c:ext>
          </c:extLst>
        </c:ser>
        <c:dLbls>
          <c:showLegendKey val="0"/>
          <c:showVal val="0"/>
          <c:showCatName val="0"/>
          <c:showSerName val="0"/>
          <c:showPercent val="0"/>
          <c:showBubbleSize val="0"/>
        </c:dLbls>
        <c:gapWidth val="219"/>
        <c:overlap val="-27"/>
        <c:axId val="405357575"/>
        <c:axId val="405359623"/>
      </c:barChart>
      <c:dateAx>
        <c:axId val="40535757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359623"/>
        <c:crosses val="autoZero"/>
        <c:auto val="1"/>
        <c:lblOffset val="100"/>
        <c:baseTimeUnit val="years"/>
      </c:dateAx>
      <c:valAx>
        <c:axId val="405359623"/>
        <c:scaling>
          <c:orientation val="minMax"/>
        </c:scaling>
        <c:delete val="1"/>
        <c:axPos val="l"/>
        <c:numFmt formatCode="0.00%" sourceLinked="1"/>
        <c:majorTickMark val="none"/>
        <c:minorTickMark val="none"/>
        <c:tickLblPos val="nextTo"/>
        <c:crossAx val="4053575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4472C4"/>
                </a:solidFill>
                <a:latin typeface="+mn-lt"/>
                <a:ea typeface="+mn-ea"/>
                <a:cs typeface="+mn-cs"/>
              </a:defRPr>
            </a:pPr>
            <a:r>
              <a:rPr lang="en-US"/>
              <a:t>Equity Multiplier</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472C4"/>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Analysis'!$F$74:$I$74</c:f>
              <c:numCache>
                <c:formatCode>mmm\-yy</c:formatCode>
                <c:ptCount val="4"/>
                <c:pt idx="0">
                  <c:v>45016</c:v>
                </c:pt>
                <c:pt idx="1">
                  <c:v>45382</c:v>
                </c:pt>
                <c:pt idx="2">
                  <c:v>45747</c:v>
                </c:pt>
                <c:pt idx="3">
                  <c:v>46112</c:v>
                </c:pt>
              </c:numCache>
            </c:numRef>
          </c:cat>
          <c:val>
            <c:numRef>
              <c:f>'Dupont Analysis'!$F$85:$I$85</c:f>
              <c:numCache>
                <c:formatCode>0.00\x</c:formatCode>
                <c:ptCount val="4"/>
                <c:pt idx="0">
                  <c:v>1.0670354256203463</c:v>
                </c:pt>
                <c:pt idx="1">
                  <c:v>1.0356741204662234</c:v>
                </c:pt>
                <c:pt idx="2">
                  <c:v>1.0145235780262518</c:v>
                </c:pt>
                <c:pt idx="3">
                  <c:v>1.0730351446778583</c:v>
                </c:pt>
              </c:numCache>
            </c:numRef>
          </c:val>
          <c:extLst>
            <c:ext xmlns:c16="http://schemas.microsoft.com/office/drawing/2014/chart" uri="{C3380CC4-5D6E-409C-BE32-E72D297353CC}">
              <c16:uniqueId val="{00000000-A33F-4220-B86B-B221241B290A}"/>
            </c:ext>
          </c:extLst>
        </c:ser>
        <c:dLbls>
          <c:showLegendKey val="0"/>
          <c:showVal val="0"/>
          <c:showCatName val="0"/>
          <c:showSerName val="0"/>
          <c:showPercent val="0"/>
          <c:showBubbleSize val="0"/>
        </c:dLbls>
        <c:gapWidth val="219"/>
        <c:overlap val="-27"/>
        <c:axId val="613975559"/>
        <c:axId val="613977607"/>
      </c:barChart>
      <c:dateAx>
        <c:axId val="61397555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977607"/>
        <c:crosses val="autoZero"/>
        <c:auto val="1"/>
        <c:lblOffset val="100"/>
        <c:baseTimeUnit val="years"/>
      </c:dateAx>
      <c:valAx>
        <c:axId val="613977607"/>
        <c:scaling>
          <c:orientation val="minMax"/>
        </c:scaling>
        <c:delete val="1"/>
        <c:axPos val="l"/>
        <c:numFmt formatCode="0.00\x" sourceLinked="1"/>
        <c:majorTickMark val="none"/>
        <c:minorTickMark val="none"/>
        <c:tickLblPos val="nextTo"/>
        <c:crossAx val="6139755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https://sv.wikipedia.org/wiki/Infosys"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https://creativecommons.org/licenses/by-sa/3.0/" TargetMode="External"/><Relationship Id="rId7" Type="http://schemas.openxmlformats.org/officeDocument/2006/relationships/chart" Target="../charts/chart4.xml"/><Relationship Id="rId2" Type="http://schemas.openxmlformats.org/officeDocument/2006/relationships/hyperlink" Target="https://sv.wikipedia.org/wiki/Infosys" TargetMode="External"/><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2</xdr:row>
      <xdr:rowOff>47625</xdr:rowOff>
    </xdr:from>
    <xdr:to>
      <xdr:col>2</xdr:col>
      <xdr:colOff>447675</xdr:colOff>
      <xdr:row>4</xdr:row>
      <xdr:rowOff>28575</xdr:rowOff>
    </xdr:to>
    <xdr:pic>
      <xdr:nvPicPr>
        <xdr:cNvPr id="2" name="Picture 1">
          <a:extLst>
            <a:ext uri="{FF2B5EF4-FFF2-40B4-BE49-F238E27FC236}">
              <a16:creationId xmlns:a16="http://schemas.microsoft.com/office/drawing/2014/main" id="{B08755A6-C244-4364-BEF0-F32379B68640}"/>
            </a:ext>
          </a:extLst>
        </xdr:cNvPr>
        <xdr:cNvPicPr>
          <a:picLocks noChangeAspect="1"/>
        </xdr:cNvPicPr>
      </xdr:nvPicPr>
      <xdr:blipFill>
        <a:blip xmlns:r="http://schemas.openxmlformats.org/officeDocument/2006/relationships" r:embed="rId1">
          <a:extLst>
            <a:ext uri="{837473B0-CC2E-450A-ABE3-18F120FF3D39}">
              <a1611:picAttrSrcUrl xmlns:a1611="http://schemas.microsoft.com/office/drawing/2016/11/main" r:id="rId2"/>
            </a:ext>
          </a:extLst>
        </a:blip>
        <a:stretch>
          <a:fillRect/>
        </a:stretch>
      </xdr:blipFill>
      <xdr:spPr>
        <a:xfrm>
          <a:off x="180975" y="476250"/>
          <a:ext cx="1276350" cy="409575"/>
        </a:xfrm>
        <a:prstGeom prst="rect">
          <a:avLst/>
        </a:prstGeom>
      </xdr:spPr>
    </xdr:pic>
    <xdr:clientData/>
  </xdr:twoCellAnchor>
  <xdr:twoCellAnchor>
    <xdr:from>
      <xdr:col>2</xdr:col>
      <xdr:colOff>552450</xdr:colOff>
      <xdr:row>1</xdr:row>
      <xdr:rowOff>66675</xdr:rowOff>
    </xdr:from>
    <xdr:to>
      <xdr:col>11</xdr:col>
      <xdr:colOff>47625</xdr:colOff>
      <xdr:row>25</xdr:row>
      <xdr:rowOff>0</xdr:rowOff>
    </xdr:to>
    <xdr:sp macro="" textlink="">
      <xdr:nvSpPr>
        <xdr:cNvPr id="3" name="TextBox 2">
          <a:extLst>
            <a:ext uri="{FF2B5EF4-FFF2-40B4-BE49-F238E27FC236}">
              <a16:creationId xmlns:a16="http://schemas.microsoft.com/office/drawing/2014/main" id="{CCFCE157-D7AC-9A33-2B73-00987368B7E3}"/>
            </a:ext>
            <a:ext uri="{147F2762-F138-4A5C-976F-8EAC2B608ADB}">
              <a16:predDERef xmlns:a16="http://schemas.microsoft.com/office/drawing/2014/main" pred="{B08755A6-C244-4364-BEF0-F32379B68640}"/>
            </a:ext>
          </a:extLst>
        </xdr:cNvPr>
        <xdr:cNvSpPr txBox="1"/>
      </xdr:nvSpPr>
      <xdr:spPr>
        <a:xfrm>
          <a:off x="1562100" y="257175"/>
          <a:ext cx="5924550" cy="2257425"/>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endParaRPr lang="en-US" sz="1100">
            <a:latin typeface="+mn-lt"/>
            <a:ea typeface="+mn-lt"/>
            <a:cs typeface="+mn-lt"/>
          </a:endParaRPr>
        </a:p>
        <a:p>
          <a:pPr marL="0" indent="0" algn="l"/>
          <a:r>
            <a:rPr lang="en-US" sz="1100">
              <a:latin typeface="+mn-lt"/>
              <a:ea typeface="+mn-lt"/>
              <a:cs typeface="+mn-lt"/>
            </a:rPr>
            <a:t>Infosys Limited is a global leader in next-generation digital services and consulting. Founded in 1981, the company provides technology solutions that help enterprises with digital transformation, cloud adoption, artificial intelligence, data analytics, cybersecurity and software development.</a:t>
          </a:r>
        </a:p>
        <a:p>
          <a:pPr marL="0" indent="0" algn="l"/>
          <a:endParaRPr lang="en-US" sz="1100">
            <a:latin typeface="+mn-lt"/>
            <a:ea typeface="+mn-lt"/>
            <a:cs typeface="+mn-lt"/>
          </a:endParaRPr>
        </a:p>
        <a:p>
          <a:pPr marL="0" indent="0" algn="l"/>
          <a:r>
            <a:rPr lang="en-US" sz="1100">
              <a:latin typeface="+mn-lt"/>
              <a:ea typeface="+mn-lt"/>
              <a:cs typeface="+mn-lt"/>
            </a:rPr>
            <a:t>Infosys operates primarily through a B2B business model and serves clients across industries including financial services, retail, healthcare, manufacturing, communication, energy and utilities. The company generates a significant portion of its revenue from international markets, particularly developed economies.</a:t>
          </a:r>
        </a:p>
        <a:p>
          <a:pPr marL="0" indent="0" algn="l"/>
          <a:endParaRPr lang="en-US" sz="1100">
            <a:latin typeface="+mn-lt"/>
            <a:ea typeface="+mn-lt"/>
            <a:cs typeface="+mn-lt"/>
          </a:endParaRPr>
        </a:p>
        <a:p>
          <a:pPr marL="0" indent="0" algn="l"/>
          <a:r>
            <a:rPr lang="en-US" sz="1100">
              <a:latin typeface="+mn-lt"/>
              <a:ea typeface="+mn-lt"/>
              <a:cs typeface="+mn-lt"/>
            </a:rPr>
            <a:t>Its relatively asset-light business model, strong client relationships, global delivery capabilities and substantial cash-generation capacity make Infosys an important company for financial analysis and valuation.</a:t>
          </a:r>
        </a:p>
        <a:p>
          <a:pPr marL="0" indent="0" algn="l"/>
          <a:endParaRPr lang="en-US" sz="1100">
            <a:latin typeface="+mn-lt"/>
            <a:ea typeface="+mn-lt"/>
            <a:cs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247650</xdr:colOff>
      <xdr:row>2</xdr:row>
      <xdr:rowOff>57150</xdr:rowOff>
    </xdr:from>
    <xdr:to>
      <xdr:col>8</xdr:col>
      <xdr:colOff>495300</xdr:colOff>
      <xdr:row>3</xdr:row>
      <xdr:rowOff>9525</xdr:rowOff>
    </xdr:to>
    <xdr:pic>
      <xdr:nvPicPr>
        <xdr:cNvPr id="2" name="Picture 1">
          <a:extLst>
            <a:ext uri="{FF2B5EF4-FFF2-40B4-BE49-F238E27FC236}">
              <a16:creationId xmlns:a16="http://schemas.microsoft.com/office/drawing/2014/main" id="{CDC6A620-ECF1-0273-F0C8-D733A8CD799F}"/>
            </a:ext>
          </a:extLst>
        </xdr:cNvPr>
        <xdr:cNvPicPr>
          <a:picLocks noChangeAspect="1"/>
        </xdr:cNvPicPr>
      </xdr:nvPicPr>
      <xdr:blipFill>
        <a:blip xmlns:r="http://schemas.openxmlformats.org/officeDocument/2006/relationships" r:embed="rId1">
          <a:extLst>
            <a:ext uri="{837473B0-CC2E-450A-ABE3-18F120FF3D39}">
              <a1611:picAttrSrcUrl xmlns:a1611="http://schemas.microsoft.com/office/drawing/2016/11/main" r:id="rId2"/>
            </a:ext>
          </a:extLst>
        </a:blip>
        <a:stretch>
          <a:fillRect/>
        </a:stretch>
      </xdr:blipFill>
      <xdr:spPr>
        <a:xfrm>
          <a:off x="4762500" y="438150"/>
          <a:ext cx="1533525" cy="495300"/>
        </a:xfrm>
        <a:prstGeom prst="rect">
          <a:avLst/>
        </a:prstGeom>
      </xdr:spPr>
    </xdr:pic>
    <xdr:clientData/>
  </xdr:twoCellAnchor>
  <xdr:twoCellAnchor>
    <xdr:from>
      <xdr:col>33</xdr:col>
      <xdr:colOff>152400</xdr:colOff>
      <xdr:row>3</xdr:row>
      <xdr:rowOff>57150</xdr:rowOff>
    </xdr:from>
    <xdr:to>
      <xdr:col>33</xdr:col>
      <xdr:colOff>209550</xdr:colOff>
      <xdr:row>3</xdr:row>
      <xdr:rowOff>123825</xdr:rowOff>
    </xdr:to>
    <xdr:sp macro="" textlink="">
      <xdr:nvSpPr>
        <xdr:cNvPr id="3" name="TextBox 2">
          <a:extLst>
            <a:ext uri="{FF2B5EF4-FFF2-40B4-BE49-F238E27FC236}">
              <a16:creationId xmlns:a16="http://schemas.microsoft.com/office/drawing/2014/main" id="{BB408842-F769-07C6-CF21-3B46D4172B4A}"/>
            </a:ext>
            <a:ext uri="{147F2762-F138-4A5C-976F-8EAC2B608ADB}">
              <a16:predDERef xmlns:a16="http://schemas.microsoft.com/office/drawing/2014/main" pred="{CDC6A620-ECF1-0273-F0C8-D733A8CD799F}"/>
            </a:ext>
          </a:extLst>
        </xdr:cNvPr>
        <xdr:cNvSpPr txBox="1"/>
      </xdr:nvSpPr>
      <xdr:spPr>
        <a:xfrm flipH="1">
          <a:off x="20269200" y="628650"/>
          <a:ext cx="57150" cy="66675"/>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noAutofit/>
        </a:bodyPr>
        <a:lstStyle/>
        <a:p>
          <a:pPr algn="l"/>
          <a:r>
            <a:rPr lang="en-US" sz="900">
              <a:hlinkClick xmlns:r="http://schemas.openxmlformats.org/officeDocument/2006/relationships" r:id="rId2" tooltip="https://sv.wikipedia.org/wiki/Infosys"/>
            </a:rPr>
            <a:t>This Photo</a:t>
          </a:r>
          <a:r>
            <a:rPr lang="en-US" sz="900"/>
            <a:t> by Unknown Author is licensed under </a:t>
          </a:r>
          <a:r>
            <a:rPr lang="en-US" sz="900">
              <a:hlinkClick xmlns:r="http://schemas.openxmlformats.org/officeDocument/2006/relationships" r:id="rId3" tooltip="https://creativecommons.org/licenses/by-sa/3.0/"/>
            </a:rPr>
            <a:t>CC BY-SA</a:t>
          </a:r>
          <a:endParaRPr lang="en-US"/>
        </a:p>
      </xdr:txBody>
    </xdr:sp>
    <xdr:clientData/>
  </xdr:twoCellAnchor>
  <xdr:twoCellAnchor>
    <xdr:from>
      <xdr:col>4</xdr:col>
      <xdr:colOff>114300</xdr:colOff>
      <xdr:row>16</xdr:row>
      <xdr:rowOff>95250</xdr:rowOff>
    </xdr:from>
    <xdr:to>
      <xdr:col>8</xdr:col>
      <xdr:colOff>485775</xdr:colOff>
      <xdr:row>26</xdr:row>
      <xdr:rowOff>0</xdr:rowOff>
    </xdr:to>
    <xdr:graphicFrame macro="">
      <xdr:nvGraphicFramePr>
        <xdr:cNvPr id="7" name="Chart 6">
          <a:extLst>
            <a:ext uri="{FF2B5EF4-FFF2-40B4-BE49-F238E27FC236}">
              <a16:creationId xmlns:a16="http://schemas.microsoft.com/office/drawing/2014/main" id="{86838595-DDC3-EBEB-BE06-D2C38E37962A}"/>
            </a:ext>
            <a:ext uri="{147F2762-F138-4A5C-976F-8EAC2B608ADB}">
              <a16:predDERef xmlns:a16="http://schemas.microsoft.com/office/drawing/2014/main" pred="{BB408842-F769-07C6-CF21-3B46D4172B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16</xdr:row>
      <xdr:rowOff>133350</xdr:rowOff>
    </xdr:from>
    <xdr:to>
      <xdr:col>3</xdr:col>
      <xdr:colOff>600075</xdr:colOff>
      <xdr:row>25</xdr:row>
      <xdr:rowOff>171450</xdr:rowOff>
    </xdr:to>
    <xdr:graphicFrame macro="">
      <xdr:nvGraphicFramePr>
        <xdr:cNvPr id="8" name="Chart 7">
          <a:extLst>
            <a:ext uri="{FF2B5EF4-FFF2-40B4-BE49-F238E27FC236}">
              <a16:creationId xmlns:a16="http://schemas.microsoft.com/office/drawing/2014/main" id="{23A818DE-DA20-A237-B1B4-121FA679381B}"/>
            </a:ext>
            <a:ext uri="{147F2762-F138-4A5C-976F-8EAC2B608ADB}">
              <a16:predDERef xmlns:a16="http://schemas.microsoft.com/office/drawing/2014/main" pred="{86838595-DDC3-EBEB-BE06-D2C38E3796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9525</xdr:colOff>
      <xdr:row>37</xdr:row>
      <xdr:rowOff>85725</xdr:rowOff>
    </xdr:from>
    <xdr:to>
      <xdr:col>3</xdr:col>
      <xdr:colOff>581025</xdr:colOff>
      <xdr:row>47</xdr:row>
      <xdr:rowOff>171450</xdr:rowOff>
    </xdr:to>
    <xdr:graphicFrame macro="">
      <xdr:nvGraphicFramePr>
        <xdr:cNvPr id="9" name="Chart 8">
          <a:extLst>
            <a:ext uri="{FF2B5EF4-FFF2-40B4-BE49-F238E27FC236}">
              <a16:creationId xmlns:a16="http://schemas.microsoft.com/office/drawing/2014/main" id="{8BC4D10A-7AD0-93C2-0D12-E6AFF928BCA9}"/>
            </a:ext>
            <a:ext uri="{147F2762-F138-4A5C-976F-8EAC2B608ADB}">
              <a16:predDERef xmlns:a16="http://schemas.microsoft.com/office/drawing/2014/main" pred="{23A818DE-DA20-A237-B1B4-121FA6793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26</xdr:row>
      <xdr:rowOff>28575</xdr:rowOff>
    </xdr:from>
    <xdr:to>
      <xdr:col>3</xdr:col>
      <xdr:colOff>609600</xdr:colOff>
      <xdr:row>36</xdr:row>
      <xdr:rowOff>180975</xdr:rowOff>
    </xdr:to>
    <xdr:graphicFrame macro="">
      <xdr:nvGraphicFramePr>
        <xdr:cNvPr id="10" name="Chart 9">
          <a:extLst>
            <a:ext uri="{FF2B5EF4-FFF2-40B4-BE49-F238E27FC236}">
              <a16:creationId xmlns:a16="http://schemas.microsoft.com/office/drawing/2014/main" id="{53A5DD33-DA82-0A44-5828-3D4E753277D5}"/>
            </a:ext>
            <a:ext uri="{147F2762-F138-4A5C-976F-8EAC2B608ADB}">
              <a16:predDERef xmlns:a16="http://schemas.microsoft.com/office/drawing/2014/main" pred="{8BC4D10A-7AD0-93C2-0D12-E6AFF928B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114300</xdr:colOff>
      <xdr:row>26</xdr:row>
      <xdr:rowOff>114300</xdr:rowOff>
    </xdr:from>
    <xdr:to>
      <xdr:col>8</xdr:col>
      <xdr:colOff>476250</xdr:colOff>
      <xdr:row>37</xdr:row>
      <xdr:rowOff>0</xdr:rowOff>
    </xdr:to>
    <xdr:graphicFrame macro="">
      <xdr:nvGraphicFramePr>
        <xdr:cNvPr id="11" name="Chart 10">
          <a:extLst>
            <a:ext uri="{FF2B5EF4-FFF2-40B4-BE49-F238E27FC236}">
              <a16:creationId xmlns:a16="http://schemas.microsoft.com/office/drawing/2014/main" id="{11D939A2-72F8-6D4C-8C40-550D21C2DE72}"/>
            </a:ext>
            <a:ext uri="{147F2762-F138-4A5C-976F-8EAC2B608ADB}">
              <a16:predDERef xmlns:a16="http://schemas.microsoft.com/office/drawing/2014/main" pred="{53A5DD33-DA82-0A44-5828-3D4E753277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47625</xdr:colOff>
      <xdr:row>37</xdr:row>
      <xdr:rowOff>133350</xdr:rowOff>
    </xdr:from>
    <xdr:to>
      <xdr:col>8</xdr:col>
      <xdr:colOff>485775</xdr:colOff>
      <xdr:row>48</xdr:row>
      <xdr:rowOff>38100</xdr:rowOff>
    </xdr:to>
    <xdr:graphicFrame macro="">
      <xdr:nvGraphicFramePr>
        <xdr:cNvPr id="12" name="Chart 11">
          <a:extLst>
            <a:ext uri="{FF2B5EF4-FFF2-40B4-BE49-F238E27FC236}">
              <a16:creationId xmlns:a16="http://schemas.microsoft.com/office/drawing/2014/main" id="{6A273896-5A99-084C-EEA2-C2EF7EF51F9B}"/>
            </a:ext>
            <a:ext uri="{147F2762-F138-4A5C-976F-8EAC2B608ADB}">
              <a16:predDERef xmlns:a16="http://schemas.microsoft.com/office/drawing/2014/main" pred="{11D939A2-72F8-6D4C-8C40-550D21C2DE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57150</xdr:colOff>
      <xdr:row>49</xdr:row>
      <xdr:rowOff>0</xdr:rowOff>
    </xdr:from>
    <xdr:to>
      <xdr:col>8</xdr:col>
      <xdr:colOff>200025</xdr:colOff>
      <xdr:row>63</xdr:row>
      <xdr:rowOff>95250</xdr:rowOff>
    </xdr:to>
    <xdr:sp macro="" textlink="">
      <xdr:nvSpPr>
        <xdr:cNvPr id="13" name="TextBox 12">
          <a:extLst>
            <a:ext uri="{FF2B5EF4-FFF2-40B4-BE49-F238E27FC236}">
              <a16:creationId xmlns:a16="http://schemas.microsoft.com/office/drawing/2014/main" id="{052EE8EB-2F5C-E576-6472-A1B8C3C9306D}"/>
            </a:ext>
            <a:ext uri="{147F2762-F138-4A5C-976F-8EAC2B608ADB}">
              <a16:predDERef xmlns:a16="http://schemas.microsoft.com/office/drawing/2014/main" pred="{6A273896-5A99-084C-EEA2-C2EF7EF51F9B}"/>
            </a:ext>
          </a:extLst>
        </xdr:cNvPr>
        <xdr:cNvSpPr txBox="1"/>
      </xdr:nvSpPr>
      <xdr:spPr>
        <a:xfrm>
          <a:off x="57150" y="9391650"/>
          <a:ext cx="5943600" cy="276225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200" b="1">
              <a:solidFill>
                <a:srgbClr val="2596BE"/>
              </a:solidFill>
              <a:latin typeface="+mn-lt"/>
              <a:ea typeface="+mn-lt"/>
              <a:cs typeface="+mn-lt"/>
            </a:rPr>
            <a:t>Recent Updates ;</a:t>
          </a:r>
          <a:endParaRPr lang="en-US" sz="1200">
            <a:solidFill>
              <a:schemeClr val="tx1"/>
            </a:solidFill>
            <a:latin typeface="+mn-lt"/>
            <a:ea typeface="+mn-lt"/>
            <a:cs typeface="+mn-lt"/>
          </a:endParaRPr>
        </a:p>
        <a:p>
          <a:pPr marL="0" indent="0" algn="l"/>
          <a:r>
            <a:rPr lang="en-US" sz="1200">
              <a:solidFill>
                <a:schemeClr val="tx1"/>
              </a:solidFill>
              <a:latin typeface="+mn-lt"/>
              <a:ea typeface="+mn-lt"/>
              <a:cs typeface="+mn-lt"/>
            </a:rPr>
            <a:t> Infosys reported a 27.8 per cent quarter-on-quarter growth in its consolidated net profit to Rs 8,501 crore in the quarter ended March 31, 2026. It stood at Rs 6,654 crore in the previous quarter. On a year-on-year (YoY) basis, the consolidated net profit increased 21 per cent YoY from Rs Rs 7,033 crore in the same period last year.</a:t>
          </a:r>
        </a:p>
        <a:p>
          <a:pPr marL="0" indent="0" algn="l"/>
          <a:r>
            <a:rPr lang="en-US" sz="1200">
              <a:solidFill>
                <a:schemeClr val="tx1"/>
              </a:solidFill>
              <a:latin typeface="+mn-lt"/>
              <a:ea typeface="+mn-lt"/>
              <a:cs typeface="+mn-lt"/>
            </a:rPr>
            <a:t>The topline was 2 per cent higher quarter-on-quarter versus Rs 45,479 crore in the October-December quarter of FY26.</a:t>
          </a:r>
        </a:p>
        <a:p>
          <a:pPr marL="0" indent="0" algn="l"/>
          <a:r>
            <a:rPr lang="en-US" sz="1200">
              <a:solidFill>
                <a:schemeClr val="tx1"/>
              </a:solidFill>
              <a:latin typeface="+mn-lt"/>
              <a:ea typeface="+mn-lt"/>
              <a:cs typeface="+mn-lt"/>
            </a:rPr>
            <a:t>The IT major’s revenue from operations stood at Rs 46,402 crore in the January-March quarter of FY26 against Rs 45,479 crore posted in the previous quarter, representing an increase of 2 per cent QoQ. YoY, it was up 13.4 per cent from Rs 40,925 crore posetd in the corresponding quarter of the previous financial year.</a:t>
          </a:r>
        </a:p>
        <a:p>
          <a:pPr marL="0" indent="0" algn="l"/>
          <a:r>
            <a:rPr lang="en-US" sz="1200">
              <a:solidFill>
                <a:schemeClr val="tx1"/>
              </a:solidFill>
              <a:latin typeface="+mn-lt"/>
              <a:ea typeface="+mn-lt"/>
              <a:cs typeface="+mn-lt"/>
            </a:rPr>
            <a:t>Board of Infosys has announced a dividend of Rs 25 per equity share for the financial year ended March 31, 2026.</a:t>
          </a:r>
          <a:endParaRPr lang="en-US" sz="1100">
            <a:solidFill>
              <a:srgbClr val="2596BE"/>
            </a:solidFill>
            <a:latin typeface="+mn-lt"/>
            <a:ea typeface="+mn-lt"/>
            <a:cs typeface="+mn-lt"/>
          </a:endParaRPr>
        </a:p>
        <a:p>
          <a:pPr marL="0" indent="0" algn="l"/>
          <a:endParaRPr lang="en-US" sz="1100">
            <a:solidFill>
              <a:srgbClr val="2596BE"/>
            </a:solidFill>
            <a:latin typeface="+mn-lt"/>
            <a:ea typeface="+mn-lt"/>
            <a:cs typeface="+mn-lt"/>
          </a:endParaRPr>
        </a:p>
        <a:p>
          <a:pPr marL="0" indent="0" algn="l"/>
          <a:endParaRPr lang="en-US" sz="1100">
            <a:solidFill>
              <a:srgbClr val="2596BE"/>
            </a:solidFill>
            <a:latin typeface="+mn-lt"/>
            <a:ea typeface="+mn-lt"/>
            <a:cs typeface="+mn-lt"/>
          </a:endParaRPr>
        </a:p>
        <a:p>
          <a:pPr marL="0" indent="0" algn="l"/>
          <a:endParaRPr lang="en-US" sz="1100">
            <a:latin typeface="+mn-lt"/>
            <a:ea typeface="+mn-lt"/>
            <a:cs typeface="+mn-lt"/>
          </a:endParaRPr>
        </a:p>
      </xdr:txBody>
    </xdr:sp>
    <xdr:clientData/>
  </xdr:twoCellAnchor>
  <xdr:twoCellAnchor>
    <xdr:from>
      <xdr:col>0</xdr:col>
      <xdr:colOff>57150</xdr:colOff>
      <xdr:row>106</xdr:row>
      <xdr:rowOff>38100</xdr:rowOff>
    </xdr:from>
    <xdr:to>
      <xdr:col>8</xdr:col>
      <xdr:colOff>390525</xdr:colOff>
      <xdr:row>122</xdr:row>
      <xdr:rowOff>57150</xdr:rowOff>
    </xdr:to>
    <xdr:sp macro="" textlink="">
      <xdr:nvSpPr>
        <xdr:cNvPr id="14" name="TextBox 13">
          <a:extLst>
            <a:ext uri="{FF2B5EF4-FFF2-40B4-BE49-F238E27FC236}">
              <a16:creationId xmlns:a16="http://schemas.microsoft.com/office/drawing/2014/main" id="{6E865DAB-04CF-1BB9-3B85-8F6ECE20941F}"/>
            </a:ext>
            <a:ext uri="{147F2762-F138-4A5C-976F-8EAC2B608ADB}">
              <a16:predDERef xmlns:a16="http://schemas.microsoft.com/office/drawing/2014/main" pred="{052EE8EB-2F5C-E576-6472-A1B8C3C9306D}"/>
            </a:ext>
          </a:extLst>
        </xdr:cNvPr>
        <xdr:cNvSpPr txBox="1"/>
      </xdr:nvSpPr>
      <xdr:spPr>
        <a:xfrm>
          <a:off x="57150" y="20516850"/>
          <a:ext cx="6134100" cy="306705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600" b="1">
              <a:solidFill>
                <a:srgbClr val="2596BE"/>
              </a:solidFill>
              <a:latin typeface="+mn-lt"/>
              <a:ea typeface="+mn-lt"/>
              <a:cs typeface="+mn-lt"/>
            </a:rPr>
            <a:t>Dupont Summary</a:t>
          </a:r>
          <a:endParaRPr lang="en-US" sz="1600">
            <a:solidFill>
              <a:srgbClr val="000000"/>
            </a:solidFill>
            <a:latin typeface="+mn-lt"/>
            <a:ea typeface="+mn-lt"/>
            <a:cs typeface="+mn-lt"/>
          </a:endParaRPr>
        </a:p>
        <a:p>
          <a:pPr marL="0" indent="0" algn="l"/>
          <a:r>
            <a:rPr lang="en-US" sz="1600">
              <a:solidFill>
                <a:srgbClr val="000000"/>
              </a:solidFill>
              <a:latin typeface="+mn-lt"/>
              <a:ea typeface="+mn-lt"/>
              <a:cs typeface="+mn-lt"/>
            </a:rPr>
            <a:t>Infosys demonstrates strong and relatively stable shareholder returns, with ROE increasing from 14.13% in FY2020 to 18.78% in FY2026. The improvement in ROE has been supported primarily by asset efficiency and, to a lesser extent, financial leverage, while net profit margins have remained relatively stable despite some pressure in recent years. The low equity multiplier indicates that Infosys achieves a high ROE without relying heavily on financial leverage, reflecting a relatively conservative capital structure. The recovery in ROE in FY2026 suggests an improvement in overall profitability and capital efficiency.</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Infosys_3_Statement_Model-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icalFS"/>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creener.in/excel/"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72303-8FC1-4D9A-9AAB-50830BDC1FB4}">
  <dimension ref="A2:N148"/>
  <sheetViews>
    <sheetView showGridLines="0" workbookViewId="0">
      <selection activeCell="Y18" sqref="Y18"/>
    </sheetView>
  </sheetViews>
  <sheetFormatPr defaultRowHeight="15"/>
  <cols>
    <col min="1" max="1" width="1.85546875" customWidth="1"/>
    <col min="2" max="2" width="13.28515625" bestFit="1" customWidth="1"/>
    <col min="3" max="3" width="15.42578125" bestFit="1" customWidth="1"/>
    <col min="4" max="4" width="17" bestFit="1" customWidth="1"/>
    <col min="7" max="8" width="10.85546875" bestFit="1" customWidth="1"/>
    <col min="9" max="9" width="10.7109375" customWidth="1"/>
    <col min="10" max="10" width="10.85546875" bestFit="1" customWidth="1"/>
    <col min="11" max="11" width="17.7109375" customWidth="1"/>
  </cols>
  <sheetData>
    <row r="2" spans="1:14" ht="18.75" customHeight="1">
      <c r="A2" s="105"/>
      <c r="B2" s="194" t="s">
        <v>0</v>
      </c>
      <c r="C2" s="194"/>
      <c r="D2" s="194"/>
      <c r="E2" s="194"/>
      <c r="F2" s="194"/>
      <c r="G2" s="194"/>
      <c r="H2" s="194"/>
      <c r="I2" s="194"/>
      <c r="J2" s="194"/>
      <c r="K2" s="194"/>
      <c r="L2" s="105"/>
      <c r="M2" s="105"/>
      <c r="N2" s="105"/>
    </row>
    <row r="3" spans="1:14">
      <c r="A3" s="105"/>
      <c r="B3" s="7"/>
      <c r="C3" s="105"/>
      <c r="D3" s="105"/>
      <c r="E3" s="105"/>
      <c r="F3" s="105"/>
      <c r="G3" s="105"/>
      <c r="H3" s="105"/>
      <c r="I3" s="105"/>
      <c r="J3" s="105"/>
      <c r="K3" s="105"/>
      <c r="L3" s="105"/>
      <c r="M3" s="105"/>
      <c r="N3" s="105"/>
    </row>
    <row r="4" spans="1:14" ht="18.75">
      <c r="A4" s="105"/>
      <c r="B4" s="135"/>
      <c r="C4" s="105"/>
      <c r="D4" s="105"/>
      <c r="E4" s="105"/>
      <c r="F4" s="105"/>
      <c r="G4" s="105"/>
      <c r="H4" s="105"/>
      <c r="I4" s="105"/>
      <c r="J4" s="105"/>
      <c r="K4" s="105"/>
      <c r="L4" s="105"/>
      <c r="M4" s="105"/>
      <c r="N4" s="105"/>
    </row>
    <row r="5" spans="1:14">
      <c r="A5" s="105"/>
      <c r="B5" s="105"/>
      <c r="C5" s="105"/>
      <c r="D5" s="105"/>
      <c r="E5" s="105"/>
      <c r="F5" s="105"/>
      <c r="G5" s="105"/>
      <c r="H5" s="105"/>
      <c r="I5" s="105"/>
      <c r="J5" s="105"/>
      <c r="K5" s="105"/>
      <c r="L5" s="105"/>
      <c r="M5" s="105"/>
      <c r="N5" s="105"/>
    </row>
    <row r="6" spans="1:14">
      <c r="A6" s="105"/>
      <c r="B6" s="105"/>
      <c r="C6" s="105"/>
      <c r="D6" s="105"/>
      <c r="E6" s="105"/>
      <c r="F6" s="105"/>
      <c r="G6" s="105"/>
      <c r="H6" s="105"/>
      <c r="I6" s="105"/>
      <c r="J6" s="105"/>
      <c r="K6" s="105"/>
      <c r="L6" s="105"/>
      <c r="M6" s="105"/>
      <c r="N6" s="105"/>
    </row>
    <row r="7" spans="1:14">
      <c r="A7" s="105"/>
      <c r="B7" s="146"/>
      <c r="C7" s="146"/>
      <c r="D7" s="146"/>
      <c r="E7" s="105"/>
      <c r="F7" s="105"/>
      <c r="G7" s="105"/>
      <c r="H7" s="105"/>
      <c r="I7" s="105"/>
      <c r="J7" s="105"/>
      <c r="K7" s="105"/>
      <c r="L7" s="105"/>
      <c r="M7" s="105"/>
      <c r="N7" s="105"/>
    </row>
    <row r="8" spans="1:14">
      <c r="A8" s="105"/>
      <c r="B8" s="147"/>
      <c r="C8" s="148"/>
      <c r="D8" s="148"/>
      <c r="E8" s="105"/>
      <c r="F8" s="105"/>
      <c r="G8" s="105"/>
      <c r="H8" s="105"/>
      <c r="I8" s="105"/>
      <c r="J8" s="105"/>
      <c r="K8" s="105"/>
      <c r="L8" s="105"/>
      <c r="M8" s="105"/>
      <c r="N8" s="105"/>
    </row>
    <row r="9" spans="1:14" s="105" customFormat="1" ht="5.25" customHeight="1">
      <c r="B9" s="147"/>
      <c r="C9" s="148"/>
      <c r="D9" s="148"/>
    </row>
    <row r="10" spans="1:14">
      <c r="A10" s="105"/>
      <c r="B10" s="146"/>
      <c r="C10" s="146"/>
      <c r="D10" s="146"/>
      <c r="E10" s="105"/>
      <c r="F10" s="105"/>
      <c r="G10" s="105"/>
      <c r="H10" s="105"/>
      <c r="I10" s="105"/>
      <c r="J10" s="105"/>
      <c r="K10" s="105"/>
      <c r="L10" s="105"/>
      <c r="M10" s="105"/>
      <c r="N10" s="105"/>
    </row>
    <row r="11" spans="1:14">
      <c r="A11" s="105"/>
      <c r="B11" s="148"/>
      <c r="C11" s="148"/>
      <c r="D11" s="148"/>
      <c r="E11" s="105"/>
      <c r="F11" s="105"/>
      <c r="G11" s="105"/>
      <c r="H11" s="105"/>
      <c r="I11" s="105"/>
      <c r="J11" s="105"/>
      <c r="K11" s="105"/>
      <c r="L11" s="105"/>
      <c r="M11" s="105"/>
      <c r="N11" s="105"/>
    </row>
    <row r="12" spans="1:14">
      <c r="A12" s="105"/>
      <c r="B12" s="105"/>
      <c r="C12" s="105"/>
      <c r="D12" s="105"/>
      <c r="E12" s="105"/>
      <c r="F12" s="105"/>
      <c r="G12" s="105"/>
      <c r="H12" s="105"/>
      <c r="I12" s="105"/>
      <c r="J12" s="105"/>
      <c r="K12" s="105"/>
      <c r="L12" s="105"/>
      <c r="M12" s="105"/>
      <c r="N12" s="105"/>
    </row>
    <row r="13" spans="1:14">
      <c r="A13" s="105"/>
      <c r="B13" s="105"/>
      <c r="C13" s="105"/>
      <c r="D13" s="105"/>
      <c r="E13" s="105"/>
      <c r="F13" s="105"/>
      <c r="G13" s="105"/>
      <c r="H13" s="105"/>
      <c r="I13" s="105"/>
      <c r="J13" s="105"/>
      <c r="K13" s="105"/>
      <c r="L13" s="105"/>
      <c r="M13" s="105"/>
      <c r="N13" s="105"/>
    </row>
    <row r="14" spans="1:14" s="105" customFormat="1">
      <c r="A14" s="148"/>
      <c r="B14" s="148"/>
      <c r="C14" s="148"/>
      <c r="D14" s="148"/>
      <c r="E14" s="148"/>
      <c r="F14" s="148"/>
    </row>
    <row r="15" spans="1:14" s="105" customFormat="1" ht="15.75">
      <c r="A15" s="148"/>
      <c r="B15" s="154" t="s">
        <v>1</v>
      </c>
      <c r="C15" s="154"/>
      <c r="D15" s="154" t="s">
        <v>2</v>
      </c>
      <c r="E15" s="148"/>
      <c r="F15" s="148"/>
      <c r="G15" s="97" t="s">
        <v>3</v>
      </c>
      <c r="H15" s="97"/>
    </row>
    <row r="16" spans="1:14" s="105" customFormat="1">
      <c r="A16" s="148"/>
      <c r="B16" s="148"/>
      <c r="C16" s="148"/>
      <c r="D16" s="148"/>
      <c r="E16" s="148"/>
      <c r="F16" s="148"/>
    </row>
    <row r="17" spans="1:14" s="105" customFormat="1">
      <c r="A17" s="148"/>
      <c r="B17" s="148" t="s">
        <v>4</v>
      </c>
      <c r="C17" s="148"/>
      <c r="D17" s="148" t="s">
        <v>5</v>
      </c>
      <c r="E17" s="148"/>
      <c r="F17" s="148"/>
      <c r="G17" s="155" t="s">
        <v>6</v>
      </c>
      <c r="H17" s="155"/>
      <c r="I17" s="155"/>
      <c r="J17" s="155" t="s">
        <v>7</v>
      </c>
      <c r="K17" s="155"/>
      <c r="L17" s="155"/>
    </row>
    <row r="18" spans="1:14" s="105" customFormat="1">
      <c r="A18" s="148"/>
      <c r="B18" s="148" t="s">
        <v>8</v>
      </c>
      <c r="C18" s="148"/>
      <c r="D18" s="148" t="s">
        <v>9</v>
      </c>
      <c r="E18" s="148"/>
      <c r="F18" s="148"/>
      <c r="G18" s="155" t="s">
        <v>10</v>
      </c>
      <c r="H18" s="155"/>
      <c r="I18" s="155"/>
      <c r="J18" s="155" t="s">
        <v>11</v>
      </c>
      <c r="K18" s="155"/>
      <c r="L18" s="155"/>
    </row>
    <row r="19" spans="1:14" s="105" customFormat="1">
      <c r="A19" s="148"/>
      <c r="B19" s="148" t="s">
        <v>12</v>
      </c>
      <c r="C19" s="148"/>
      <c r="D19" s="148" t="s">
        <v>13</v>
      </c>
      <c r="E19" s="148"/>
      <c r="F19" s="148"/>
      <c r="G19" s="155" t="s">
        <v>14</v>
      </c>
      <c r="H19" s="155"/>
      <c r="I19" s="155"/>
      <c r="J19" s="155" t="s">
        <v>15</v>
      </c>
      <c r="K19" s="155"/>
      <c r="L19" s="155"/>
    </row>
    <row r="20" spans="1:14" s="105" customFormat="1">
      <c r="A20" s="148"/>
      <c r="B20" s="148" t="s">
        <v>16</v>
      </c>
      <c r="C20" s="148"/>
      <c r="D20" s="148" t="s">
        <v>17</v>
      </c>
      <c r="E20" s="148"/>
      <c r="F20" s="148"/>
      <c r="G20" s="155" t="s">
        <v>18</v>
      </c>
      <c r="H20" s="155"/>
      <c r="I20" s="155"/>
      <c r="J20" s="155" t="s">
        <v>19</v>
      </c>
      <c r="K20" s="155"/>
      <c r="L20" s="155"/>
    </row>
    <row r="21" spans="1:14" s="105" customFormat="1">
      <c r="A21" s="148"/>
      <c r="B21" s="148" t="s">
        <v>20</v>
      </c>
      <c r="C21" s="148"/>
      <c r="D21" s="148" t="s">
        <v>21</v>
      </c>
      <c r="E21" s="148"/>
      <c r="F21" s="148"/>
      <c r="G21" s="155" t="s">
        <v>22</v>
      </c>
      <c r="H21" s="155"/>
      <c r="I21" s="155"/>
      <c r="J21" s="155" t="s">
        <v>23</v>
      </c>
      <c r="K21" s="155"/>
      <c r="L21" s="155"/>
    </row>
    <row r="22" spans="1:14" s="105" customFormat="1">
      <c r="A22" s="148"/>
      <c r="B22" s="148" t="s">
        <v>24</v>
      </c>
      <c r="C22" s="148"/>
      <c r="D22" s="148" t="s">
        <v>25</v>
      </c>
      <c r="E22" s="148"/>
      <c r="F22" s="148"/>
      <c r="G22" s="155" t="s">
        <v>26</v>
      </c>
      <c r="H22" s="155"/>
      <c r="I22" s="155"/>
      <c r="J22" s="155" t="s">
        <v>27</v>
      </c>
      <c r="K22" s="155"/>
      <c r="L22" s="155"/>
    </row>
    <row r="23" spans="1:14" s="105" customFormat="1">
      <c r="A23" s="148"/>
      <c r="B23" s="148" t="s">
        <v>28</v>
      </c>
      <c r="C23" s="148"/>
      <c r="D23" s="148" t="s">
        <v>29</v>
      </c>
      <c r="E23" s="148"/>
      <c r="F23" s="148"/>
    </row>
    <row r="24" spans="1:14" s="105" customFormat="1">
      <c r="A24" s="148"/>
      <c r="B24" s="148"/>
      <c r="C24" s="148"/>
      <c r="D24" s="148"/>
      <c r="E24" s="148"/>
      <c r="F24" s="148"/>
    </row>
    <row r="25" spans="1:14" s="105" customFormat="1"/>
    <row r="26" spans="1:14">
      <c r="A26" s="105"/>
      <c r="B26" s="105"/>
      <c r="C26" s="105"/>
      <c r="D26" s="105"/>
      <c r="E26" s="105"/>
      <c r="F26" s="105"/>
      <c r="G26" s="105"/>
      <c r="H26" s="105"/>
      <c r="I26" s="105"/>
      <c r="J26" s="105"/>
      <c r="K26" s="105"/>
      <c r="L26" s="105"/>
      <c r="M26" s="105"/>
      <c r="N26" s="105"/>
    </row>
    <row r="27" spans="1:14" ht="18.75">
      <c r="A27" s="105"/>
      <c r="B27" s="149" t="s">
        <v>30</v>
      </c>
      <c r="C27" s="150"/>
      <c r="D27" s="150"/>
      <c r="E27" s="150"/>
      <c r="F27" s="150"/>
      <c r="G27" s="151"/>
      <c r="H27" s="151">
        <f>'Ratio Analysis'!J3</f>
        <v>45007</v>
      </c>
      <c r="I27" s="151">
        <f>'Ratio Analysis'!K3</f>
        <v>45373</v>
      </c>
      <c r="J27" s="151">
        <f>'Ratio Analysis'!L3</f>
        <v>45739</v>
      </c>
      <c r="K27" s="151">
        <f>'Ratio Analysis'!M3</f>
        <v>46105</v>
      </c>
      <c r="L27" s="105"/>
      <c r="M27" s="105"/>
      <c r="N27" s="105"/>
    </row>
    <row r="28" spans="1:14" ht="7.5" customHeight="1">
      <c r="A28" s="105"/>
      <c r="B28" s="105"/>
      <c r="C28" s="105"/>
      <c r="D28" s="105"/>
      <c r="E28" s="105"/>
      <c r="F28" s="105"/>
      <c r="G28" s="105"/>
      <c r="H28" s="105"/>
      <c r="I28" s="105"/>
      <c r="J28" s="105"/>
      <c r="K28" s="105"/>
      <c r="L28" s="105"/>
      <c r="M28" s="105"/>
      <c r="N28" s="105"/>
    </row>
    <row r="29" spans="1:14">
      <c r="A29" s="105"/>
      <c r="B29" s="105" t="s">
        <v>31</v>
      </c>
      <c r="C29" s="105"/>
      <c r="D29" s="105"/>
      <c r="E29" s="105"/>
      <c r="F29" s="105"/>
      <c r="G29" s="28"/>
      <c r="H29" s="28">
        <f>'Data Sheet'!H17</f>
        <v>146767</v>
      </c>
      <c r="I29" s="28">
        <f>'Data Sheet'!I17</f>
        <v>153670</v>
      </c>
      <c r="J29" s="28">
        <f>'Data Sheet'!J17</f>
        <v>162990</v>
      </c>
      <c r="K29" s="28">
        <f>'Data Sheet'!K17</f>
        <v>178650</v>
      </c>
      <c r="L29" s="105"/>
      <c r="M29" s="105"/>
      <c r="N29" s="105"/>
    </row>
    <row r="30" spans="1:14">
      <c r="A30" s="105"/>
      <c r="B30" s="105" t="s">
        <v>32</v>
      </c>
      <c r="C30" s="105"/>
      <c r="D30" s="105"/>
      <c r="E30" s="105"/>
      <c r="F30" s="105"/>
      <c r="G30" s="65"/>
      <c r="H30" s="65">
        <f>'Ratio Analysis'!J5</f>
        <v>0.20655864387829759</v>
      </c>
      <c r="I30" s="65">
        <f>'Ratio Analysis'!K5</f>
        <v>4.7033733741236095E-2</v>
      </c>
      <c r="J30" s="65">
        <f>'Ratio Analysis'!L5</f>
        <v>6.0649443612936782E-2</v>
      </c>
      <c r="K30" s="65">
        <f>'Ratio Analysis'!M5</f>
        <v>9.6079514080618544E-2</v>
      </c>
      <c r="L30" s="105"/>
      <c r="M30" s="105"/>
      <c r="N30" s="105"/>
    </row>
    <row r="31" spans="1:14" s="105" customFormat="1">
      <c r="B31" s="105" t="s">
        <v>33</v>
      </c>
      <c r="G31" s="65"/>
      <c r="H31" s="65">
        <f>'Ratio Analysis'!J11</f>
        <v>0.28539794367943749</v>
      </c>
      <c r="I31" s="65">
        <f>'Ratio Analysis'!K11</f>
        <v>0.28398516301164833</v>
      </c>
      <c r="J31" s="65">
        <f>'Ratio Analysis'!L11</f>
        <v>0.2847107184489846</v>
      </c>
      <c r="K31" s="65">
        <f>'Ratio Analysis'!M11</f>
        <v>0.28207668625804644</v>
      </c>
    </row>
    <row r="32" spans="1:14">
      <c r="A32" s="105"/>
      <c r="B32" s="105" t="s">
        <v>34</v>
      </c>
      <c r="C32" s="105"/>
      <c r="D32" s="105"/>
      <c r="E32" s="105"/>
      <c r="F32" s="105"/>
      <c r="G32" s="65"/>
      <c r="H32" s="65">
        <f>'Ratio Analysis'!J12</f>
        <v>0.23935898396778568</v>
      </c>
      <c r="I32" s="65">
        <f>'Ratio Analysis'!K12</f>
        <v>0.23703390381987374</v>
      </c>
      <c r="J32" s="65">
        <f>'Ratio Analysis'!L12</f>
        <v>0.24072642493404503</v>
      </c>
      <c r="K32" s="65">
        <f>'Ratio Analysis'!M12</f>
        <v>0.23666386789812482</v>
      </c>
      <c r="L32" s="105"/>
      <c r="M32" s="105"/>
      <c r="N32" s="105"/>
    </row>
    <row r="33" spans="1:14">
      <c r="A33" s="105"/>
      <c r="B33" s="105" t="s">
        <v>35</v>
      </c>
      <c r="C33" s="105"/>
      <c r="D33" s="105"/>
      <c r="E33" s="105"/>
      <c r="F33" s="105"/>
      <c r="G33" s="65"/>
      <c r="H33" s="65">
        <f>'Ratio Analysis'!I13</f>
        <v>0.23030885967724699</v>
      </c>
      <c r="I33" s="65">
        <f>'Ratio Analysis'!J13</f>
        <v>0.21057185879659596</v>
      </c>
      <c r="J33" s="65">
        <f>'Ratio Analysis'!K13</f>
        <v>0.20659204789483959</v>
      </c>
      <c r="K33" s="65">
        <f>'Ratio Analysis'!L13</f>
        <v>0.21120314129701209</v>
      </c>
      <c r="L33" s="105"/>
      <c r="M33" s="105"/>
      <c r="N33" s="105"/>
    </row>
    <row r="34" spans="1:14">
      <c r="A34" s="105"/>
      <c r="B34" s="105" t="s">
        <v>36</v>
      </c>
      <c r="C34" s="105"/>
      <c r="D34" s="105"/>
      <c r="E34" s="105"/>
      <c r="F34" s="105"/>
      <c r="G34" s="65"/>
      <c r="H34" s="65">
        <f>'Ratio Analysis'!J15</f>
        <v>0.14585703870761138</v>
      </c>
      <c r="I34" s="65">
        <f>'Ratio Analysis'!K15</f>
        <v>0.14015097286392919</v>
      </c>
      <c r="J34" s="65">
        <f>'Ratio Analysis'!L15</f>
        <v>0.14203325357383889</v>
      </c>
      <c r="K34" s="65">
        <f>'Ratio Analysis'!M15</f>
        <v>0.14800447802966696</v>
      </c>
      <c r="L34" s="105"/>
      <c r="M34" s="105"/>
      <c r="N34" s="105"/>
    </row>
    <row r="35" spans="1:14">
      <c r="A35" s="105"/>
      <c r="B35" s="105" t="s">
        <v>37</v>
      </c>
      <c r="C35" s="105"/>
      <c r="D35" s="105"/>
      <c r="E35" s="105"/>
      <c r="F35" s="105"/>
      <c r="G35" s="152"/>
      <c r="H35" s="152">
        <f>HistoricalFS!I38</f>
        <v>51.600539941184977</v>
      </c>
      <c r="I35" s="152">
        <f>HistoricalFS!J38</f>
        <v>51.885133344575877</v>
      </c>
      <c r="J35" s="152">
        <f>HistoricalFS!K38</f>
        <v>55.738810102809815</v>
      </c>
      <c r="K35" s="152">
        <f>HistoricalFS!L38</f>
        <v>65.196271821678664</v>
      </c>
      <c r="L35" s="105"/>
      <c r="M35" s="105"/>
      <c r="N35" s="105"/>
    </row>
    <row r="36" spans="1:14">
      <c r="A36" s="105"/>
      <c r="B36" s="105" t="s">
        <v>38</v>
      </c>
      <c r="C36" s="105"/>
      <c r="D36" s="105"/>
      <c r="E36" s="105"/>
      <c r="F36" s="105"/>
      <c r="G36" s="65"/>
      <c r="H36" s="65">
        <f>HistoricalFS!I39</f>
        <v>9.3486430762091954E-2</v>
      </c>
      <c r="I36" s="65">
        <f>HistoricalFS!J39</f>
        <v>5.5153183225462588E-3</v>
      </c>
      <c r="J36" s="65">
        <f>HistoricalFS!K39</f>
        <v>7.4273236085588668E-2</v>
      </c>
      <c r="K36" s="65">
        <f>HistoricalFS!L39</f>
        <v>0.1696746253001209</v>
      </c>
      <c r="L36" s="105"/>
      <c r="M36" s="105"/>
      <c r="N36" s="105"/>
    </row>
    <row r="37" spans="1:14">
      <c r="A37" s="105"/>
      <c r="B37" s="105" t="s">
        <v>39</v>
      </c>
      <c r="C37" s="105"/>
      <c r="D37" s="105"/>
      <c r="E37" s="105"/>
      <c r="F37" s="105"/>
      <c r="G37" s="152"/>
      <c r="H37" s="152">
        <f>HistoricalFS!I41</f>
        <v>33.913127320059779</v>
      </c>
      <c r="I37" s="152">
        <f>HistoricalFS!J41</f>
        <v>45.901370787058234</v>
      </c>
      <c r="J37" s="152">
        <f>HistoricalFS!K41</f>
        <v>42.924421544314157</v>
      </c>
      <c r="K37" s="152">
        <f>HistoricalFS!L41</f>
        <v>47.910050300818625</v>
      </c>
      <c r="L37" s="105"/>
      <c r="M37" s="105"/>
      <c r="N37" s="105"/>
    </row>
    <row r="38" spans="1:14">
      <c r="A38" s="105"/>
      <c r="B38" s="105" t="s">
        <v>40</v>
      </c>
      <c r="C38" s="105"/>
      <c r="D38" s="105"/>
      <c r="E38" s="105"/>
      <c r="F38" s="105"/>
      <c r="G38" s="65"/>
      <c r="H38" s="65">
        <f>(HistoricalFS!I41-HistoricalFS!H41)/HistoricalFS!H41</f>
        <v>9.6761529392781709E-2</v>
      </c>
      <c r="I38" s="65">
        <f>(HistoricalFS!J41-HistoricalFS!I41)/HistoricalFS!I41</f>
        <v>0.35349861290755547</v>
      </c>
      <c r="J38" s="65">
        <f>(HistoricalFS!K41-HistoricalFS!J41)/HistoricalFS!J41</f>
        <v>-6.4855345095345587E-2</v>
      </c>
      <c r="K38" s="65">
        <f>(HistoricalFS!L41-HistoricalFS!K41)/HistoricalFS!K41</f>
        <v>0.11614900276192244</v>
      </c>
      <c r="L38" s="105"/>
      <c r="M38" s="105"/>
      <c r="N38" s="105"/>
    </row>
    <row r="39" spans="1:14">
      <c r="A39" s="105"/>
      <c r="B39" s="105"/>
      <c r="C39" s="105"/>
      <c r="D39" s="105"/>
      <c r="E39" s="105"/>
      <c r="F39" s="105"/>
      <c r="G39" s="105"/>
      <c r="H39" s="105"/>
      <c r="I39" s="105"/>
      <c r="J39" s="105"/>
      <c r="K39" s="33"/>
      <c r="L39" s="105"/>
      <c r="M39" s="105"/>
      <c r="N39" s="105"/>
    </row>
    <row r="40" spans="1:14" ht="18.75">
      <c r="A40" s="105"/>
      <c r="B40" s="149" t="s">
        <v>41</v>
      </c>
      <c r="C40" s="150"/>
      <c r="D40" s="150"/>
      <c r="E40" s="150"/>
      <c r="F40" s="150"/>
      <c r="G40" s="151"/>
      <c r="H40" s="151">
        <f t="shared" ref="H40:J40" si="0">H27</f>
        <v>45007</v>
      </c>
      <c r="I40" s="151">
        <f t="shared" si="0"/>
        <v>45373</v>
      </c>
      <c r="J40" s="151">
        <f t="shared" si="0"/>
        <v>45739</v>
      </c>
      <c r="K40" s="151">
        <f>K27</f>
        <v>46105</v>
      </c>
      <c r="L40" s="105"/>
      <c r="M40" s="105"/>
      <c r="N40" s="105"/>
    </row>
    <row r="41" spans="1:14" ht="9" customHeight="1">
      <c r="A41" s="105"/>
      <c r="B41" s="105"/>
      <c r="C41" s="105"/>
      <c r="D41" s="105"/>
      <c r="E41" s="105"/>
      <c r="F41" s="105"/>
      <c r="G41" s="105"/>
      <c r="H41" s="105"/>
      <c r="I41" s="105"/>
      <c r="J41" s="105"/>
      <c r="K41" s="105"/>
      <c r="L41" s="105"/>
      <c r="M41" s="105"/>
      <c r="N41" s="105"/>
    </row>
    <row r="42" spans="1:14">
      <c r="A42" s="105"/>
      <c r="B42" s="105" t="s">
        <v>42</v>
      </c>
      <c r="C42" s="105"/>
      <c r="D42" s="105"/>
      <c r="E42" s="105"/>
      <c r="F42" s="105"/>
      <c r="G42" s="65"/>
      <c r="H42" s="65">
        <f>'Ratio Analysis'!J23</f>
        <v>0.28388611136897107</v>
      </c>
      <c r="I42" s="65">
        <f>'Ratio Analysis'!K23</f>
        <v>0.24441645104180854</v>
      </c>
      <c r="J42" s="65">
        <f>'Ratio Analysis'!L23</f>
        <v>0.24160387401114614</v>
      </c>
      <c r="K42" s="65">
        <f>'Ratio Analysis'!M23</f>
        <v>0.28476500236936197</v>
      </c>
      <c r="L42" s="105"/>
      <c r="M42" s="105"/>
      <c r="N42" s="105"/>
    </row>
    <row r="43" spans="1:14">
      <c r="A43" s="105"/>
      <c r="B43" s="105" t="s">
        <v>43</v>
      </c>
      <c r="C43" s="105"/>
      <c r="D43" s="105"/>
      <c r="E43" s="105"/>
      <c r="F43" s="105"/>
      <c r="G43" s="65"/>
      <c r="H43" s="65">
        <f>'Ratio Analysis'!J21</f>
        <v>0.36920889780899818</v>
      </c>
      <c r="I43" s="65">
        <f>'Ratio Analysis'!K21</f>
        <v>0.32906970717802542</v>
      </c>
      <c r="J43" s="65">
        <f>'Ratio Analysis'!L21</f>
        <v>0.33085684079004279</v>
      </c>
      <c r="K43" s="65">
        <f>'Ratio Analysis'!M21</f>
        <v>0.36635041361194964</v>
      </c>
      <c r="L43" s="105"/>
      <c r="M43" s="105"/>
      <c r="N43" s="105"/>
    </row>
    <row r="44" spans="1:14">
      <c r="A44" s="105"/>
      <c r="B44" s="105" t="s">
        <v>44</v>
      </c>
      <c r="C44" s="105"/>
      <c r="D44" s="105"/>
      <c r="E44" s="105"/>
      <c r="F44" s="105"/>
      <c r="G44" s="65"/>
      <c r="H44" s="65">
        <f>'Ratio Analysis'!J22</f>
        <v>0.34277572756574948</v>
      </c>
      <c r="I44" s="65">
        <f>'Ratio Analysis'!K22</f>
        <v>0.1153271114825648</v>
      </c>
      <c r="J44" s="65">
        <f>'Ratio Analysis'!L22</f>
        <v>0.22990064794816423</v>
      </c>
      <c r="K44" s="65">
        <f>'Ratio Analysis'!M22</f>
        <v>0.26514125789493581</v>
      </c>
      <c r="L44" s="105"/>
      <c r="M44" s="105"/>
      <c r="N44" s="105"/>
    </row>
    <row r="45" spans="1:14">
      <c r="A45" s="105"/>
      <c r="B45" s="105" t="s">
        <v>45</v>
      </c>
      <c r="C45" s="105"/>
      <c r="D45" s="105"/>
      <c r="E45" s="105"/>
      <c r="F45" s="105"/>
      <c r="G45" s="65"/>
      <c r="H45" s="65">
        <f>'Ratio Analysis'!J24</f>
        <v>9.7309268370310439E-2</v>
      </c>
      <c r="I45" s="65">
        <f>'Ratio Analysis'!K24</f>
        <v>2.8187843297471496E-2</v>
      </c>
      <c r="J45" s="65">
        <f>'Ratio Analysis'!L24</f>
        <v>5.554488718194913E-2</v>
      </c>
      <c r="K45" s="65">
        <f>'Ratio Analysis'!M24</f>
        <v>7.5502950932667012E-2</v>
      </c>
      <c r="L45" s="105"/>
      <c r="M45" s="105"/>
      <c r="N45" s="105"/>
    </row>
    <row r="46" spans="1:14">
      <c r="A46" s="105"/>
      <c r="B46" s="105"/>
      <c r="C46" s="105"/>
      <c r="D46" s="105"/>
      <c r="E46" s="105"/>
      <c r="F46" s="105"/>
      <c r="G46" s="105"/>
      <c r="H46" s="105"/>
      <c r="I46" s="105"/>
      <c r="J46" s="105"/>
      <c r="K46" s="105"/>
      <c r="L46" s="105"/>
      <c r="M46" s="105"/>
      <c r="N46" s="105"/>
    </row>
    <row r="47" spans="1:14" ht="18.75">
      <c r="A47" s="105"/>
      <c r="B47" s="149" t="s">
        <v>46</v>
      </c>
      <c r="C47" s="150"/>
      <c r="D47" s="150"/>
      <c r="E47" s="150"/>
      <c r="F47" s="150"/>
      <c r="G47" s="151"/>
      <c r="H47" s="151">
        <v>45809</v>
      </c>
      <c r="I47" s="151">
        <v>45901</v>
      </c>
      <c r="J47" s="151">
        <v>45992</v>
      </c>
      <c r="K47" s="151">
        <v>46082</v>
      </c>
      <c r="L47" s="105"/>
      <c r="M47" s="105"/>
      <c r="N47" s="105"/>
    </row>
    <row r="48" spans="1:14" ht="7.5" customHeight="1">
      <c r="A48" s="105"/>
      <c r="B48" s="105"/>
      <c r="C48" s="105"/>
      <c r="D48" s="105"/>
      <c r="E48" s="105"/>
      <c r="F48" s="105"/>
      <c r="G48" s="105"/>
      <c r="H48" s="105"/>
      <c r="I48" s="105"/>
      <c r="J48" s="105"/>
      <c r="K48" s="105"/>
      <c r="L48" s="105"/>
      <c r="M48" s="105"/>
      <c r="N48" s="105"/>
    </row>
    <row r="49" spans="1:14">
      <c r="A49" s="105"/>
      <c r="B49" s="105" t="s">
        <v>47</v>
      </c>
      <c r="C49" s="65"/>
      <c r="D49" s="65"/>
      <c r="E49" s="65"/>
      <c r="F49" s="65"/>
      <c r="G49" s="65"/>
      <c r="H49" s="65">
        <v>0.14610000000000001</v>
      </c>
      <c r="I49" s="65">
        <v>0.14299999999999999</v>
      </c>
      <c r="J49" s="65">
        <v>0.1452</v>
      </c>
      <c r="K49" s="65">
        <v>0.14380000000000001</v>
      </c>
      <c r="L49" s="105"/>
      <c r="M49" s="105"/>
      <c r="N49" s="65"/>
    </row>
    <row r="50" spans="1:14">
      <c r="A50" s="105"/>
      <c r="B50" s="105" t="s">
        <v>48</v>
      </c>
      <c r="C50" s="65"/>
      <c r="D50" s="65"/>
      <c r="E50" s="65"/>
      <c r="F50" s="65"/>
      <c r="G50" s="65"/>
      <c r="H50" s="65">
        <v>0.31919999999999998</v>
      </c>
      <c r="I50" s="65">
        <v>0.30080000000000001</v>
      </c>
      <c r="J50" s="65">
        <v>0.30270000000000002</v>
      </c>
      <c r="K50" s="65">
        <v>0.28449999999999998</v>
      </c>
      <c r="L50" s="105"/>
      <c r="M50" s="105"/>
      <c r="N50" s="65"/>
    </row>
    <row r="51" spans="1:14">
      <c r="A51" s="105"/>
      <c r="B51" s="105" t="s">
        <v>49</v>
      </c>
      <c r="C51" s="65"/>
      <c r="D51" s="65"/>
      <c r="E51" s="65"/>
      <c r="F51" s="65"/>
      <c r="G51" s="65"/>
      <c r="H51" s="65">
        <v>0.39389999999999997</v>
      </c>
      <c r="I51" s="65">
        <v>0.41460000000000002</v>
      </c>
      <c r="J51" s="65">
        <v>0.4108</v>
      </c>
      <c r="K51" s="65">
        <v>0.43190000000000001</v>
      </c>
      <c r="L51" s="105"/>
      <c r="M51" s="105"/>
      <c r="N51" s="65"/>
    </row>
    <row r="52" spans="1:14">
      <c r="A52" s="105"/>
      <c r="B52" s="105" t="s">
        <v>50</v>
      </c>
      <c r="C52" s="65"/>
      <c r="D52" s="65"/>
      <c r="E52" s="65"/>
      <c r="F52" s="65"/>
      <c r="G52" s="65"/>
      <c r="H52" s="65">
        <v>2.0999999999999999E-3</v>
      </c>
      <c r="I52" s="65">
        <v>2E-3</v>
      </c>
      <c r="J52" s="65">
        <v>2E-3</v>
      </c>
      <c r="K52" s="65">
        <v>2E-3</v>
      </c>
      <c r="L52" s="105"/>
      <c r="M52" s="105"/>
      <c r="N52" s="65"/>
    </row>
    <row r="53" spans="1:14">
      <c r="A53" s="105"/>
      <c r="B53" s="105" t="s">
        <v>51</v>
      </c>
      <c r="C53" s="65"/>
      <c r="D53" s="65"/>
      <c r="E53" s="65"/>
      <c r="F53" s="65"/>
      <c r="G53" s="65"/>
      <c r="H53" s="65">
        <v>0.13619999999999999</v>
      </c>
      <c r="I53" s="65">
        <v>0.13700000000000001</v>
      </c>
      <c r="J53" s="65">
        <v>0.13689999999999999</v>
      </c>
      <c r="K53" s="65">
        <v>0.13539999999999999</v>
      </c>
      <c r="L53" s="105"/>
      <c r="M53" s="105"/>
      <c r="N53" s="65"/>
    </row>
    <row r="54" spans="1:14">
      <c r="A54" s="105"/>
      <c r="B54" s="105" t="s">
        <v>52</v>
      </c>
      <c r="C54" s="65"/>
      <c r="D54" s="65"/>
      <c r="E54" s="65"/>
      <c r="F54" s="65"/>
      <c r="G54" s="65"/>
      <c r="H54" s="65">
        <v>2.5000000000000001E-3</v>
      </c>
      <c r="I54" s="65">
        <v>2.3999999999999998E-3</v>
      </c>
      <c r="J54" s="65">
        <v>2.3999999999999998E-3</v>
      </c>
      <c r="K54" s="65">
        <v>2.3E-3</v>
      </c>
      <c r="L54" s="105"/>
      <c r="M54" s="105"/>
      <c r="N54" s="65"/>
    </row>
    <row r="55" spans="1:14">
      <c r="A55" s="105"/>
      <c r="B55" s="105" t="s">
        <v>53</v>
      </c>
      <c r="C55" s="105"/>
      <c r="D55" s="105"/>
      <c r="E55" s="105"/>
      <c r="F55" s="105"/>
      <c r="G55" s="153"/>
      <c r="H55" s="153" t="s">
        <v>54</v>
      </c>
      <c r="I55" s="153" t="s">
        <v>55</v>
      </c>
      <c r="J55" s="153" t="s">
        <v>56</v>
      </c>
      <c r="K55" s="153" t="s">
        <v>57</v>
      </c>
      <c r="L55" s="105"/>
      <c r="M55" s="105"/>
      <c r="N55" s="105"/>
    </row>
    <row r="56" spans="1:14">
      <c r="A56" s="105"/>
      <c r="B56" s="105"/>
      <c r="C56" s="105"/>
      <c r="D56" s="105"/>
      <c r="E56" s="105"/>
      <c r="F56" s="105"/>
      <c r="G56" s="105"/>
      <c r="H56" s="105"/>
      <c r="I56" s="105"/>
      <c r="J56" s="105"/>
      <c r="K56" s="105"/>
      <c r="L56" s="105"/>
      <c r="M56" s="105"/>
      <c r="N56" s="105"/>
    </row>
    <row r="57" spans="1:14">
      <c r="A57" s="105"/>
      <c r="B57" s="105"/>
      <c r="C57" s="105"/>
      <c r="D57" s="105"/>
      <c r="E57" s="105"/>
      <c r="F57" s="105"/>
      <c r="G57" s="105"/>
      <c r="H57" s="105"/>
      <c r="I57" s="105"/>
      <c r="J57" s="105"/>
      <c r="K57" s="105"/>
      <c r="L57" s="105"/>
      <c r="M57" s="105"/>
      <c r="N57" s="105"/>
    </row>
    <row r="58" spans="1:14">
      <c r="A58" s="105"/>
      <c r="B58" s="105"/>
      <c r="C58" s="105"/>
      <c r="D58" s="105"/>
      <c r="E58" s="105"/>
      <c r="F58" s="105"/>
      <c r="G58" s="105"/>
      <c r="H58" s="105"/>
      <c r="I58" s="105"/>
      <c r="J58" s="105"/>
      <c r="K58" s="105"/>
      <c r="L58" s="105"/>
      <c r="M58" s="105"/>
      <c r="N58" s="105"/>
    </row>
    <row r="59" spans="1:14">
      <c r="A59" s="105"/>
      <c r="B59" s="105"/>
      <c r="C59" s="105"/>
      <c r="D59" s="105"/>
      <c r="E59" s="105"/>
      <c r="F59" s="105"/>
      <c r="G59" s="105"/>
      <c r="H59" s="105"/>
      <c r="I59" s="105"/>
      <c r="J59" s="105"/>
      <c r="K59" s="105"/>
      <c r="L59" s="105"/>
      <c r="M59" s="105"/>
      <c r="N59" s="105"/>
    </row>
    <row r="60" spans="1:14">
      <c r="A60" s="105"/>
      <c r="B60" s="105"/>
      <c r="C60" s="105"/>
      <c r="D60" s="105"/>
      <c r="E60" s="105"/>
      <c r="F60" s="105"/>
      <c r="G60" s="105"/>
      <c r="H60" s="105"/>
      <c r="I60" s="105"/>
      <c r="J60" s="105"/>
      <c r="K60" s="105"/>
      <c r="L60" s="105"/>
      <c r="M60" s="105"/>
      <c r="N60" s="105"/>
    </row>
    <row r="61" spans="1:14">
      <c r="A61" s="105"/>
      <c r="B61" s="105"/>
      <c r="C61" s="105"/>
      <c r="D61" s="105"/>
      <c r="E61" s="105"/>
      <c r="F61" s="105"/>
      <c r="G61" s="105"/>
      <c r="H61" s="105"/>
      <c r="I61" s="105"/>
      <c r="J61" s="105"/>
      <c r="K61" s="105"/>
      <c r="L61" s="105"/>
      <c r="M61" s="105"/>
      <c r="N61" s="105"/>
    </row>
    <row r="62" spans="1:14">
      <c r="A62" s="105"/>
      <c r="B62" s="105"/>
      <c r="C62" s="105"/>
      <c r="D62" s="105"/>
      <c r="E62" s="105"/>
      <c r="F62" s="105"/>
      <c r="G62" s="105"/>
      <c r="H62" s="105"/>
      <c r="I62" s="105"/>
      <c r="J62" s="105"/>
      <c r="K62" s="105"/>
      <c r="L62" s="105"/>
      <c r="M62" s="105"/>
      <c r="N62" s="105"/>
    </row>
    <row r="63" spans="1:14">
      <c r="A63" s="105"/>
      <c r="B63" s="105"/>
      <c r="C63" s="105"/>
      <c r="D63" s="105"/>
      <c r="E63" s="105"/>
      <c r="F63" s="105"/>
      <c r="G63" s="105"/>
      <c r="H63" s="105"/>
      <c r="I63" s="105"/>
      <c r="J63" s="105"/>
      <c r="K63" s="105"/>
      <c r="L63" s="105"/>
      <c r="M63" s="105"/>
      <c r="N63" s="105"/>
    </row>
    <row r="64" spans="1:14">
      <c r="A64" s="105"/>
      <c r="B64" s="105"/>
      <c r="C64" s="105"/>
      <c r="D64" s="105"/>
      <c r="E64" s="105"/>
      <c r="F64" s="105"/>
      <c r="G64" s="105"/>
      <c r="H64" s="105"/>
      <c r="I64" s="105"/>
      <c r="J64" s="105"/>
      <c r="K64" s="105"/>
      <c r="L64" s="105"/>
      <c r="M64" s="105"/>
      <c r="N64" s="105"/>
    </row>
    <row r="65" spans="1:14">
      <c r="A65" s="105"/>
      <c r="B65" s="105"/>
      <c r="C65" s="105"/>
      <c r="D65" s="105"/>
      <c r="E65" s="105"/>
      <c r="F65" s="105"/>
      <c r="G65" s="105"/>
      <c r="H65" s="105"/>
      <c r="I65" s="105"/>
      <c r="J65" s="105"/>
      <c r="K65" s="105"/>
      <c r="L65" s="105"/>
      <c r="M65" s="105"/>
      <c r="N65" s="105"/>
    </row>
    <row r="66" spans="1:14">
      <c r="A66" s="105"/>
      <c r="B66" s="105"/>
      <c r="C66" s="105"/>
      <c r="D66" s="105"/>
      <c r="E66" s="105"/>
      <c r="F66" s="105"/>
      <c r="G66" s="105"/>
      <c r="H66" s="105"/>
      <c r="I66" s="105"/>
      <c r="J66" s="105"/>
      <c r="K66" s="105"/>
      <c r="L66" s="105"/>
      <c r="M66" s="105"/>
      <c r="N66" s="105"/>
    </row>
    <row r="67" spans="1:14">
      <c r="A67" s="105"/>
      <c r="B67" s="105"/>
      <c r="C67" s="105"/>
      <c r="D67" s="105"/>
      <c r="E67" s="105"/>
      <c r="F67" s="105"/>
      <c r="G67" s="105"/>
      <c r="H67" s="105"/>
      <c r="I67" s="105"/>
      <c r="J67" s="105"/>
      <c r="K67" s="105"/>
      <c r="L67" s="105"/>
      <c r="M67" s="105"/>
      <c r="N67" s="105"/>
    </row>
    <row r="68" spans="1:14">
      <c r="A68" s="105"/>
      <c r="B68" s="105"/>
      <c r="C68" s="105"/>
      <c r="D68" s="105"/>
      <c r="E68" s="105"/>
      <c r="F68" s="105"/>
      <c r="G68" s="105"/>
      <c r="H68" s="105"/>
      <c r="I68" s="105"/>
      <c r="J68" s="105"/>
      <c r="K68" s="105"/>
      <c r="L68" s="105"/>
      <c r="M68" s="105"/>
      <c r="N68" s="105"/>
    </row>
    <row r="69" spans="1:14">
      <c r="A69" s="105"/>
      <c r="B69" s="105"/>
      <c r="C69" s="105"/>
      <c r="D69" s="105"/>
      <c r="E69" s="105"/>
      <c r="F69" s="105"/>
      <c r="G69" s="105"/>
      <c r="H69" s="105"/>
      <c r="I69" s="105"/>
      <c r="J69" s="105"/>
      <c r="K69" s="105"/>
      <c r="L69" s="105"/>
      <c r="M69" s="105"/>
      <c r="N69" s="105"/>
    </row>
    <row r="70" spans="1:14">
      <c r="A70" s="105"/>
      <c r="B70" s="105"/>
      <c r="C70" s="105"/>
      <c r="D70" s="105"/>
      <c r="E70" s="105"/>
      <c r="F70" s="105"/>
      <c r="G70" s="105"/>
      <c r="H70" s="105"/>
      <c r="I70" s="105"/>
      <c r="J70" s="105"/>
      <c r="K70" s="105"/>
      <c r="L70" s="105"/>
      <c r="M70" s="105"/>
      <c r="N70" s="105"/>
    </row>
    <row r="71" spans="1:14">
      <c r="A71" s="105"/>
      <c r="B71" s="105"/>
      <c r="C71" s="105"/>
      <c r="D71" s="105"/>
      <c r="E71" s="105"/>
      <c r="F71" s="105"/>
      <c r="G71" s="105"/>
      <c r="H71" s="105"/>
      <c r="I71" s="105"/>
      <c r="J71" s="105"/>
      <c r="K71" s="105"/>
      <c r="L71" s="105"/>
      <c r="M71" s="105"/>
      <c r="N71" s="105"/>
    </row>
    <row r="72" spans="1:14">
      <c r="A72" s="105"/>
      <c r="B72" s="105"/>
      <c r="C72" s="105"/>
      <c r="D72" s="105"/>
      <c r="E72" s="105"/>
      <c r="F72" s="105"/>
      <c r="G72" s="105"/>
      <c r="H72" s="105"/>
      <c r="I72" s="105"/>
      <c r="J72" s="105"/>
      <c r="K72" s="105"/>
      <c r="L72" s="105"/>
      <c r="M72" s="105"/>
      <c r="N72" s="105"/>
    </row>
    <row r="73" spans="1:14">
      <c r="A73" s="105"/>
      <c r="B73" s="105"/>
      <c r="C73" s="105"/>
      <c r="D73" s="105"/>
      <c r="E73" s="105"/>
      <c r="F73" s="105"/>
      <c r="G73" s="105"/>
      <c r="H73" s="105"/>
      <c r="I73" s="105"/>
      <c r="J73" s="105"/>
      <c r="K73" s="105"/>
      <c r="L73" s="105"/>
      <c r="M73" s="105"/>
      <c r="N73" s="105"/>
    </row>
    <row r="74" spans="1:14">
      <c r="A74" s="105"/>
      <c r="B74" s="105"/>
      <c r="C74" s="105"/>
      <c r="D74" s="105"/>
      <c r="E74" s="105"/>
      <c r="F74" s="105"/>
      <c r="G74" s="105"/>
      <c r="H74" s="105"/>
      <c r="I74" s="105"/>
      <c r="J74" s="105"/>
      <c r="K74" s="105"/>
      <c r="L74" s="105"/>
      <c r="M74" s="105"/>
      <c r="N74" s="105"/>
    </row>
    <row r="75" spans="1:14">
      <c r="A75" s="105"/>
      <c r="B75" s="105"/>
      <c r="C75" s="105"/>
      <c r="D75" s="105"/>
      <c r="E75" s="105"/>
      <c r="F75" s="105"/>
      <c r="G75" s="105"/>
      <c r="H75" s="105"/>
      <c r="I75" s="105"/>
      <c r="J75" s="105"/>
      <c r="K75" s="105"/>
      <c r="L75" s="105"/>
      <c r="M75" s="105"/>
      <c r="N75" s="105"/>
    </row>
    <row r="76" spans="1:14">
      <c r="A76" s="105"/>
      <c r="B76" s="105"/>
      <c r="C76" s="105"/>
      <c r="D76" s="105"/>
      <c r="E76" s="105"/>
      <c r="F76" s="105"/>
      <c r="G76" s="105"/>
      <c r="H76" s="105"/>
      <c r="I76" s="105"/>
      <c r="J76" s="105"/>
      <c r="K76" s="105"/>
      <c r="L76" s="105"/>
      <c r="M76" s="105"/>
      <c r="N76" s="105"/>
    </row>
    <row r="77" spans="1:14">
      <c r="A77" s="105"/>
      <c r="B77" s="105"/>
      <c r="C77" s="105"/>
      <c r="D77" s="105"/>
      <c r="E77" s="105"/>
      <c r="F77" s="105"/>
      <c r="G77" s="105"/>
      <c r="H77" s="105"/>
      <c r="I77" s="105"/>
      <c r="J77" s="105"/>
      <c r="K77" s="105"/>
      <c r="L77" s="105"/>
      <c r="M77" s="105"/>
      <c r="N77" s="105"/>
    </row>
    <row r="78" spans="1:14">
      <c r="A78" s="105"/>
      <c r="B78" s="105"/>
      <c r="C78" s="105"/>
      <c r="D78" s="105"/>
      <c r="E78" s="105"/>
      <c r="F78" s="105"/>
      <c r="G78" s="105"/>
      <c r="H78" s="105"/>
      <c r="I78" s="105"/>
      <c r="J78" s="105"/>
      <c r="K78" s="105"/>
      <c r="L78" s="105"/>
      <c r="M78" s="105"/>
      <c r="N78" s="105"/>
    </row>
    <row r="79" spans="1:14">
      <c r="A79" s="105"/>
      <c r="B79" s="105"/>
      <c r="C79" s="105"/>
      <c r="D79" s="105"/>
      <c r="E79" s="105"/>
      <c r="F79" s="105"/>
      <c r="G79" s="105"/>
      <c r="H79" s="105"/>
      <c r="I79" s="105"/>
      <c r="J79" s="105"/>
      <c r="K79" s="105"/>
      <c r="L79" s="105"/>
      <c r="M79" s="105"/>
      <c r="N79" s="105"/>
    </row>
    <row r="80" spans="1:14">
      <c r="A80" s="105"/>
      <c r="B80" s="105"/>
      <c r="C80" s="105"/>
      <c r="D80" s="105"/>
      <c r="E80" s="105"/>
      <c r="F80" s="105"/>
      <c r="G80" s="105"/>
      <c r="H80" s="105"/>
      <c r="I80" s="105"/>
      <c r="J80" s="105"/>
      <c r="K80" s="105"/>
      <c r="L80" s="105"/>
      <c r="M80" s="105"/>
      <c r="N80" s="105"/>
    </row>
    <row r="81" spans="1:14">
      <c r="A81" s="105"/>
      <c r="B81" s="105"/>
      <c r="C81" s="105"/>
      <c r="D81" s="105"/>
      <c r="E81" s="105"/>
      <c r="F81" s="105"/>
      <c r="G81" s="105"/>
      <c r="H81" s="105"/>
      <c r="I81" s="105"/>
      <c r="J81" s="105"/>
      <c r="K81" s="105"/>
      <c r="L81" s="105"/>
      <c r="M81" s="105"/>
      <c r="N81" s="105"/>
    </row>
    <row r="82" spans="1:14">
      <c r="A82" s="105"/>
      <c r="B82" s="105"/>
      <c r="C82" s="105"/>
      <c r="D82" s="105"/>
      <c r="E82" s="105"/>
      <c r="F82" s="105"/>
      <c r="G82" s="105"/>
      <c r="H82" s="105"/>
      <c r="I82" s="105"/>
      <c r="J82" s="105"/>
      <c r="K82" s="105"/>
      <c r="L82" s="105"/>
      <c r="M82" s="105"/>
      <c r="N82" s="105"/>
    </row>
    <row r="83" spans="1:14">
      <c r="A83" s="105"/>
      <c r="B83" s="105"/>
      <c r="C83" s="105"/>
      <c r="D83" s="105"/>
      <c r="E83" s="105"/>
      <c r="F83" s="105"/>
      <c r="G83" s="105"/>
      <c r="H83" s="105"/>
      <c r="I83" s="105"/>
      <c r="J83" s="105"/>
      <c r="K83" s="105"/>
      <c r="L83" s="105"/>
      <c r="M83" s="105"/>
      <c r="N83" s="105"/>
    </row>
    <row r="84" spans="1:14">
      <c r="A84" s="105"/>
      <c r="B84" s="105"/>
      <c r="C84" s="105"/>
      <c r="D84" s="105"/>
      <c r="E84" s="105"/>
      <c r="F84" s="105"/>
      <c r="G84" s="105"/>
      <c r="H84" s="105"/>
      <c r="I84" s="105"/>
      <c r="J84" s="105"/>
      <c r="K84" s="105"/>
      <c r="L84" s="105"/>
      <c r="M84" s="105"/>
      <c r="N84" s="105"/>
    </row>
    <row r="85" spans="1:14">
      <c r="A85" s="105"/>
      <c r="B85" s="105"/>
      <c r="C85" s="105"/>
      <c r="D85" s="105"/>
      <c r="E85" s="105"/>
      <c r="F85" s="105"/>
      <c r="G85" s="105"/>
      <c r="H85" s="105"/>
      <c r="I85" s="105"/>
      <c r="J85" s="105"/>
      <c r="K85" s="105"/>
      <c r="L85" s="105"/>
      <c r="M85" s="105"/>
      <c r="N85" s="105"/>
    </row>
    <row r="86" spans="1:14">
      <c r="A86" s="105"/>
      <c r="B86" s="105"/>
      <c r="C86" s="105"/>
      <c r="D86" s="105"/>
      <c r="E86" s="105"/>
      <c r="F86" s="105"/>
      <c r="G86" s="105"/>
      <c r="H86" s="105"/>
      <c r="I86" s="105"/>
      <c r="J86" s="105"/>
      <c r="K86" s="105"/>
      <c r="L86" s="105"/>
      <c r="M86" s="105"/>
      <c r="N86" s="105"/>
    </row>
    <row r="87" spans="1:14">
      <c r="A87" s="105"/>
      <c r="B87" s="105"/>
      <c r="C87" s="105"/>
      <c r="D87" s="105"/>
      <c r="E87" s="105"/>
      <c r="F87" s="105"/>
      <c r="G87" s="105"/>
      <c r="H87" s="105"/>
      <c r="I87" s="105"/>
      <c r="J87" s="105"/>
      <c r="K87" s="105"/>
      <c r="L87" s="105"/>
      <c r="M87" s="105"/>
      <c r="N87" s="105"/>
    </row>
    <row r="88" spans="1:14">
      <c r="A88" s="105"/>
      <c r="B88" s="105"/>
      <c r="C88" s="105"/>
      <c r="D88" s="105"/>
      <c r="E88" s="105"/>
      <c r="F88" s="105"/>
      <c r="G88" s="105"/>
      <c r="H88" s="105"/>
      <c r="I88" s="105"/>
      <c r="J88" s="105"/>
      <c r="K88" s="105"/>
      <c r="L88" s="105"/>
      <c r="M88" s="105"/>
      <c r="N88" s="105"/>
    </row>
    <row r="89" spans="1:14">
      <c r="A89" s="105"/>
      <c r="B89" s="105"/>
      <c r="C89" s="105"/>
      <c r="D89" s="105"/>
      <c r="E89" s="105"/>
      <c r="F89" s="105"/>
      <c r="G89" s="105"/>
      <c r="H89" s="105"/>
      <c r="I89" s="105"/>
      <c r="J89" s="105"/>
      <c r="K89" s="105"/>
      <c r="L89" s="105"/>
      <c r="M89" s="105"/>
      <c r="N89" s="105"/>
    </row>
    <row r="90" spans="1:14">
      <c r="A90" s="105"/>
      <c r="B90" s="105"/>
      <c r="C90" s="105"/>
      <c r="D90" s="105"/>
      <c r="E90" s="105"/>
      <c r="F90" s="105"/>
      <c r="G90" s="105"/>
      <c r="H90" s="105"/>
      <c r="I90" s="105"/>
      <c r="J90" s="105"/>
      <c r="K90" s="105"/>
      <c r="L90" s="105"/>
      <c r="M90" s="105"/>
      <c r="N90" s="105"/>
    </row>
    <row r="91" spans="1:14">
      <c r="A91" s="105"/>
      <c r="B91" s="105"/>
      <c r="C91" s="105"/>
      <c r="D91" s="105"/>
      <c r="E91" s="105"/>
      <c r="F91" s="105"/>
      <c r="G91" s="105"/>
      <c r="H91" s="105"/>
      <c r="I91" s="105"/>
      <c r="J91" s="105"/>
      <c r="K91" s="105"/>
      <c r="L91" s="105"/>
      <c r="M91" s="105"/>
      <c r="N91" s="105"/>
    </row>
    <row r="92" spans="1:14">
      <c r="A92" s="105"/>
      <c r="B92" s="105"/>
      <c r="C92" s="105"/>
      <c r="D92" s="105"/>
      <c r="E92" s="105"/>
      <c r="F92" s="105"/>
      <c r="G92" s="105"/>
      <c r="H92" s="105"/>
      <c r="I92" s="105"/>
      <c r="J92" s="105"/>
      <c r="K92" s="105"/>
      <c r="L92" s="105"/>
      <c r="M92" s="105"/>
      <c r="N92" s="105"/>
    </row>
    <row r="93" spans="1:14">
      <c r="A93" s="105"/>
      <c r="B93" s="105"/>
      <c r="C93" s="105"/>
      <c r="D93" s="105"/>
      <c r="E93" s="105"/>
      <c r="F93" s="105"/>
      <c r="G93" s="105"/>
      <c r="H93" s="105"/>
      <c r="I93" s="105"/>
      <c r="J93" s="105"/>
      <c r="K93" s="105"/>
      <c r="L93" s="105"/>
      <c r="M93" s="105"/>
      <c r="N93" s="105"/>
    </row>
    <row r="94" spans="1:14">
      <c r="A94" s="105"/>
      <c r="B94" s="105"/>
      <c r="C94" s="105"/>
      <c r="D94" s="105"/>
      <c r="E94" s="105"/>
      <c r="F94" s="105"/>
      <c r="G94" s="105"/>
      <c r="H94" s="105"/>
      <c r="I94" s="105"/>
      <c r="J94" s="105"/>
      <c r="K94" s="105"/>
      <c r="L94" s="105"/>
      <c r="M94" s="105"/>
      <c r="N94" s="105"/>
    </row>
    <row r="95" spans="1:14">
      <c r="A95" s="105"/>
      <c r="B95" s="105"/>
      <c r="C95" s="105"/>
      <c r="D95" s="105"/>
      <c r="E95" s="105"/>
      <c r="F95" s="105"/>
      <c r="G95" s="105"/>
      <c r="H95" s="105"/>
      <c r="I95" s="105"/>
      <c r="J95" s="105"/>
      <c r="K95" s="105"/>
      <c r="L95" s="105"/>
      <c r="M95" s="105"/>
      <c r="N95" s="105"/>
    </row>
    <row r="96" spans="1:14">
      <c r="A96" s="105"/>
      <c r="B96" s="105"/>
      <c r="C96" s="105"/>
      <c r="D96" s="105"/>
      <c r="E96" s="105"/>
      <c r="F96" s="105"/>
      <c r="G96" s="105"/>
      <c r="H96" s="105"/>
      <c r="I96" s="105"/>
      <c r="J96" s="105"/>
      <c r="K96" s="105"/>
      <c r="L96" s="105"/>
      <c r="M96" s="105"/>
      <c r="N96" s="105"/>
    </row>
    <row r="97" spans="1:14">
      <c r="A97" s="105"/>
      <c r="B97" s="105"/>
      <c r="C97" s="105"/>
      <c r="D97" s="105"/>
      <c r="E97" s="105"/>
      <c r="F97" s="105"/>
      <c r="G97" s="105"/>
      <c r="H97" s="105"/>
      <c r="I97" s="105"/>
      <c r="J97" s="105"/>
      <c r="K97" s="105"/>
      <c r="L97" s="105"/>
      <c r="M97" s="105"/>
      <c r="N97" s="105"/>
    </row>
    <row r="98" spans="1:14">
      <c r="A98" s="105"/>
      <c r="B98" s="105"/>
      <c r="C98" s="105"/>
      <c r="D98" s="105"/>
      <c r="E98" s="105"/>
      <c r="F98" s="105"/>
      <c r="G98" s="105"/>
      <c r="H98" s="105"/>
      <c r="I98" s="105"/>
      <c r="J98" s="105"/>
      <c r="K98" s="105"/>
      <c r="L98" s="105"/>
      <c r="M98" s="105"/>
      <c r="N98" s="105"/>
    </row>
    <row r="99" spans="1:14">
      <c r="A99" s="105"/>
      <c r="B99" s="105"/>
      <c r="C99" s="105"/>
      <c r="D99" s="105"/>
      <c r="E99" s="105"/>
      <c r="F99" s="105"/>
      <c r="G99" s="105"/>
      <c r="H99" s="105"/>
      <c r="I99" s="105"/>
      <c r="J99" s="105"/>
      <c r="K99" s="105"/>
      <c r="L99" s="105"/>
      <c r="M99" s="105"/>
      <c r="N99" s="105"/>
    </row>
    <row r="100" spans="1:14">
      <c r="A100" s="105"/>
      <c r="B100" s="105"/>
      <c r="C100" s="105"/>
      <c r="D100" s="105"/>
      <c r="E100" s="105"/>
      <c r="F100" s="105"/>
      <c r="G100" s="105"/>
      <c r="H100" s="105"/>
      <c r="I100" s="105"/>
      <c r="J100" s="105"/>
      <c r="K100" s="105"/>
      <c r="L100" s="105"/>
      <c r="M100" s="105"/>
      <c r="N100" s="105"/>
    </row>
    <row r="101" spans="1:14">
      <c r="A101" s="105"/>
      <c r="B101" s="105"/>
      <c r="C101" s="105"/>
      <c r="D101" s="105"/>
      <c r="E101" s="105"/>
      <c r="F101" s="105"/>
      <c r="G101" s="105"/>
      <c r="H101" s="105"/>
      <c r="I101" s="105"/>
      <c r="J101" s="105"/>
      <c r="K101" s="105"/>
      <c r="L101" s="105"/>
      <c r="M101" s="105"/>
      <c r="N101" s="105"/>
    </row>
    <row r="102" spans="1:14">
      <c r="A102" s="105"/>
      <c r="B102" s="105"/>
      <c r="C102" s="105"/>
      <c r="D102" s="105"/>
      <c r="E102" s="105"/>
      <c r="F102" s="105"/>
      <c r="G102" s="105"/>
      <c r="H102" s="105"/>
      <c r="I102" s="105"/>
      <c r="J102" s="105"/>
      <c r="K102" s="105"/>
      <c r="L102" s="105"/>
      <c r="M102" s="105"/>
      <c r="N102" s="105"/>
    </row>
    <row r="103" spans="1:14">
      <c r="A103" s="105"/>
      <c r="B103" s="105"/>
      <c r="C103" s="105"/>
      <c r="D103" s="105"/>
      <c r="E103" s="105"/>
      <c r="F103" s="105"/>
      <c r="G103" s="105"/>
      <c r="H103" s="105"/>
      <c r="I103" s="105"/>
      <c r="J103" s="105"/>
      <c r="K103" s="105"/>
      <c r="L103" s="105"/>
      <c r="M103" s="105"/>
      <c r="N103" s="105"/>
    </row>
    <row r="104" spans="1:14">
      <c r="A104" s="105"/>
      <c r="B104" s="105"/>
      <c r="C104" s="105"/>
      <c r="D104" s="105"/>
      <c r="E104" s="105"/>
      <c r="F104" s="105"/>
      <c r="G104" s="105"/>
      <c r="H104" s="105"/>
      <c r="I104" s="105"/>
      <c r="J104" s="105"/>
      <c r="K104" s="105"/>
      <c r="L104" s="105"/>
      <c r="M104" s="105"/>
      <c r="N104" s="105"/>
    </row>
    <row r="105" spans="1:14">
      <c r="A105" s="105"/>
      <c r="B105" s="105"/>
      <c r="C105" s="105"/>
      <c r="D105" s="105"/>
      <c r="E105" s="105"/>
      <c r="F105" s="105"/>
      <c r="G105" s="105"/>
      <c r="H105" s="105"/>
      <c r="I105" s="105"/>
      <c r="J105" s="105"/>
      <c r="K105" s="105"/>
      <c r="L105" s="105"/>
      <c r="M105" s="105"/>
      <c r="N105" s="105"/>
    </row>
    <row r="106" spans="1:14">
      <c r="A106" s="105"/>
      <c r="B106" s="105"/>
      <c r="C106" s="105"/>
      <c r="D106" s="105"/>
      <c r="E106" s="105"/>
      <c r="F106" s="105"/>
      <c r="G106" s="105"/>
      <c r="H106" s="105"/>
      <c r="I106" s="105"/>
      <c r="J106" s="105"/>
      <c r="K106" s="105"/>
      <c r="L106" s="105"/>
      <c r="M106" s="105"/>
      <c r="N106" s="105"/>
    </row>
    <row r="107" spans="1:14">
      <c r="A107" s="105"/>
      <c r="B107" s="105"/>
      <c r="C107" s="105"/>
      <c r="D107" s="105"/>
      <c r="E107" s="105"/>
      <c r="F107" s="105"/>
      <c r="G107" s="105"/>
      <c r="H107" s="105"/>
      <c r="I107" s="105"/>
      <c r="J107" s="105"/>
      <c r="K107" s="105"/>
      <c r="L107" s="105"/>
      <c r="M107" s="105"/>
      <c r="N107" s="105"/>
    </row>
    <row r="108" spans="1:14">
      <c r="A108" s="105"/>
      <c r="B108" s="105"/>
      <c r="C108" s="105"/>
      <c r="D108" s="105"/>
      <c r="E108" s="105"/>
      <c r="F108" s="105"/>
      <c r="G108" s="105"/>
      <c r="H108" s="105"/>
      <c r="I108" s="105"/>
      <c r="J108" s="105"/>
      <c r="K108" s="105"/>
      <c r="L108" s="105"/>
      <c r="M108" s="105"/>
      <c r="N108" s="105"/>
    </row>
    <row r="109" spans="1:14">
      <c r="A109" s="105"/>
      <c r="B109" s="105"/>
      <c r="C109" s="105"/>
      <c r="D109" s="105"/>
      <c r="E109" s="105"/>
      <c r="F109" s="105"/>
      <c r="G109" s="105"/>
      <c r="H109" s="105"/>
      <c r="I109" s="105"/>
      <c r="J109" s="105"/>
      <c r="K109" s="105"/>
      <c r="L109" s="105"/>
      <c r="M109" s="105"/>
      <c r="N109" s="105"/>
    </row>
    <row r="110" spans="1:14">
      <c r="A110" s="105"/>
      <c r="B110" s="105"/>
      <c r="C110" s="105"/>
      <c r="D110" s="105"/>
      <c r="E110" s="105"/>
      <c r="F110" s="105"/>
      <c r="G110" s="105"/>
      <c r="H110" s="105"/>
      <c r="I110" s="105"/>
      <c r="J110" s="105"/>
      <c r="K110" s="105"/>
      <c r="L110" s="105"/>
      <c r="M110" s="105"/>
      <c r="N110" s="105"/>
    </row>
    <row r="111" spans="1:14">
      <c r="A111" s="105"/>
      <c r="B111" s="105"/>
      <c r="C111" s="105"/>
      <c r="D111" s="105"/>
      <c r="E111" s="105"/>
      <c r="F111" s="105"/>
      <c r="G111" s="105"/>
      <c r="H111" s="105"/>
      <c r="I111" s="105"/>
      <c r="J111" s="105"/>
      <c r="K111" s="105"/>
      <c r="L111" s="105"/>
      <c r="M111" s="105"/>
      <c r="N111" s="105"/>
    </row>
    <row r="112" spans="1:14">
      <c r="A112" s="105"/>
      <c r="B112" s="105"/>
      <c r="C112" s="105"/>
      <c r="D112" s="105"/>
      <c r="E112" s="105"/>
      <c r="F112" s="105"/>
      <c r="G112" s="105"/>
      <c r="H112" s="105"/>
      <c r="I112" s="105"/>
      <c r="J112" s="105"/>
      <c r="K112" s="105"/>
      <c r="L112" s="105"/>
      <c r="M112" s="105"/>
      <c r="N112" s="105"/>
    </row>
    <row r="113" spans="1:14">
      <c r="A113" s="105"/>
      <c r="B113" s="105"/>
      <c r="C113" s="105"/>
      <c r="D113" s="105"/>
      <c r="E113" s="105"/>
      <c r="F113" s="105"/>
      <c r="G113" s="105"/>
      <c r="H113" s="105"/>
      <c r="I113" s="105"/>
      <c r="J113" s="105"/>
      <c r="K113" s="105"/>
      <c r="L113" s="105"/>
      <c r="M113" s="105"/>
      <c r="N113" s="105"/>
    </row>
    <row r="114" spans="1:14">
      <c r="A114" s="105"/>
      <c r="B114" s="105"/>
      <c r="C114" s="105"/>
      <c r="D114" s="105"/>
      <c r="E114" s="105"/>
      <c r="F114" s="105"/>
      <c r="G114" s="105"/>
      <c r="H114" s="105"/>
      <c r="I114" s="105"/>
      <c r="J114" s="105"/>
      <c r="K114" s="105"/>
      <c r="L114" s="105"/>
      <c r="M114" s="105"/>
      <c r="N114" s="105"/>
    </row>
    <row r="115" spans="1:14">
      <c r="A115" s="105"/>
      <c r="B115" s="105"/>
      <c r="C115" s="105"/>
      <c r="D115" s="105"/>
      <c r="E115" s="105"/>
      <c r="F115" s="105"/>
      <c r="G115" s="105"/>
      <c r="H115" s="105"/>
      <c r="I115" s="105"/>
      <c r="J115" s="105"/>
      <c r="K115" s="105"/>
      <c r="L115" s="105"/>
      <c r="M115" s="105"/>
      <c r="N115" s="105"/>
    </row>
    <row r="116" spans="1:14">
      <c r="A116" s="105"/>
      <c r="B116" s="105"/>
      <c r="C116" s="105"/>
      <c r="D116" s="105"/>
      <c r="E116" s="105"/>
      <c r="F116" s="105"/>
      <c r="G116" s="105"/>
      <c r="H116" s="105"/>
      <c r="I116" s="105"/>
      <c r="J116" s="105"/>
      <c r="K116" s="105"/>
      <c r="L116" s="105"/>
      <c r="M116" s="105"/>
      <c r="N116" s="105"/>
    </row>
    <row r="117" spans="1:14">
      <c r="A117" s="105"/>
      <c r="B117" s="105"/>
      <c r="C117" s="105"/>
      <c r="D117" s="105"/>
      <c r="E117" s="105"/>
      <c r="F117" s="105"/>
      <c r="G117" s="105"/>
      <c r="H117" s="105"/>
      <c r="I117" s="105"/>
      <c r="J117" s="105"/>
      <c r="K117" s="105"/>
      <c r="L117" s="105"/>
      <c r="M117" s="105"/>
      <c r="N117" s="105"/>
    </row>
    <row r="118" spans="1:14">
      <c r="A118" s="105"/>
      <c r="B118" s="105"/>
      <c r="C118" s="105"/>
      <c r="D118" s="105"/>
      <c r="E118" s="105"/>
      <c r="F118" s="105"/>
      <c r="G118" s="105"/>
      <c r="H118" s="105"/>
      <c r="I118" s="105"/>
      <c r="J118" s="105"/>
      <c r="K118" s="105"/>
      <c r="L118" s="105"/>
      <c r="M118" s="105"/>
      <c r="N118" s="105"/>
    </row>
    <row r="119" spans="1:14">
      <c r="A119" s="105"/>
      <c r="B119" s="105"/>
      <c r="C119" s="105"/>
      <c r="D119" s="105"/>
      <c r="E119" s="105"/>
      <c r="F119" s="105"/>
      <c r="G119" s="105"/>
      <c r="H119" s="105"/>
      <c r="I119" s="105"/>
      <c r="J119" s="105"/>
      <c r="K119" s="105"/>
      <c r="L119" s="105"/>
      <c r="M119" s="105"/>
      <c r="N119" s="105"/>
    </row>
    <row r="120" spans="1:14">
      <c r="A120" s="105"/>
      <c r="B120" s="105"/>
      <c r="C120" s="105"/>
      <c r="D120" s="105"/>
      <c r="E120" s="105"/>
      <c r="F120" s="105"/>
      <c r="G120" s="105"/>
      <c r="H120" s="105"/>
      <c r="I120" s="105"/>
      <c r="J120" s="105"/>
      <c r="K120" s="105"/>
      <c r="L120" s="105"/>
      <c r="M120" s="105"/>
      <c r="N120" s="105"/>
    </row>
    <row r="121" spans="1:14">
      <c r="A121" s="105"/>
      <c r="B121" s="105"/>
      <c r="C121" s="105"/>
      <c r="D121" s="105"/>
      <c r="E121" s="105"/>
      <c r="F121" s="105"/>
      <c r="G121" s="105"/>
      <c r="H121" s="105"/>
      <c r="I121" s="105"/>
      <c r="J121" s="105"/>
      <c r="K121" s="105"/>
      <c r="L121" s="105"/>
      <c r="M121" s="105"/>
      <c r="N121" s="105"/>
    </row>
    <row r="122" spans="1:14">
      <c r="A122" s="105"/>
      <c r="B122" s="105"/>
      <c r="C122" s="105"/>
      <c r="D122" s="105"/>
      <c r="E122" s="105"/>
      <c r="F122" s="105"/>
      <c r="G122" s="105"/>
      <c r="H122" s="105"/>
      <c r="I122" s="105"/>
      <c r="J122" s="105"/>
      <c r="K122" s="105"/>
      <c r="L122" s="105"/>
      <c r="M122" s="105"/>
      <c r="N122" s="105"/>
    </row>
    <row r="123" spans="1:14">
      <c r="A123" s="105"/>
      <c r="B123" s="105"/>
      <c r="C123" s="105"/>
      <c r="D123" s="105"/>
      <c r="E123" s="105"/>
      <c r="F123" s="105"/>
      <c r="G123" s="105"/>
      <c r="H123" s="105"/>
      <c r="I123" s="105"/>
      <c r="J123" s="105"/>
      <c r="K123" s="105"/>
      <c r="L123" s="105"/>
      <c r="M123" s="105"/>
      <c r="N123" s="105"/>
    </row>
    <row r="124" spans="1:14">
      <c r="A124" s="105"/>
      <c r="B124" s="105"/>
      <c r="C124" s="105"/>
      <c r="D124" s="105"/>
      <c r="E124" s="105"/>
      <c r="F124" s="105"/>
      <c r="G124" s="105"/>
      <c r="H124" s="105"/>
      <c r="I124" s="105"/>
      <c r="J124" s="105"/>
      <c r="K124" s="105"/>
      <c r="L124" s="105"/>
      <c r="M124" s="105"/>
      <c r="N124" s="105"/>
    </row>
    <row r="125" spans="1:14">
      <c r="A125" s="105"/>
      <c r="B125" s="105"/>
      <c r="C125" s="105"/>
      <c r="D125" s="105"/>
      <c r="E125" s="105"/>
      <c r="F125" s="105"/>
      <c r="G125" s="105"/>
      <c r="H125" s="105"/>
      <c r="I125" s="105"/>
      <c r="J125" s="105"/>
      <c r="K125" s="105"/>
      <c r="L125" s="105"/>
      <c r="M125" s="105"/>
      <c r="N125" s="105"/>
    </row>
    <row r="126" spans="1:14">
      <c r="A126" s="105"/>
      <c r="B126" s="105"/>
      <c r="C126" s="105"/>
      <c r="D126" s="105"/>
      <c r="E126" s="105"/>
      <c r="F126" s="105"/>
      <c r="G126" s="105"/>
      <c r="H126" s="105"/>
      <c r="I126" s="105"/>
      <c r="J126" s="105"/>
      <c r="K126" s="105"/>
      <c r="L126" s="105"/>
      <c r="M126" s="105"/>
      <c r="N126" s="105"/>
    </row>
    <row r="127" spans="1:14">
      <c r="A127" s="105"/>
      <c r="B127" s="105"/>
      <c r="C127" s="105"/>
      <c r="D127" s="105"/>
      <c r="E127" s="105"/>
      <c r="F127" s="105"/>
      <c r="G127" s="105"/>
      <c r="H127" s="105"/>
      <c r="I127" s="105"/>
      <c r="J127" s="105"/>
      <c r="K127" s="105"/>
      <c r="L127" s="105"/>
      <c r="M127" s="105"/>
      <c r="N127" s="105"/>
    </row>
    <row r="128" spans="1:14">
      <c r="A128" s="105"/>
      <c r="B128" s="105"/>
      <c r="C128" s="105"/>
      <c r="D128" s="105"/>
      <c r="E128" s="105"/>
      <c r="F128" s="105"/>
      <c r="G128" s="105"/>
      <c r="H128" s="105"/>
      <c r="I128" s="105"/>
      <c r="J128" s="105"/>
      <c r="K128" s="105"/>
      <c r="L128" s="105"/>
      <c r="M128" s="105"/>
      <c r="N128" s="105"/>
    </row>
    <row r="129" spans="1:14">
      <c r="A129" s="105"/>
      <c r="B129" s="105"/>
      <c r="C129" s="105"/>
      <c r="D129" s="105"/>
      <c r="E129" s="105"/>
      <c r="F129" s="105"/>
      <c r="G129" s="105"/>
      <c r="H129" s="105"/>
      <c r="I129" s="105"/>
      <c r="J129" s="105"/>
      <c r="K129" s="105"/>
      <c r="L129" s="105"/>
      <c r="M129" s="105"/>
      <c r="N129" s="105"/>
    </row>
    <row r="130" spans="1:14">
      <c r="A130" s="105"/>
      <c r="B130" s="105"/>
      <c r="C130" s="105"/>
      <c r="D130" s="105"/>
      <c r="E130" s="105"/>
      <c r="F130" s="105"/>
      <c r="G130" s="105"/>
      <c r="H130" s="105"/>
      <c r="I130" s="105"/>
      <c r="J130" s="105"/>
      <c r="K130" s="105"/>
      <c r="L130" s="105"/>
      <c r="M130" s="105"/>
      <c r="N130" s="105"/>
    </row>
    <row r="131" spans="1:14">
      <c r="A131" s="105"/>
      <c r="B131" s="105"/>
      <c r="C131" s="105"/>
      <c r="D131" s="105"/>
      <c r="E131" s="105"/>
      <c r="F131" s="105"/>
      <c r="G131" s="105"/>
      <c r="H131" s="105"/>
      <c r="I131" s="105"/>
      <c r="J131" s="105"/>
      <c r="K131" s="105"/>
      <c r="L131" s="105"/>
      <c r="M131" s="105"/>
      <c r="N131" s="105"/>
    </row>
    <row r="132" spans="1:14">
      <c r="A132" s="105"/>
      <c r="B132" s="105"/>
      <c r="C132" s="105"/>
      <c r="D132" s="105"/>
      <c r="E132" s="105"/>
      <c r="F132" s="105"/>
      <c r="G132" s="105"/>
      <c r="H132" s="105"/>
      <c r="I132" s="105"/>
      <c r="J132" s="105"/>
      <c r="K132" s="105"/>
      <c r="L132" s="105"/>
      <c r="M132" s="105"/>
      <c r="N132" s="105"/>
    </row>
    <row r="133" spans="1:14">
      <c r="A133" s="105"/>
      <c r="B133" s="105"/>
      <c r="C133" s="105"/>
      <c r="D133" s="105"/>
      <c r="E133" s="105"/>
      <c r="F133" s="105"/>
      <c r="G133" s="105"/>
      <c r="H133" s="105"/>
      <c r="I133" s="105"/>
      <c r="J133" s="105"/>
      <c r="K133" s="105"/>
      <c r="L133" s="105"/>
      <c r="M133" s="105"/>
      <c r="N133" s="105"/>
    </row>
    <row r="134" spans="1:14">
      <c r="A134" s="105"/>
      <c r="B134" s="105"/>
      <c r="C134" s="105"/>
      <c r="D134" s="105"/>
      <c r="E134" s="105"/>
      <c r="F134" s="105"/>
      <c r="G134" s="105"/>
      <c r="H134" s="105"/>
      <c r="I134" s="105"/>
      <c r="J134" s="105"/>
      <c r="K134" s="105"/>
      <c r="L134" s="105"/>
      <c r="M134" s="105"/>
      <c r="N134" s="105"/>
    </row>
    <row r="135" spans="1:14">
      <c r="A135" s="105"/>
      <c r="B135" s="105"/>
      <c r="C135" s="105"/>
      <c r="D135" s="105"/>
      <c r="E135" s="105"/>
      <c r="F135" s="105"/>
      <c r="G135" s="105"/>
      <c r="H135" s="105"/>
      <c r="I135" s="105"/>
      <c r="J135" s="105"/>
      <c r="K135" s="105"/>
      <c r="L135" s="105"/>
      <c r="M135" s="105"/>
      <c r="N135" s="105"/>
    </row>
    <row r="136" spans="1:14">
      <c r="A136" s="105"/>
      <c r="B136" s="105"/>
      <c r="C136" s="105"/>
      <c r="D136" s="105"/>
      <c r="E136" s="105"/>
      <c r="F136" s="105"/>
      <c r="G136" s="105"/>
      <c r="H136" s="105"/>
      <c r="I136" s="105"/>
      <c r="J136" s="105"/>
      <c r="K136" s="105"/>
      <c r="L136" s="105"/>
      <c r="M136" s="105"/>
      <c r="N136" s="105"/>
    </row>
    <row r="137" spans="1:14">
      <c r="A137" s="105"/>
      <c r="B137" s="105"/>
      <c r="C137" s="105"/>
      <c r="D137" s="105"/>
      <c r="E137" s="105"/>
      <c r="F137" s="105"/>
      <c r="G137" s="105"/>
      <c r="H137" s="105"/>
      <c r="I137" s="105"/>
      <c r="J137" s="105"/>
      <c r="K137" s="105"/>
      <c r="L137" s="105"/>
      <c r="M137" s="105"/>
      <c r="N137" s="105"/>
    </row>
    <row r="138" spans="1:14">
      <c r="A138" s="105"/>
      <c r="B138" s="105"/>
      <c r="C138" s="105"/>
      <c r="D138" s="105"/>
      <c r="E138" s="105"/>
      <c r="F138" s="105"/>
      <c r="G138" s="105"/>
      <c r="H138" s="105"/>
      <c r="I138" s="105"/>
      <c r="J138" s="105"/>
      <c r="K138" s="105"/>
      <c r="L138" s="105"/>
      <c r="M138" s="105"/>
      <c r="N138" s="105"/>
    </row>
    <row r="139" spans="1:14">
      <c r="A139" s="105"/>
      <c r="B139" s="105"/>
      <c r="C139" s="105"/>
      <c r="D139" s="105"/>
      <c r="E139" s="105"/>
      <c r="F139" s="105"/>
      <c r="G139" s="105"/>
      <c r="H139" s="105"/>
      <c r="I139" s="105"/>
      <c r="J139" s="105"/>
      <c r="K139" s="105"/>
      <c r="L139" s="105"/>
      <c r="M139" s="105"/>
      <c r="N139" s="105"/>
    </row>
    <row r="140" spans="1:14">
      <c r="A140" s="105"/>
      <c r="B140" s="105"/>
      <c r="C140" s="105"/>
      <c r="D140" s="105"/>
      <c r="E140" s="105"/>
      <c r="F140" s="105"/>
      <c r="G140" s="105"/>
      <c r="H140" s="105"/>
      <c r="I140" s="105"/>
      <c r="J140" s="105"/>
      <c r="K140" s="105"/>
      <c r="L140" s="105"/>
      <c r="M140" s="105"/>
      <c r="N140" s="105"/>
    </row>
    <row r="141" spans="1:14">
      <c r="A141" s="105"/>
      <c r="B141" s="105"/>
      <c r="C141" s="105"/>
      <c r="D141" s="105"/>
      <c r="E141" s="105"/>
      <c r="F141" s="105"/>
      <c r="G141" s="105"/>
      <c r="H141" s="105"/>
      <c r="I141" s="105"/>
      <c r="J141" s="105"/>
      <c r="K141" s="105"/>
      <c r="L141" s="105"/>
      <c r="M141" s="105"/>
      <c r="N141" s="105"/>
    </row>
    <row r="142" spans="1:14">
      <c r="A142" s="105"/>
      <c r="B142" s="105"/>
      <c r="C142" s="105"/>
      <c r="D142" s="105"/>
      <c r="E142" s="105"/>
      <c r="F142" s="105"/>
      <c r="G142" s="105"/>
      <c r="H142" s="105"/>
      <c r="I142" s="105"/>
      <c r="J142" s="105"/>
      <c r="K142" s="105"/>
      <c r="L142" s="105"/>
      <c r="M142" s="105"/>
      <c r="N142" s="105"/>
    </row>
    <row r="143" spans="1:14">
      <c r="A143" s="105"/>
      <c r="B143" s="105"/>
      <c r="C143" s="105"/>
      <c r="D143" s="105"/>
      <c r="E143" s="105"/>
      <c r="F143" s="105"/>
      <c r="G143" s="105"/>
      <c r="H143" s="105"/>
      <c r="I143" s="105"/>
      <c r="J143" s="105"/>
      <c r="K143" s="105"/>
      <c r="L143" s="105"/>
      <c r="M143" s="105"/>
      <c r="N143" s="105"/>
    </row>
    <row r="144" spans="1:14">
      <c r="A144" s="105"/>
      <c r="B144" s="105"/>
      <c r="C144" s="105"/>
      <c r="D144" s="105"/>
      <c r="E144" s="105"/>
      <c r="F144" s="105"/>
      <c r="G144" s="105"/>
      <c r="H144" s="105"/>
      <c r="I144" s="105"/>
      <c r="J144" s="105"/>
      <c r="K144" s="105"/>
      <c r="L144" s="105"/>
      <c r="M144" s="105"/>
      <c r="N144" s="105"/>
    </row>
    <row r="145" spans="1:14">
      <c r="A145" s="105"/>
      <c r="B145" s="105"/>
      <c r="C145" s="105"/>
      <c r="D145" s="105"/>
      <c r="E145" s="105"/>
      <c r="F145" s="105"/>
      <c r="G145" s="105"/>
      <c r="H145" s="105"/>
      <c r="I145" s="105"/>
      <c r="J145" s="105"/>
      <c r="K145" s="105"/>
      <c r="L145" s="105"/>
      <c r="M145" s="105"/>
      <c r="N145" s="105"/>
    </row>
    <row r="146" spans="1:14">
      <c r="A146" s="105"/>
      <c r="B146" s="105"/>
      <c r="C146" s="105"/>
      <c r="D146" s="105"/>
      <c r="E146" s="105"/>
      <c r="F146" s="105"/>
      <c r="G146" s="105"/>
      <c r="H146" s="105"/>
      <c r="I146" s="105"/>
      <c r="J146" s="105"/>
      <c r="K146" s="105"/>
      <c r="L146" s="105"/>
      <c r="M146" s="105"/>
      <c r="N146" s="105"/>
    </row>
    <row r="147" spans="1:14">
      <c r="A147" s="105"/>
      <c r="B147" s="105"/>
      <c r="C147" s="105"/>
      <c r="D147" s="105"/>
      <c r="E147" s="105"/>
      <c r="F147" s="105"/>
      <c r="G147" s="105"/>
      <c r="H147" s="105"/>
      <c r="I147" s="105"/>
      <c r="J147" s="105"/>
      <c r="K147" s="105"/>
      <c r="L147" s="105"/>
      <c r="M147" s="105"/>
      <c r="N147" s="105"/>
    </row>
    <row r="148" spans="1:14">
      <c r="A148" s="105"/>
      <c r="B148" s="105"/>
      <c r="C148" s="105"/>
      <c r="D148" s="105"/>
      <c r="E148" s="105"/>
      <c r="F148" s="105"/>
      <c r="G148" s="105"/>
      <c r="H148" s="105"/>
      <c r="I148" s="105"/>
      <c r="J148" s="105"/>
      <c r="K148" s="105"/>
      <c r="L148" s="105"/>
      <c r="M148" s="105"/>
      <c r="N148" s="105"/>
    </row>
  </sheetData>
  <mergeCells count="1">
    <mergeCell ref="B2:K2"/>
  </mergeCells>
  <pageMargins left="0.7" right="0.7" top="0.75" bottom="0.75" header="0.3" footer="0.3"/>
  <pageSetup paperSize="9" scale="65" fitToWidth="0" fitToHeight="0"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499984740745262"/>
  </sheetPr>
  <dimension ref="A1"/>
  <sheetViews>
    <sheetView workbookViewId="0">
      <selection activeCell="B8" sqref="B8"/>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93"/>
  <sheetViews>
    <sheetView workbookViewId="0">
      <pane xSplit="1" ySplit="1" topLeftCell="B87" activePane="bottomRight" state="frozen"/>
      <selection pane="bottomRight" activeCell="L101" sqref="L101"/>
      <selection pane="bottomLeft" activeCell="C4" sqref="C4"/>
      <selection pane="topRight" activeCell="C4" sqref="C4"/>
    </sheetView>
  </sheetViews>
  <sheetFormatPr defaultColWidth="10.42578125" defaultRowHeight="12.6"/>
  <cols>
    <col min="1" max="1" width="26.7109375" style="2" bestFit="1" customWidth="1"/>
    <col min="2" max="11" width="11.42578125" style="2" bestFit="1" customWidth="1"/>
    <col min="12" max="12" width="10.42578125" style="2" customWidth="1"/>
    <col min="13" max="16384" width="10.42578125" style="2"/>
  </cols>
  <sheetData>
    <row r="1" spans="1:11" s="1" customFormat="1" ht="12.95" customHeight="1">
      <c r="A1" s="1" t="s">
        <v>58</v>
      </c>
      <c r="B1" s="1" t="s">
        <v>59</v>
      </c>
      <c r="E1" s="197" t="str">
        <f>IF(B2&lt;&gt;B3, "A NEW VERSION OF THE WORKSHEET IS AVAILABLE", "")</f>
        <v/>
      </c>
      <c r="F1" s="198"/>
      <c r="G1" s="198"/>
      <c r="H1" s="198"/>
      <c r="I1" s="198"/>
      <c r="J1" s="198"/>
      <c r="K1" s="198"/>
    </row>
    <row r="2" spans="1:11" ht="12.95" customHeight="1">
      <c r="A2" s="1" t="s">
        <v>60</v>
      </c>
      <c r="B2" s="2">
        <v>2.1</v>
      </c>
      <c r="E2" s="195" t="s">
        <v>61</v>
      </c>
      <c r="F2" s="196"/>
      <c r="G2" s="196"/>
      <c r="H2" s="196"/>
      <c r="I2" s="196"/>
      <c r="J2" s="196"/>
      <c r="K2" s="196"/>
    </row>
    <row r="3" spans="1:11" ht="12.95" customHeight="1">
      <c r="A3" s="1" t="s">
        <v>62</v>
      </c>
      <c r="B3" s="2">
        <v>2.1</v>
      </c>
    </row>
    <row r="4" spans="1:11" ht="12.95" customHeight="1">
      <c r="A4" s="1"/>
    </row>
    <row r="5" spans="1:11" ht="12.95" customHeight="1">
      <c r="A5" s="1" t="s">
        <v>63</v>
      </c>
    </row>
    <row r="6" spans="1:11">
      <c r="A6" s="2" t="s">
        <v>64</v>
      </c>
      <c r="B6" s="2">
        <f>IF(B9&gt;0, B9/B8, 0)</f>
        <v>405.80564302140459</v>
      </c>
    </row>
    <row r="7" spans="1:11">
      <c r="A7" s="2" t="s">
        <v>65</v>
      </c>
      <c r="B7" s="3">
        <v>5</v>
      </c>
    </row>
    <row r="8" spans="1:11">
      <c r="A8" s="2" t="s">
        <v>66</v>
      </c>
      <c r="B8" s="3">
        <v>1130.5999999999999</v>
      </c>
    </row>
    <row r="9" spans="1:11">
      <c r="A9" s="2" t="s">
        <v>67</v>
      </c>
      <c r="B9" s="3">
        <v>458803.86</v>
      </c>
    </row>
    <row r="15" spans="1:11" ht="12.95" customHeight="1">
      <c r="A15" s="1" t="s">
        <v>68</v>
      </c>
      <c r="B15" s="2">
        <f>B26+B34</f>
        <v>23357</v>
      </c>
      <c r="K15" s="2">
        <f>K17-K18-K20-K21-K22-K23-K19</f>
        <v>43609</v>
      </c>
    </row>
    <row r="16" spans="1:11" s="6" customFormat="1" ht="12.95" customHeight="1">
      <c r="A16" s="4" t="s">
        <v>69</v>
      </c>
      <c r="B16" s="5">
        <v>42825</v>
      </c>
      <c r="C16" s="5">
        <v>43190</v>
      </c>
      <c r="D16" s="5">
        <v>43555</v>
      </c>
      <c r="E16" s="5">
        <v>43921</v>
      </c>
      <c r="F16" s="5">
        <v>44286</v>
      </c>
      <c r="G16" s="5">
        <v>44651</v>
      </c>
      <c r="H16" s="5">
        <v>45016</v>
      </c>
      <c r="I16" s="5">
        <v>45382</v>
      </c>
      <c r="J16" s="5">
        <v>45747</v>
      </c>
      <c r="K16" s="5">
        <v>46112</v>
      </c>
    </row>
    <row r="17" spans="1:11">
      <c r="A17" s="2" t="s">
        <v>70</v>
      </c>
      <c r="B17" s="3">
        <v>68484</v>
      </c>
      <c r="C17" s="3">
        <v>70522</v>
      </c>
      <c r="D17" s="3">
        <v>82675</v>
      </c>
      <c r="E17" s="3">
        <v>90791</v>
      </c>
      <c r="F17" s="3">
        <v>100472</v>
      </c>
      <c r="G17" s="3">
        <v>121641</v>
      </c>
      <c r="H17" s="3">
        <v>146767</v>
      </c>
      <c r="I17" s="3">
        <v>153670</v>
      </c>
      <c r="J17" s="3">
        <v>162990</v>
      </c>
      <c r="K17" s="3">
        <v>178650</v>
      </c>
    </row>
    <row r="18" spans="1:11" ht="14.45" customHeight="1">
      <c r="A18" s="2" t="s">
        <v>71</v>
      </c>
      <c r="B18" s="7"/>
      <c r="C18" s="7"/>
      <c r="D18" s="7"/>
      <c r="E18" s="7"/>
      <c r="F18" s="7"/>
      <c r="G18" s="7"/>
      <c r="H18" s="7"/>
      <c r="I18" s="7"/>
      <c r="J18" s="7"/>
      <c r="K18" s="7"/>
    </row>
    <row r="19" spans="1:11" ht="14.45" customHeight="1">
      <c r="A19" s="2" t="s">
        <v>72</v>
      </c>
      <c r="B19" s="7"/>
      <c r="C19" s="7"/>
      <c r="D19" s="7"/>
      <c r="E19" s="7"/>
      <c r="F19" s="7"/>
      <c r="G19" s="7"/>
      <c r="H19" s="7"/>
      <c r="I19" s="7"/>
      <c r="J19" s="7"/>
      <c r="K19" s="7"/>
    </row>
    <row r="20" spans="1:11">
      <c r="A20" s="2" t="s">
        <v>73</v>
      </c>
      <c r="B20" s="3">
        <v>228</v>
      </c>
      <c r="C20" s="3">
        <v>207</v>
      </c>
      <c r="D20" s="3">
        <v>221</v>
      </c>
      <c r="E20" s="3">
        <v>229</v>
      </c>
      <c r="F20" s="3">
        <v>143</v>
      </c>
      <c r="G20" s="3">
        <v>132</v>
      </c>
      <c r="H20" s="3">
        <v>176</v>
      </c>
      <c r="I20" s="3">
        <v>199</v>
      </c>
      <c r="J20" s="3">
        <v>222</v>
      </c>
      <c r="K20" s="3">
        <v>223</v>
      </c>
    </row>
    <row r="21" spans="1:11">
      <c r="A21" s="2" t="s">
        <v>74</v>
      </c>
      <c r="B21" s="3">
        <v>6712</v>
      </c>
      <c r="C21" s="3">
        <v>7286</v>
      </c>
      <c r="D21" s="3">
        <v>9902</v>
      </c>
      <c r="E21" s="3">
        <v>11086</v>
      </c>
      <c r="F21" s="3">
        <v>12800</v>
      </c>
      <c r="G21" s="3">
        <v>20690</v>
      </c>
      <c r="H21" s="3">
        <v>26330</v>
      </c>
      <c r="I21" s="3">
        <v>27195</v>
      </c>
      <c r="J21" s="3">
        <v>30395</v>
      </c>
      <c r="K21" s="3">
        <v>32922</v>
      </c>
    </row>
    <row r="22" spans="1:11">
      <c r="A22" s="2" t="s">
        <v>75</v>
      </c>
      <c r="B22" s="3">
        <v>37669</v>
      </c>
      <c r="C22" s="3">
        <v>38902</v>
      </c>
      <c r="D22" s="3">
        <v>45323</v>
      </c>
      <c r="E22" s="3">
        <v>50895</v>
      </c>
      <c r="F22" s="3">
        <v>55547</v>
      </c>
      <c r="G22" s="3">
        <v>63997</v>
      </c>
      <c r="H22" s="3">
        <v>78374</v>
      </c>
      <c r="I22" s="3">
        <v>82636</v>
      </c>
      <c r="J22" s="3">
        <v>85968</v>
      </c>
      <c r="K22" s="3">
        <v>95112</v>
      </c>
    </row>
    <row r="23" spans="1:11">
      <c r="A23" s="2" t="s">
        <v>76</v>
      </c>
      <c r="B23" s="3">
        <v>4584</v>
      </c>
      <c r="C23" s="3">
        <v>4585</v>
      </c>
      <c r="D23" s="3">
        <v>5553</v>
      </c>
      <c r="E23" s="3">
        <v>5375</v>
      </c>
      <c r="F23" s="3">
        <v>3194</v>
      </c>
      <c r="G23" s="3">
        <v>4305</v>
      </c>
      <c r="H23" s="3">
        <v>5300</v>
      </c>
      <c r="I23" s="3">
        <v>5705</v>
      </c>
      <c r="J23" s="3">
        <v>6039</v>
      </c>
      <c r="K23" s="3">
        <v>6784</v>
      </c>
    </row>
    <row r="24" spans="1:11">
      <c r="A24" s="2" t="s">
        <v>77</v>
      </c>
      <c r="B24" s="3">
        <v>687</v>
      </c>
      <c r="C24" s="3">
        <v>720</v>
      </c>
      <c r="D24" s="3">
        <v>1506</v>
      </c>
      <c r="E24" s="3">
        <v>939</v>
      </c>
      <c r="F24" s="3">
        <v>899</v>
      </c>
      <c r="G24" s="3">
        <v>1026</v>
      </c>
      <c r="H24" s="3">
        <v>1457</v>
      </c>
      <c r="I24" s="3">
        <v>1510</v>
      </c>
      <c r="J24" s="3">
        <v>1130</v>
      </c>
      <c r="K24" s="3">
        <v>1329</v>
      </c>
    </row>
    <row r="25" spans="1:11">
      <c r="A25" s="2" t="s">
        <v>78</v>
      </c>
      <c r="B25" s="3">
        <v>3050</v>
      </c>
      <c r="C25" s="3">
        <v>3311</v>
      </c>
      <c r="D25" s="3">
        <v>2882</v>
      </c>
      <c r="E25" s="3">
        <v>2803</v>
      </c>
      <c r="F25" s="3">
        <v>2201</v>
      </c>
      <c r="G25" s="3">
        <v>2295</v>
      </c>
      <c r="H25" s="3">
        <v>2701</v>
      </c>
      <c r="I25" s="3">
        <v>4711</v>
      </c>
      <c r="J25" s="3">
        <v>3600</v>
      </c>
      <c r="K25" s="3">
        <v>3033</v>
      </c>
    </row>
    <row r="26" spans="1:11">
      <c r="A26" s="2" t="s">
        <v>79</v>
      </c>
      <c r="B26" s="3">
        <v>1703</v>
      </c>
      <c r="C26" s="3">
        <v>1863</v>
      </c>
      <c r="D26" s="3">
        <v>2011</v>
      </c>
      <c r="E26" s="3">
        <v>2893</v>
      </c>
      <c r="F26" s="3">
        <v>3267</v>
      </c>
      <c r="G26" s="3">
        <v>3476</v>
      </c>
      <c r="H26" s="3">
        <v>4225</v>
      </c>
      <c r="I26" s="3">
        <v>4678</v>
      </c>
      <c r="J26" s="3">
        <v>4812</v>
      </c>
      <c r="K26" s="3">
        <v>4902</v>
      </c>
    </row>
    <row r="27" spans="1:11" ht="14.45" customHeight="1">
      <c r="A27" s="2" t="s">
        <v>80</v>
      </c>
      <c r="B27" s="3"/>
      <c r="C27" s="3"/>
      <c r="D27" s="3"/>
      <c r="E27" s="3">
        <v>170</v>
      </c>
      <c r="F27" s="3">
        <v>195</v>
      </c>
      <c r="G27" s="3">
        <v>200</v>
      </c>
      <c r="H27" s="3">
        <v>284</v>
      </c>
      <c r="I27" s="3">
        <v>470</v>
      </c>
      <c r="J27" s="7">
        <v>416</v>
      </c>
      <c r="K27" s="7">
        <v>416</v>
      </c>
    </row>
    <row r="28" spans="1:11">
      <c r="A28" s="2" t="s">
        <v>81</v>
      </c>
      <c r="B28" s="3">
        <v>19951</v>
      </c>
      <c r="C28" s="3">
        <v>20270</v>
      </c>
      <c r="D28" s="3">
        <v>21041</v>
      </c>
      <c r="E28" s="3">
        <v>22007</v>
      </c>
      <c r="F28" s="3">
        <v>26628</v>
      </c>
      <c r="G28" s="3">
        <v>30110</v>
      </c>
      <c r="H28" s="3">
        <v>33322</v>
      </c>
      <c r="I28" s="3">
        <v>35988</v>
      </c>
      <c r="J28" s="3">
        <v>37608</v>
      </c>
      <c r="K28" s="3">
        <v>39995</v>
      </c>
    </row>
    <row r="29" spans="1:11">
      <c r="A29" s="2" t="s">
        <v>82</v>
      </c>
      <c r="B29" s="3">
        <v>5598</v>
      </c>
      <c r="C29" s="3">
        <v>4241</v>
      </c>
      <c r="D29" s="3">
        <v>5631</v>
      </c>
      <c r="E29" s="3">
        <v>5368</v>
      </c>
      <c r="F29" s="3">
        <v>7205</v>
      </c>
      <c r="G29" s="3">
        <v>7964</v>
      </c>
      <c r="H29" s="3">
        <v>9214</v>
      </c>
      <c r="I29" s="3">
        <v>9740</v>
      </c>
      <c r="J29" s="3">
        <v>10858</v>
      </c>
      <c r="K29" s="3">
        <v>10521</v>
      </c>
    </row>
    <row r="30" spans="1:11">
      <c r="A30" s="2" t="s">
        <v>83</v>
      </c>
      <c r="B30" s="3">
        <v>14353</v>
      </c>
      <c r="C30" s="3">
        <v>16029</v>
      </c>
      <c r="D30" s="3">
        <v>15404</v>
      </c>
      <c r="E30" s="3">
        <v>16594</v>
      </c>
      <c r="F30" s="3">
        <v>19351</v>
      </c>
      <c r="G30" s="3">
        <v>22110</v>
      </c>
      <c r="H30" s="3">
        <v>24095</v>
      </c>
      <c r="I30" s="3">
        <v>26233</v>
      </c>
      <c r="J30" s="3">
        <v>26713</v>
      </c>
      <c r="K30" s="3">
        <v>29440</v>
      </c>
    </row>
    <row r="31" spans="1:11">
      <c r="A31" s="2" t="s">
        <v>84</v>
      </c>
      <c r="B31" s="3">
        <v>5891.6</v>
      </c>
      <c r="C31" s="3">
        <v>9465.6</v>
      </c>
      <c r="D31" s="3">
        <v>9222.5</v>
      </c>
      <c r="E31" s="3">
        <v>7427</v>
      </c>
      <c r="F31" s="3">
        <v>11469.6</v>
      </c>
      <c r="G31" s="3">
        <v>13007.6</v>
      </c>
      <c r="H31" s="3">
        <v>14069.2</v>
      </c>
      <c r="I31" s="3">
        <v>19053.2</v>
      </c>
      <c r="J31" s="3">
        <v>17827.8</v>
      </c>
      <c r="K31" s="3">
        <v>19430.400000000001</v>
      </c>
    </row>
    <row r="32" spans="1:11">
      <c r="A32" s="2" t="s">
        <v>85</v>
      </c>
      <c r="B32" s="8">
        <f>B29/B28</f>
        <v>0.28058743922610396</v>
      </c>
      <c r="C32" s="8">
        <f>C29/C28</f>
        <v>0.20922545633941786</v>
      </c>
      <c r="D32" s="8">
        <f>D29/D28</f>
        <v>0.26762036024903757</v>
      </c>
      <c r="E32" s="8">
        <f>E29/E28</f>
        <v>0.24392238833098559</v>
      </c>
      <c r="F32" s="8">
        <f>F29/F28</f>
        <v>0.27057984076911523</v>
      </c>
      <c r="G32" s="8">
        <f>G29/G28</f>
        <v>0.26449684490202591</v>
      </c>
      <c r="H32" s="8">
        <f>H29/H28</f>
        <v>0.27651401476502013</v>
      </c>
      <c r="I32" s="8">
        <f>I29/I28</f>
        <v>0.27064577081249308</v>
      </c>
      <c r="J32" s="8">
        <f>J29/J28</f>
        <v>0.28871516698574773</v>
      </c>
      <c r="K32" s="8">
        <f>K29/K28</f>
        <v>0.26305788223527943</v>
      </c>
    </row>
    <row r="34" spans="1:11">
      <c r="A34" s="2" t="s">
        <v>86</v>
      </c>
      <c r="B34" s="2">
        <f>+B30+B29+B27+B26</f>
        <v>21654</v>
      </c>
      <c r="C34" s="2">
        <f>+C30+C29+C27+C26</f>
        <v>22133</v>
      </c>
      <c r="D34" s="2">
        <f>+D30+D29+D27+D26</f>
        <v>23046</v>
      </c>
      <c r="E34" s="2">
        <f>+E30+E29+E27+E26</f>
        <v>25025</v>
      </c>
      <c r="F34" s="2">
        <f>+F30+F29+F27+F26</f>
        <v>30018</v>
      </c>
      <c r="G34" s="2">
        <f>+G30+G29+G27+G26</f>
        <v>33750</v>
      </c>
      <c r="H34" s="2">
        <f>+H30+H29+H27+H26</f>
        <v>37818</v>
      </c>
      <c r="I34" s="2">
        <f>+I30+I29+I27+I26</f>
        <v>41121</v>
      </c>
      <c r="J34" s="2">
        <f>+J30+J29+J27+J26</f>
        <v>42799</v>
      </c>
      <c r="K34" s="2">
        <f>+K30+K29+K27+K26</f>
        <v>45279</v>
      </c>
    </row>
    <row r="40" spans="1:11" ht="12.95" customHeight="1">
      <c r="A40" s="1" t="s">
        <v>87</v>
      </c>
    </row>
    <row r="41" spans="1:11" s="6" customFormat="1" ht="12.95" customHeight="1">
      <c r="A41" s="4" t="s">
        <v>69</v>
      </c>
      <c r="B41" s="5">
        <v>45382</v>
      </c>
      <c r="C41" s="5">
        <v>45473</v>
      </c>
      <c r="D41" s="5">
        <v>45565</v>
      </c>
      <c r="E41" s="5">
        <v>45657</v>
      </c>
      <c r="F41" s="5">
        <v>45747</v>
      </c>
      <c r="G41" s="5">
        <v>45838</v>
      </c>
      <c r="H41" s="5">
        <v>45930</v>
      </c>
      <c r="I41" s="5">
        <v>46022</v>
      </c>
      <c r="J41" s="5">
        <v>46112</v>
      </c>
      <c r="K41" s="5">
        <v>46203</v>
      </c>
    </row>
    <row r="42" spans="1:11">
      <c r="A42" s="2" t="s">
        <v>70</v>
      </c>
      <c r="B42" s="3">
        <v>37923</v>
      </c>
      <c r="C42" s="3">
        <v>39315</v>
      </c>
      <c r="D42" s="3">
        <v>40986</v>
      </c>
      <c r="E42" s="3">
        <v>41764</v>
      </c>
      <c r="F42" s="3">
        <v>40925</v>
      </c>
      <c r="G42" s="3">
        <v>42279</v>
      </c>
      <c r="H42" s="3">
        <v>44490</v>
      </c>
      <c r="I42" s="3">
        <v>45479</v>
      </c>
      <c r="J42" s="3">
        <v>46402</v>
      </c>
      <c r="K42" s="3">
        <v>48211</v>
      </c>
    </row>
    <row r="43" spans="1:11">
      <c r="A43" s="2" t="s">
        <v>88</v>
      </c>
      <c r="B43" s="3">
        <v>29139</v>
      </c>
      <c r="C43" s="3">
        <v>29878</v>
      </c>
      <c r="D43" s="3">
        <v>31177</v>
      </c>
      <c r="E43" s="3">
        <v>31649</v>
      </c>
      <c r="F43" s="3">
        <v>31051</v>
      </c>
      <c r="G43" s="3">
        <v>32336</v>
      </c>
      <c r="H43" s="3">
        <v>33955</v>
      </c>
      <c r="I43" s="3">
        <v>34845</v>
      </c>
      <c r="J43" s="3">
        <v>35235</v>
      </c>
      <c r="K43" s="3">
        <v>36802</v>
      </c>
    </row>
    <row r="44" spans="1:11">
      <c r="A44" s="2" t="s">
        <v>78</v>
      </c>
      <c r="B44" s="3">
        <v>2729</v>
      </c>
      <c r="C44" s="3">
        <v>838</v>
      </c>
      <c r="D44" s="3">
        <v>712</v>
      </c>
      <c r="E44" s="3">
        <v>859</v>
      </c>
      <c r="F44" s="3">
        <v>1190</v>
      </c>
      <c r="G44" s="3">
        <v>1042</v>
      </c>
      <c r="H44" s="3">
        <v>982</v>
      </c>
      <c r="I44" s="3">
        <v>-150</v>
      </c>
      <c r="J44" s="3">
        <v>1159</v>
      </c>
      <c r="K44" s="3">
        <v>984</v>
      </c>
    </row>
    <row r="45" spans="1:11">
      <c r="A45" s="2" t="s">
        <v>79</v>
      </c>
      <c r="B45" s="3">
        <v>1163</v>
      </c>
      <c r="C45" s="3">
        <v>1149</v>
      </c>
      <c r="D45" s="3">
        <v>1160</v>
      </c>
      <c r="E45" s="3">
        <v>1203</v>
      </c>
      <c r="F45" s="3">
        <v>1299</v>
      </c>
      <c r="G45" s="3">
        <v>1140</v>
      </c>
      <c r="H45" s="3">
        <v>1182</v>
      </c>
      <c r="I45" s="3">
        <v>1155</v>
      </c>
      <c r="J45" s="3">
        <v>1424</v>
      </c>
      <c r="K45" s="3">
        <v>1246</v>
      </c>
    </row>
    <row r="46" spans="1:11" ht="14.45" customHeight="1">
      <c r="A46" s="2" t="s">
        <v>80</v>
      </c>
      <c r="B46" s="7">
        <v>110</v>
      </c>
      <c r="C46" s="7">
        <v>105</v>
      </c>
      <c r="D46" s="7">
        <v>108</v>
      </c>
      <c r="E46" s="7">
        <v>101</v>
      </c>
      <c r="F46" s="7">
        <v>102</v>
      </c>
      <c r="G46" s="7">
        <v>105</v>
      </c>
      <c r="H46" s="7">
        <v>106</v>
      </c>
      <c r="I46" s="7">
        <v>100</v>
      </c>
      <c r="J46" s="7">
        <v>105</v>
      </c>
      <c r="K46" s="7">
        <v>119</v>
      </c>
    </row>
    <row r="47" spans="1:11">
      <c r="A47" s="2" t="s">
        <v>81</v>
      </c>
      <c r="B47" s="3">
        <v>10240</v>
      </c>
      <c r="C47" s="3">
        <v>9021</v>
      </c>
      <c r="D47" s="3">
        <v>9253</v>
      </c>
      <c r="E47" s="3">
        <v>9670</v>
      </c>
      <c r="F47" s="3">
        <v>9663</v>
      </c>
      <c r="G47" s="3">
        <v>9740</v>
      </c>
      <c r="H47" s="3">
        <v>10229</v>
      </c>
      <c r="I47" s="3">
        <v>9229</v>
      </c>
      <c r="J47" s="3">
        <v>10797</v>
      </c>
      <c r="K47" s="3">
        <v>11028</v>
      </c>
    </row>
    <row r="48" spans="1:11">
      <c r="A48" s="2" t="s">
        <v>82</v>
      </c>
      <c r="B48" s="3">
        <v>2265</v>
      </c>
      <c r="C48" s="3">
        <v>2647</v>
      </c>
      <c r="D48" s="3">
        <v>2737</v>
      </c>
      <c r="E48" s="3">
        <v>2848</v>
      </c>
      <c r="F48" s="3">
        <v>2625</v>
      </c>
      <c r="G48" s="3">
        <v>2816</v>
      </c>
      <c r="H48" s="3">
        <v>2854</v>
      </c>
      <c r="I48" s="3">
        <v>2563</v>
      </c>
      <c r="J48" s="3">
        <v>2288</v>
      </c>
      <c r="K48" s="3">
        <v>3253</v>
      </c>
    </row>
    <row r="49" spans="1:11">
      <c r="A49" s="2" t="s">
        <v>83</v>
      </c>
      <c r="B49" s="3">
        <v>7969</v>
      </c>
      <c r="C49" s="3">
        <v>6368</v>
      </c>
      <c r="D49" s="3">
        <v>6506</v>
      </c>
      <c r="E49" s="3">
        <v>6806</v>
      </c>
      <c r="F49" s="3">
        <v>7033</v>
      </c>
      <c r="G49" s="3">
        <v>6921</v>
      </c>
      <c r="H49" s="3">
        <v>7364</v>
      </c>
      <c r="I49" s="3">
        <v>6654</v>
      </c>
      <c r="J49" s="3">
        <v>8501</v>
      </c>
      <c r="K49" s="3">
        <v>7769</v>
      </c>
    </row>
    <row r="50" spans="1:11">
      <c r="A50" s="2" t="s">
        <v>89</v>
      </c>
      <c r="B50" s="3">
        <v>8784</v>
      </c>
      <c r="C50" s="3">
        <v>9437</v>
      </c>
      <c r="D50" s="3">
        <v>9809</v>
      </c>
      <c r="E50" s="3">
        <v>10115</v>
      </c>
      <c r="F50" s="3">
        <v>9874</v>
      </c>
      <c r="G50" s="3">
        <v>9943</v>
      </c>
      <c r="H50" s="3">
        <v>10535</v>
      </c>
      <c r="I50" s="3">
        <v>10634</v>
      </c>
      <c r="J50" s="3">
        <v>11167</v>
      </c>
      <c r="K50" s="3">
        <v>11409</v>
      </c>
    </row>
    <row r="51" spans="1:11">
      <c r="A51" s="2" t="s">
        <v>86</v>
      </c>
      <c r="B51" s="2">
        <f>B49+B48+B46+B45</f>
        <v>11507</v>
      </c>
      <c r="C51" s="2">
        <f>C49+C48+C46+C45</f>
        <v>10269</v>
      </c>
      <c r="D51" s="2">
        <f>D49+D48+D46+D45</f>
        <v>10511</v>
      </c>
      <c r="E51" s="2">
        <f>E49+E48+E46+E45</f>
        <v>10958</v>
      </c>
      <c r="F51" s="2">
        <f>F49+F48+F46+F45</f>
        <v>11059</v>
      </c>
      <c r="G51" s="2">
        <f>G49+G48+G46+G45</f>
        <v>10982</v>
      </c>
      <c r="H51" s="2">
        <f>H49+H48+H46+H45</f>
        <v>11506</v>
      </c>
      <c r="I51" s="2">
        <f>I49+I48+I46+I45</f>
        <v>10472</v>
      </c>
      <c r="J51" s="2">
        <f>J49+J48+J46+J45</f>
        <v>12318</v>
      </c>
      <c r="K51" s="2">
        <f>K49+K48+K46+K45</f>
        <v>12387</v>
      </c>
    </row>
    <row r="55" spans="1:11" ht="12.95" customHeight="1">
      <c r="A55" s="1" t="s">
        <v>90</v>
      </c>
    </row>
    <row r="56" spans="1:11" s="6" customFormat="1" ht="12.95" customHeight="1">
      <c r="A56" s="4" t="s">
        <v>69</v>
      </c>
      <c r="B56" s="5">
        <v>42825</v>
      </c>
      <c r="C56" s="5">
        <v>43190</v>
      </c>
      <c r="D56" s="5">
        <v>43555</v>
      </c>
      <c r="E56" s="5">
        <v>43921</v>
      </c>
      <c r="F56" s="5">
        <v>44286</v>
      </c>
      <c r="G56" s="5">
        <v>44651</v>
      </c>
      <c r="H56" s="5">
        <v>45016</v>
      </c>
      <c r="I56" s="5">
        <v>45382</v>
      </c>
      <c r="J56" s="5">
        <v>45747</v>
      </c>
      <c r="K56" s="5">
        <v>46112</v>
      </c>
    </row>
    <row r="57" spans="1:11">
      <c r="A57" s="2" t="s">
        <v>91</v>
      </c>
      <c r="B57" s="3">
        <v>1144</v>
      </c>
      <c r="C57" s="3">
        <v>1088</v>
      </c>
      <c r="D57" s="3">
        <v>2170</v>
      </c>
      <c r="E57" s="3">
        <v>2122</v>
      </c>
      <c r="F57" s="3">
        <v>2124</v>
      </c>
      <c r="G57" s="3">
        <v>2098</v>
      </c>
      <c r="H57" s="3">
        <v>2069</v>
      </c>
      <c r="I57" s="3">
        <v>2071</v>
      </c>
      <c r="J57" s="3">
        <v>2073</v>
      </c>
      <c r="K57" s="3">
        <v>2024</v>
      </c>
    </row>
    <row r="58" spans="1:11">
      <c r="A58" s="2" t="s">
        <v>92</v>
      </c>
      <c r="B58" s="3">
        <v>67838</v>
      </c>
      <c r="C58" s="3">
        <v>63835</v>
      </c>
      <c r="D58" s="3">
        <v>62778</v>
      </c>
      <c r="E58" s="3">
        <v>63328</v>
      </c>
      <c r="F58" s="3">
        <v>74227</v>
      </c>
      <c r="G58" s="3">
        <v>73252</v>
      </c>
      <c r="H58" s="3">
        <v>73338</v>
      </c>
      <c r="I58" s="3">
        <v>86045</v>
      </c>
      <c r="J58" s="3">
        <v>93745</v>
      </c>
      <c r="K58" s="3">
        <v>90828</v>
      </c>
    </row>
    <row r="59" spans="1:11" ht="14.45" customHeight="1">
      <c r="A59" s="2" t="s">
        <v>93</v>
      </c>
      <c r="B59" s="7"/>
      <c r="C59" s="7"/>
      <c r="D59" s="7"/>
      <c r="E59" s="7">
        <v>4633</v>
      </c>
      <c r="F59" s="7">
        <v>5325</v>
      </c>
      <c r="G59" s="7">
        <v>5474</v>
      </c>
      <c r="H59" s="7">
        <v>8299</v>
      </c>
      <c r="I59" s="7">
        <v>8359</v>
      </c>
      <c r="J59" s="7">
        <v>8227</v>
      </c>
      <c r="K59" s="7">
        <v>9176</v>
      </c>
    </row>
    <row r="60" spans="1:11">
      <c r="A60" s="2" t="s">
        <v>94</v>
      </c>
      <c r="B60" s="3">
        <v>14166</v>
      </c>
      <c r="C60" s="3">
        <v>14426</v>
      </c>
      <c r="D60" s="3">
        <v>19118</v>
      </c>
      <c r="E60" s="3">
        <v>21717</v>
      </c>
      <c r="F60" s="3">
        <v>25835</v>
      </c>
      <c r="G60" s="3">
        <v>35905</v>
      </c>
      <c r="H60" s="3">
        <v>40890</v>
      </c>
      <c r="I60" s="3">
        <v>39545</v>
      </c>
      <c r="J60" s="3">
        <v>43750</v>
      </c>
      <c r="K60" s="3">
        <v>52260</v>
      </c>
    </row>
    <row r="61" spans="1:11" s="1" customFormat="1" ht="12.95" customHeight="1">
      <c r="A61" s="1" t="s">
        <v>95</v>
      </c>
      <c r="B61" s="3">
        <v>83148</v>
      </c>
      <c r="C61" s="3">
        <v>79349</v>
      </c>
      <c r="D61" s="3">
        <v>84066</v>
      </c>
      <c r="E61" s="3">
        <v>91800</v>
      </c>
      <c r="F61" s="3">
        <v>107511</v>
      </c>
      <c r="G61" s="3">
        <v>116729</v>
      </c>
      <c r="H61" s="3">
        <v>124596</v>
      </c>
      <c r="I61" s="3">
        <v>136020</v>
      </c>
      <c r="J61" s="3">
        <v>147795</v>
      </c>
      <c r="K61" s="3">
        <v>154288</v>
      </c>
    </row>
    <row r="62" spans="1:11">
      <c r="A62" s="2" t="s">
        <v>96</v>
      </c>
      <c r="B62" s="3">
        <v>14179</v>
      </c>
      <c r="C62" s="3">
        <v>12574</v>
      </c>
      <c r="D62" s="3">
        <v>15710</v>
      </c>
      <c r="E62" s="3">
        <v>23789</v>
      </c>
      <c r="F62" s="3">
        <v>25505</v>
      </c>
      <c r="G62" s="3">
        <v>25800</v>
      </c>
      <c r="H62" s="3">
        <v>29225</v>
      </c>
      <c r="I62" s="3">
        <v>27622</v>
      </c>
      <c r="J62" s="3">
        <v>30961</v>
      </c>
      <c r="K62" s="3">
        <v>33770</v>
      </c>
    </row>
    <row r="63" spans="1:11">
      <c r="A63" s="2" t="s">
        <v>97</v>
      </c>
      <c r="B63" s="3">
        <v>1365</v>
      </c>
      <c r="C63" s="3">
        <v>1606</v>
      </c>
      <c r="D63" s="3">
        <v>1388</v>
      </c>
      <c r="E63" s="3">
        <v>954</v>
      </c>
      <c r="F63" s="3">
        <v>922</v>
      </c>
      <c r="G63" s="3">
        <v>416</v>
      </c>
      <c r="H63" s="3">
        <v>288</v>
      </c>
      <c r="I63" s="3">
        <v>293</v>
      </c>
      <c r="J63" s="3">
        <v>814</v>
      </c>
      <c r="K63" s="3">
        <v>526</v>
      </c>
    </row>
    <row r="64" spans="1:11" ht="14.45" customHeight="1">
      <c r="A64" s="2" t="s">
        <v>98</v>
      </c>
      <c r="B64" s="3">
        <v>16423</v>
      </c>
      <c r="C64" s="7">
        <v>12163</v>
      </c>
      <c r="D64" s="3">
        <v>11261</v>
      </c>
      <c r="E64" s="3">
        <v>8792</v>
      </c>
      <c r="F64" s="3">
        <v>14205</v>
      </c>
      <c r="G64" s="3">
        <v>20324</v>
      </c>
      <c r="H64" s="3">
        <v>19478</v>
      </c>
      <c r="I64" s="3">
        <v>24623</v>
      </c>
      <c r="J64" s="3">
        <v>23541</v>
      </c>
      <c r="K64" s="3">
        <v>21880</v>
      </c>
    </row>
    <row r="65" spans="1:11">
      <c r="A65" s="2" t="s">
        <v>99</v>
      </c>
      <c r="B65" s="3">
        <v>51181</v>
      </c>
      <c r="C65" s="3">
        <v>53006</v>
      </c>
      <c r="D65" s="3">
        <v>55707</v>
      </c>
      <c r="E65" s="3">
        <v>58265</v>
      </c>
      <c r="F65" s="3">
        <v>66879</v>
      </c>
      <c r="G65" s="3">
        <v>70189</v>
      </c>
      <c r="H65" s="3">
        <v>75605</v>
      </c>
      <c r="I65" s="3">
        <v>83482</v>
      </c>
      <c r="J65" s="3">
        <v>92479</v>
      </c>
      <c r="K65" s="3">
        <v>98112</v>
      </c>
    </row>
    <row r="66" spans="1:11" s="1" customFormat="1" ht="12.95" customHeight="1">
      <c r="A66" s="1" t="s">
        <v>95</v>
      </c>
      <c r="B66" s="3">
        <v>83148</v>
      </c>
      <c r="C66" s="3">
        <v>79349</v>
      </c>
      <c r="D66" s="3">
        <v>84066</v>
      </c>
      <c r="E66" s="3">
        <v>91800</v>
      </c>
      <c r="F66" s="3">
        <v>107511</v>
      </c>
      <c r="G66" s="3">
        <v>116729</v>
      </c>
      <c r="H66" s="3">
        <v>124596</v>
      </c>
      <c r="I66" s="3">
        <v>136020</v>
      </c>
      <c r="J66" s="3">
        <v>147795</v>
      </c>
      <c r="K66" s="3">
        <v>154288</v>
      </c>
    </row>
    <row r="67" spans="1:11">
      <c r="A67" s="2" t="s">
        <v>100</v>
      </c>
      <c r="B67" s="3">
        <v>12322</v>
      </c>
      <c r="C67" s="3">
        <v>13142</v>
      </c>
      <c r="D67" s="3">
        <v>14827</v>
      </c>
      <c r="E67" s="3">
        <v>18487</v>
      </c>
      <c r="F67" s="3">
        <v>19294</v>
      </c>
      <c r="G67" s="3">
        <v>22698</v>
      </c>
      <c r="H67" s="3">
        <v>25424</v>
      </c>
      <c r="I67" s="3">
        <v>30193</v>
      </c>
      <c r="J67" s="3">
        <v>31158</v>
      </c>
      <c r="K67" s="3">
        <v>35234</v>
      </c>
    </row>
    <row r="68" spans="1:11" ht="14.45" customHeight="1">
      <c r="A68" s="2" t="s">
        <v>101</v>
      </c>
      <c r="B68" s="7"/>
      <c r="C68" s="7"/>
      <c r="D68" s="7"/>
      <c r="E68" s="7"/>
      <c r="F68" s="7"/>
      <c r="G68" s="7"/>
      <c r="H68" s="7"/>
      <c r="I68" s="7"/>
      <c r="J68" s="7"/>
      <c r="K68" s="7"/>
    </row>
    <row r="69" spans="1:11">
      <c r="A69" s="2" t="s">
        <v>102</v>
      </c>
      <c r="B69" s="3">
        <v>22625</v>
      </c>
      <c r="C69" s="3">
        <v>19818</v>
      </c>
      <c r="D69" s="3">
        <v>19568</v>
      </c>
      <c r="E69" s="3">
        <v>18649</v>
      </c>
      <c r="F69" s="3">
        <v>24714</v>
      </c>
      <c r="G69" s="3">
        <v>17472</v>
      </c>
      <c r="H69" s="3">
        <v>12173</v>
      </c>
      <c r="I69" s="3">
        <v>14786</v>
      </c>
      <c r="J69" s="3">
        <v>24455</v>
      </c>
      <c r="K69" s="3">
        <v>22201</v>
      </c>
    </row>
    <row r="70" spans="1:11">
      <c r="A70" s="2" t="s">
        <v>103</v>
      </c>
      <c r="B70" s="3">
        <v>2285655150</v>
      </c>
      <c r="C70" s="3">
        <v>2173312301</v>
      </c>
      <c r="D70" s="3">
        <v>4335954462</v>
      </c>
      <c r="E70" s="3">
        <v>4240753210</v>
      </c>
      <c r="F70" s="3">
        <v>4245146114</v>
      </c>
      <c r="G70" s="3">
        <v>4193012929</v>
      </c>
      <c r="H70" s="3">
        <v>4136387925</v>
      </c>
      <c r="I70" s="3">
        <v>4139950635</v>
      </c>
      <c r="J70" s="3">
        <v>4143607528</v>
      </c>
      <c r="K70" s="3">
        <v>4046940812</v>
      </c>
    </row>
    <row r="71" spans="1:11" ht="14.45" customHeight="1">
      <c r="A71" s="2" t="s">
        <v>104</v>
      </c>
      <c r="B71" s="9"/>
      <c r="C71" s="9"/>
      <c r="D71" s="105">
        <v>2184191490</v>
      </c>
      <c r="G71" s="9"/>
      <c r="H71" s="9"/>
    </row>
    <row r="72" spans="1:11">
      <c r="A72" s="2" t="s">
        <v>105</v>
      </c>
      <c r="B72" s="3">
        <v>5</v>
      </c>
      <c r="C72" s="3">
        <v>5</v>
      </c>
      <c r="D72" s="3">
        <v>5</v>
      </c>
      <c r="E72" s="3">
        <v>5</v>
      </c>
      <c r="F72" s="3">
        <v>5</v>
      </c>
      <c r="G72" s="3">
        <v>5</v>
      </c>
      <c r="H72" s="3">
        <v>5</v>
      </c>
      <c r="I72" s="3">
        <v>5</v>
      </c>
      <c r="J72" s="3">
        <v>5</v>
      </c>
      <c r="K72" s="3">
        <v>5</v>
      </c>
    </row>
    <row r="73" spans="1:11">
      <c r="H73" s="2">
        <f>H62-G62+H45</f>
        <v>4607</v>
      </c>
      <c r="I73" s="2">
        <f>I62-H62+I45</f>
        <v>-448</v>
      </c>
      <c r="J73" s="2">
        <f>J62-I62+J45</f>
        <v>4763</v>
      </c>
      <c r="K73" s="2">
        <f>K62-J62+K45</f>
        <v>4055</v>
      </c>
    </row>
    <row r="80" spans="1:11" ht="12.95" customHeight="1">
      <c r="A80" s="1" t="s">
        <v>106</v>
      </c>
    </row>
    <row r="81" spans="1:12" s="6" customFormat="1" ht="12.95" customHeight="1">
      <c r="A81" s="4" t="s">
        <v>69</v>
      </c>
      <c r="B81" s="5">
        <v>42825</v>
      </c>
      <c r="C81" s="5">
        <v>43190</v>
      </c>
      <c r="D81" s="5">
        <v>43555</v>
      </c>
      <c r="E81" s="5">
        <v>43921</v>
      </c>
      <c r="F81" s="5">
        <v>44286</v>
      </c>
      <c r="G81" s="5">
        <v>44651</v>
      </c>
      <c r="H81" s="5">
        <v>45016</v>
      </c>
      <c r="I81" s="5">
        <v>45382</v>
      </c>
      <c r="J81" s="5">
        <v>45747</v>
      </c>
      <c r="K81" s="5">
        <v>46112</v>
      </c>
      <c r="L81" s="5"/>
    </row>
    <row r="82" spans="1:12" s="1" customFormat="1" ht="12.95" customHeight="1">
      <c r="A82" s="2" t="s">
        <v>107</v>
      </c>
      <c r="B82" s="3">
        <v>11531</v>
      </c>
      <c r="C82" s="3">
        <v>13218</v>
      </c>
      <c r="D82" s="3">
        <v>14841</v>
      </c>
      <c r="E82" s="3">
        <v>17003</v>
      </c>
      <c r="F82" s="3">
        <v>23224</v>
      </c>
      <c r="G82" s="3">
        <v>23885</v>
      </c>
      <c r="H82" s="3">
        <v>22467</v>
      </c>
      <c r="I82" s="3">
        <v>25210</v>
      </c>
      <c r="J82" s="3">
        <v>35694</v>
      </c>
      <c r="K82" s="3">
        <v>33986</v>
      </c>
    </row>
    <row r="83" spans="1:12">
      <c r="A83" s="2" t="s">
        <v>108</v>
      </c>
      <c r="B83" s="3">
        <v>-14664</v>
      </c>
      <c r="C83" s="3">
        <v>4533</v>
      </c>
      <c r="D83" s="3">
        <v>-632</v>
      </c>
      <c r="E83" s="3">
        <v>-331</v>
      </c>
      <c r="F83" s="3">
        <v>-7373</v>
      </c>
      <c r="G83" s="3">
        <v>-6485</v>
      </c>
      <c r="H83" s="3">
        <v>-1071</v>
      </c>
      <c r="I83" s="3">
        <v>-5093</v>
      </c>
      <c r="J83" s="3">
        <v>-1864</v>
      </c>
      <c r="K83" s="3">
        <v>3546</v>
      </c>
    </row>
    <row r="84" spans="1:12">
      <c r="A84" s="2" t="s">
        <v>109</v>
      </c>
      <c r="B84" s="3">
        <v>-6939</v>
      </c>
      <c r="C84" s="3">
        <v>-20505</v>
      </c>
      <c r="D84" s="3">
        <v>-14512</v>
      </c>
      <c r="E84" s="3">
        <v>-17591</v>
      </c>
      <c r="F84" s="3">
        <v>-9786</v>
      </c>
      <c r="G84" s="3">
        <v>-24642</v>
      </c>
      <c r="H84" s="3">
        <v>-26695</v>
      </c>
      <c r="I84" s="3">
        <v>-17504</v>
      </c>
      <c r="J84" s="3">
        <v>-24161</v>
      </c>
      <c r="K84" s="3">
        <v>-39786</v>
      </c>
    </row>
    <row r="85" spans="1:12" s="1" customFormat="1" ht="12.95" customHeight="1">
      <c r="A85" s="2" t="s">
        <v>110</v>
      </c>
      <c r="B85" s="3">
        <v>-10072</v>
      </c>
      <c r="C85" s="3">
        <v>-2754</v>
      </c>
      <c r="D85" s="3">
        <v>-303</v>
      </c>
      <c r="E85" s="3">
        <v>-919</v>
      </c>
      <c r="F85" s="3">
        <v>6065</v>
      </c>
      <c r="G85" s="3">
        <v>-7242</v>
      </c>
      <c r="H85" s="3">
        <v>-5299</v>
      </c>
      <c r="I85" s="3">
        <v>2613</v>
      </c>
      <c r="J85" s="3">
        <v>9669</v>
      </c>
      <c r="K85" s="3">
        <v>-2254</v>
      </c>
    </row>
    <row r="90" spans="1:12" s="1" customFormat="1" ht="12.95" customHeight="1">
      <c r="A90" s="1" t="s">
        <v>111</v>
      </c>
      <c r="B90" s="3">
        <v>511.13</v>
      </c>
      <c r="C90" s="3">
        <v>565.9</v>
      </c>
      <c r="D90" s="3">
        <v>743.85</v>
      </c>
      <c r="E90" s="3">
        <v>641.5</v>
      </c>
      <c r="F90" s="3">
        <v>1368.05</v>
      </c>
      <c r="G90" s="3">
        <v>1906.85</v>
      </c>
      <c r="H90" s="3">
        <v>1427.95</v>
      </c>
      <c r="I90" s="3">
        <v>1498.05</v>
      </c>
      <c r="J90" s="3">
        <v>1570.65</v>
      </c>
      <c r="K90" s="3">
        <v>1250.5999999999999</v>
      </c>
    </row>
    <row r="92" spans="1:12" s="1" customFormat="1" ht="12.95" customHeight="1">
      <c r="A92" s="1" t="s">
        <v>112</v>
      </c>
    </row>
    <row r="93" spans="1:12">
      <c r="A93" s="2" t="s">
        <v>113</v>
      </c>
      <c r="B93" s="10">
        <v>459.39</v>
      </c>
      <c r="C93" s="10">
        <v>436.82</v>
      </c>
      <c r="D93" s="10">
        <v>436.89</v>
      </c>
      <c r="E93" s="10">
        <v>425.9</v>
      </c>
      <c r="F93" s="10">
        <v>426.07</v>
      </c>
      <c r="G93" s="10">
        <v>420.67</v>
      </c>
      <c r="H93" s="10">
        <v>414.86</v>
      </c>
      <c r="I93" s="10">
        <v>415.09</v>
      </c>
      <c r="J93" s="10">
        <v>415.33</v>
      </c>
      <c r="K93" s="10">
        <v>405.56</v>
      </c>
    </row>
  </sheetData>
  <mergeCells count="2">
    <mergeCell ref="E2:K2"/>
    <mergeCell ref="E1:K1"/>
  </mergeCells>
  <conditionalFormatting sqref="E1:K1">
    <cfRule type="cellIs" dxfId="0" priority="1" operator="notEqual">
      <formula>""</formula>
    </cfRule>
  </conditionalFormatting>
  <hyperlinks>
    <hyperlink ref="E1" r:id="rId1" display="https://www.screener.in/excel/" xr:uid="{00000000-0004-0000-0100-000000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P36"/>
  <sheetViews>
    <sheetView showGridLines="0" topLeftCell="A7" workbookViewId="0">
      <selection activeCell="R11" sqref="R11"/>
    </sheetView>
  </sheetViews>
  <sheetFormatPr defaultRowHeight="15"/>
  <cols>
    <col min="2" max="2" width="26.5703125" style="105" bestFit="1" customWidth="1"/>
    <col min="3" max="3" width="11.140625" customWidth="1"/>
  </cols>
  <sheetData>
    <row r="4" spans="1:15" ht="29.25" customHeight="1">
      <c r="A4" s="105"/>
      <c r="B4" s="162"/>
      <c r="C4" s="163" t="s">
        <v>114</v>
      </c>
      <c r="D4" s="164">
        <v>42430</v>
      </c>
      <c r="E4" s="164">
        <v>42795</v>
      </c>
      <c r="F4" s="164">
        <v>43160</v>
      </c>
      <c r="G4" s="164">
        <v>43525</v>
      </c>
      <c r="H4" s="164">
        <v>43891</v>
      </c>
      <c r="I4" s="164">
        <v>44256</v>
      </c>
      <c r="J4" s="164">
        <v>44621</v>
      </c>
      <c r="K4" s="164">
        <v>44986</v>
      </c>
      <c r="L4" s="164">
        <v>45352</v>
      </c>
      <c r="M4" s="164">
        <v>45717</v>
      </c>
      <c r="N4" s="164">
        <v>46082</v>
      </c>
      <c r="O4" s="105"/>
    </row>
    <row r="5" spans="1:15" ht="14.25" customHeight="1">
      <c r="A5" s="105"/>
      <c r="B5" s="157" t="s">
        <v>115</v>
      </c>
      <c r="C5" s="158">
        <v>572</v>
      </c>
      <c r="D5" s="159">
        <v>1144</v>
      </c>
      <c r="E5" s="159">
        <v>1144</v>
      </c>
      <c r="F5" s="159">
        <v>1088</v>
      </c>
      <c r="G5" s="159">
        <v>2170</v>
      </c>
      <c r="H5" s="159">
        <v>2122</v>
      </c>
      <c r="I5" s="159">
        <v>2124</v>
      </c>
      <c r="J5" s="159">
        <v>2098</v>
      </c>
      <c r="K5" s="159">
        <v>2069</v>
      </c>
      <c r="L5" s="159">
        <v>2071</v>
      </c>
      <c r="M5" s="159">
        <v>2073</v>
      </c>
      <c r="N5" s="159">
        <v>2024</v>
      </c>
      <c r="O5" s="105"/>
    </row>
    <row r="6" spans="1:15" ht="14.25" customHeight="1">
      <c r="A6" s="105"/>
      <c r="B6" s="157" t="s">
        <v>92</v>
      </c>
      <c r="C6" s="159">
        <v>50164</v>
      </c>
      <c r="D6" s="159">
        <v>60600</v>
      </c>
      <c r="E6" s="159">
        <v>67838</v>
      </c>
      <c r="F6" s="159">
        <v>63835</v>
      </c>
      <c r="G6" s="159">
        <v>62778</v>
      </c>
      <c r="H6" s="159">
        <v>63328</v>
      </c>
      <c r="I6" s="159">
        <v>74227</v>
      </c>
      <c r="J6" s="159">
        <v>73252</v>
      </c>
      <c r="K6" s="159">
        <v>73338</v>
      </c>
      <c r="L6" s="159">
        <v>86045</v>
      </c>
      <c r="M6" s="159">
        <v>93745</v>
      </c>
      <c r="N6" s="159">
        <v>90828</v>
      </c>
      <c r="O6" s="105"/>
    </row>
    <row r="7" spans="1:15" ht="14.25" customHeight="1">
      <c r="A7" s="105"/>
      <c r="B7" s="157" t="s">
        <v>116</v>
      </c>
      <c r="C7" s="158">
        <v>0</v>
      </c>
      <c r="D7" s="158">
        <v>0</v>
      </c>
      <c r="E7" s="158">
        <v>0</v>
      </c>
      <c r="F7" s="158">
        <v>0</v>
      </c>
      <c r="G7" s="158">
        <v>0</v>
      </c>
      <c r="H7" s="159">
        <v>4633</v>
      </c>
      <c r="I7" s="159">
        <v>5325</v>
      </c>
      <c r="J7" s="159">
        <v>5474</v>
      </c>
      <c r="K7" s="159">
        <v>8299</v>
      </c>
      <c r="L7" s="159">
        <v>8359</v>
      </c>
      <c r="M7" s="159">
        <v>8227</v>
      </c>
      <c r="N7" s="159">
        <v>9176</v>
      </c>
      <c r="O7" s="105"/>
    </row>
    <row r="8" spans="1:15" ht="14.25" customHeight="1">
      <c r="A8" s="105"/>
      <c r="B8" s="157" t="s">
        <v>117</v>
      </c>
      <c r="C8" s="158">
        <v>0</v>
      </c>
      <c r="D8" s="158">
        <v>0</v>
      </c>
      <c r="E8" s="158">
        <v>0</v>
      </c>
      <c r="F8" s="158">
        <v>0</v>
      </c>
      <c r="G8" s="158">
        <v>0</v>
      </c>
      <c r="H8" s="159">
        <v>4633</v>
      </c>
      <c r="I8" s="159">
        <v>5325</v>
      </c>
      <c r="J8" s="159">
        <v>5474</v>
      </c>
      <c r="K8" s="159">
        <v>8299</v>
      </c>
      <c r="L8" s="159">
        <v>8359</v>
      </c>
      <c r="M8" s="159">
        <v>8227</v>
      </c>
      <c r="N8" s="159">
        <v>9176</v>
      </c>
      <c r="O8" s="105"/>
    </row>
    <row r="9" spans="1:15" ht="14.25" customHeight="1">
      <c r="A9" s="105"/>
      <c r="B9" s="157" t="s">
        <v>118</v>
      </c>
      <c r="C9" s="159">
        <v>15553</v>
      </c>
      <c r="D9" s="159">
        <v>13354</v>
      </c>
      <c r="E9" s="159">
        <v>14166</v>
      </c>
      <c r="F9" s="159">
        <v>14426</v>
      </c>
      <c r="G9" s="159">
        <v>19118</v>
      </c>
      <c r="H9" s="159">
        <v>21717</v>
      </c>
      <c r="I9" s="159">
        <v>25835</v>
      </c>
      <c r="J9" s="159">
        <v>35905</v>
      </c>
      <c r="K9" s="159">
        <v>40890</v>
      </c>
      <c r="L9" s="159">
        <v>39545</v>
      </c>
      <c r="M9" s="159">
        <v>43750</v>
      </c>
      <c r="N9" s="159">
        <v>52260</v>
      </c>
      <c r="O9" s="105"/>
    </row>
    <row r="10" spans="1:15" ht="14.25" customHeight="1">
      <c r="A10" s="105"/>
      <c r="B10" s="157" t="s">
        <v>119</v>
      </c>
      <c r="C10" s="158">
        <v>0</v>
      </c>
      <c r="D10" s="158">
        <v>0</v>
      </c>
      <c r="E10" s="158">
        <v>0</v>
      </c>
      <c r="F10" s="158">
        <v>1</v>
      </c>
      <c r="G10" s="158">
        <v>58</v>
      </c>
      <c r="H10" s="158">
        <v>394</v>
      </c>
      <c r="I10" s="158">
        <v>431</v>
      </c>
      <c r="J10" s="158">
        <v>386</v>
      </c>
      <c r="K10" s="158">
        <v>388</v>
      </c>
      <c r="L10" s="158">
        <v>345</v>
      </c>
      <c r="M10" s="158">
        <v>385</v>
      </c>
      <c r="N10" s="158">
        <v>445</v>
      </c>
      <c r="O10" s="105"/>
    </row>
    <row r="11" spans="1:15" ht="14.25" customHeight="1">
      <c r="A11" s="105"/>
      <c r="B11" s="157" t="s">
        <v>120</v>
      </c>
      <c r="C11" s="158">
        <v>140</v>
      </c>
      <c r="D11" s="158">
        <v>386</v>
      </c>
      <c r="E11" s="158">
        <v>367</v>
      </c>
      <c r="F11" s="158">
        <v>694</v>
      </c>
      <c r="G11" s="159">
        <v>1655</v>
      </c>
      <c r="H11" s="159">
        <v>2852</v>
      </c>
      <c r="I11" s="159">
        <v>2645</v>
      </c>
      <c r="J11" s="159">
        <v>4134</v>
      </c>
      <c r="K11" s="159">
        <v>3865</v>
      </c>
      <c r="L11" s="159">
        <v>3956</v>
      </c>
      <c r="M11" s="159">
        <v>4164</v>
      </c>
      <c r="N11" s="159">
        <v>4744</v>
      </c>
      <c r="O11" s="105"/>
    </row>
    <row r="12" spans="1:15" ht="14.25" customHeight="1">
      <c r="A12" s="105"/>
      <c r="B12" s="157" t="s">
        <v>121</v>
      </c>
      <c r="C12" s="158">
        <v>27</v>
      </c>
      <c r="D12" s="158">
        <v>28</v>
      </c>
      <c r="E12" s="158">
        <v>0</v>
      </c>
      <c r="F12" s="158">
        <v>0</v>
      </c>
      <c r="G12" s="158">
        <v>0</v>
      </c>
      <c r="H12" s="158">
        <v>0</v>
      </c>
      <c r="I12" s="158">
        <v>0</v>
      </c>
      <c r="J12" s="158">
        <v>0</v>
      </c>
      <c r="K12" s="158">
        <v>0</v>
      </c>
      <c r="L12" s="158">
        <v>0</v>
      </c>
      <c r="M12" s="158">
        <v>0</v>
      </c>
      <c r="N12" s="158">
        <v>0</v>
      </c>
      <c r="O12" s="105"/>
    </row>
    <row r="13" spans="1:15" ht="14.25" customHeight="1">
      <c r="A13" s="105"/>
      <c r="B13" s="157" t="s">
        <v>122</v>
      </c>
      <c r="C13" s="159">
        <v>15386</v>
      </c>
      <c r="D13" s="159">
        <v>12940</v>
      </c>
      <c r="E13" s="159">
        <v>13799</v>
      </c>
      <c r="F13" s="159">
        <v>13731</v>
      </c>
      <c r="G13" s="159">
        <v>17405</v>
      </c>
      <c r="H13" s="159">
        <v>18471</v>
      </c>
      <c r="I13" s="159">
        <v>22759</v>
      </c>
      <c r="J13" s="159">
        <v>31385</v>
      </c>
      <c r="K13" s="159">
        <v>36637</v>
      </c>
      <c r="L13" s="159">
        <v>35244</v>
      </c>
      <c r="M13" s="159">
        <v>39201</v>
      </c>
      <c r="N13" s="159">
        <v>47071</v>
      </c>
      <c r="O13" s="105"/>
    </row>
    <row r="14" spans="1:15" ht="14.25" customHeight="1">
      <c r="A14" s="105"/>
      <c r="B14" s="160" t="s">
        <v>123</v>
      </c>
      <c r="C14" s="161">
        <v>66289</v>
      </c>
      <c r="D14" s="161">
        <v>75098</v>
      </c>
      <c r="E14" s="161">
        <v>83148</v>
      </c>
      <c r="F14" s="161">
        <v>79349</v>
      </c>
      <c r="G14" s="161">
        <v>84066</v>
      </c>
      <c r="H14" s="161">
        <v>91800</v>
      </c>
      <c r="I14" s="161">
        <v>107511</v>
      </c>
      <c r="J14" s="161">
        <v>116729</v>
      </c>
      <c r="K14" s="161">
        <v>124596</v>
      </c>
      <c r="L14" s="161">
        <v>136020</v>
      </c>
      <c r="M14" s="161">
        <v>147795</v>
      </c>
      <c r="N14" s="161">
        <v>154288</v>
      </c>
      <c r="O14" s="105"/>
    </row>
    <row r="15" spans="1:15" ht="14.25" customHeight="1">
      <c r="A15" s="105"/>
      <c r="B15" s="157" t="s">
        <v>124</v>
      </c>
      <c r="C15" s="159">
        <v>11346</v>
      </c>
      <c r="D15" s="159">
        <v>13386</v>
      </c>
      <c r="E15" s="159">
        <v>14179</v>
      </c>
      <c r="F15" s="159">
        <v>12574</v>
      </c>
      <c r="G15" s="159">
        <v>15710</v>
      </c>
      <c r="H15" s="159">
        <v>23789</v>
      </c>
      <c r="I15" s="159">
        <v>25505</v>
      </c>
      <c r="J15" s="159">
        <v>25800</v>
      </c>
      <c r="K15" s="159">
        <v>29225</v>
      </c>
      <c r="L15" s="159">
        <v>27622</v>
      </c>
      <c r="M15" s="159">
        <v>30961</v>
      </c>
      <c r="N15" s="159">
        <v>33770</v>
      </c>
      <c r="O15" s="105"/>
    </row>
    <row r="16" spans="1:15" ht="14.25" customHeight="1">
      <c r="A16" s="105"/>
      <c r="B16" s="157" t="s">
        <v>125</v>
      </c>
      <c r="C16" s="159">
        <v>1564</v>
      </c>
      <c r="D16" s="159">
        <v>1622</v>
      </c>
      <c r="E16" s="159">
        <v>1095</v>
      </c>
      <c r="F16" s="159">
        <v>1229</v>
      </c>
      <c r="G16" s="159">
        <v>1307</v>
      </c>
      <c r="H16" s="159">
        <v>1950</v>
      </c>
      <c r="I16" s="159">
        <v>2035</v>
      </c>
      <c r="J16" s="159">
        <v>2066</v>
      </c>
      <c r="K16" s="159">
        <v>2054</v>
      </c>
      <c r="L16" s="159">
        <v>2037</v>
      </c>
      <c r="M16" s="159">
        <v>2079</v>
      </c>
      <c r="N16" s="159">
        <v>1990</v>
      </c>
      <c r="O16" s="105"/>
    </row>
    <row r="17" spans="1:16" ht="14.25" customHeight="1">
      <c r="A17" s="105"/>
      <c r="B17" s="157" t="s">
        <v>126</v>
      </c>
      <c r="C17" s="159">
        <v>6102</v>
      </c>
      <c r="D17" s="159">
        <v>6325</v>
      </c>
      <c r="E17" s="159">
        <v>8419</v>
      </c>
      <c r="F17" s="159">
        <v>9334</v>
      </c>
      <c r="G17" s="159">
        <v>10270</v>
      </c>
      <c r="H17" s="159">
        <v>15104</v>
      </c>
      <c r="I17" s="159">
        <v>16394</v>
      </c>
      <c r="J17" s="159">
        <v>16760</v>
      </c>
      <c r="K17" s="159">
        <v>16903</v>
      </c>
      <c r="L17" s="159">
        <v>16515</v>
      </c>
      <c r="M17" s="159">
        <v>16376</v>
      </c>
      <c r="N17" s="159">
        <v>17193</v>
      </c>
      <c r="O17" s="105"/>
      <c r="P17" s="105"/>
    </row>
    <row r="18" spans="1:16" ht="14.25" customHeight="1">
      <c r="A18" s="105"/>
      <c r="B18" s="157" t="s">
        <v>127</v>
      </c>
      <c r="C18" s="159">
        <v>1427</v>
      </c>
      <c r="D18" s="159">
        <v>1759</v>
      </c>
      <c r="E18" s="159">
        <v>2048</v>
      </c>
      <c r="F18" s="159">
        <v>2306</v>
      </c>
      <c r="G18" s="159">
        <v>2709</v>
      </c>
      <c r="H18" s="159">
        <v>3185</v>
      </c>
      <c r="I18" s="159">
        <v>3296</v>
      </c>
      <c r="J18" s="159">
        <v>3210</v>
      </c>
      <c r="K18" s="159">
        <v>3302</v>
      </c>
      <c r="L18" s="159">
        <v>3428</v>
      </c>
      <c r="M18" s="159">
        <v>3461</v>
      </c>
      <c r="N18" s="159">
        <v>3714</v>
      </c>
      <c r="O18" s="105"/>
      <c r="P18" s="105"/>
    </row>
    <row r="19" spans="1:16" ht="14.25" customHeight="1">
      <c r="A19" s="105"/>
      <c r="B19" s="157" t="s">
        <v>128</v>
      </c>
      <c r="C19" s="158">
        <v>676</v>
      </c>
      <c r="D19" s="158">
        <v>839</v>
      </c>
      <c r="E19" s="158">
        <v>922</v>
      </c>
      <c r="F19" s="159">
        <v>1002</v>
      </c>
      <c r="G19" s="159">
        <v>1101</v>
      </c>
      <c r="H19" s="159">
        <v>1265</v>
      </c>
      <c r="I19" s="159">
        <v>1371</v>
      </c>
      <c r="J19" s="159">
        <v>1427</v>
      </c>
      <c r="K19" s="159">
        <v>1482</v>
      </c>
      <c r="L19" s="159">
        <v>1528</v>
      </c>
      <c r="M19" s="159">
        <v>1628</v>
      </c>
      <c r="N19" s="159">
        <v>1732</v>
      </c>
      <c r="O19" s="105"/>
      <c r="P19" s="105"/>
    </row>
    <row r="20" spans="1:16" ht="14.25" customHeight="1">
      <c r="A20" s="105"/>
      <c r="B20" s="157" t="s">
        <v>129</v>
      </c>
      <c r="C20" s="159">
        <v>3347</v>
      </c>
      <c r="D20" s="159">
        <v>4486</v>
      </c>
      <c r="E20" s="159">
        <v>4945</v>
      </c>
      <c r="F20" s="159">
        <v>4903</v>
      </c>
      <c r="G20" s="159">
        <v>6287</v>
      </c>
      <c r="H20" s="159">
        <v>7423</v>
      </c>
      <c r="I20" s="159">
        <v>8732</v>
      </c>
      <c r="J20" s="159">
        <v>9936</v>
      </c>
      <c r="K20" s="159">
        <v>11898</v>
      </c>
      <c r="L20" s="159">
        <v>12353</v>
      </c>
      <c r="M20" s="159">
        <v>12925</v>
      </c>
      <c r="N20" s="159">
        <v>13600</v>
      </c>
      <c r="O20" s="105"/>
      <c r="P20" s="105"/>
    </row>
    <row r="21" spans="1:16" ht="14.25" customHeight="1">
      <c r="A21" s="105"/>
      <c r="B21" s="157" t="s">
        <v>130</v>
      </c>
      <c r="C21" s="158">
        <v>958</v>
      </c>
      <c r="D21" s="159">
        <v>1444</v>
      </c>
      <c r="E21" s="159">
        <v>1277</v>
      </c>
      <c r="F21" s="159">
        <v>1393</v>
      </c>
      <c r="G21" s="159">
        <v>1620</v>
      </c>
      <c r="H21" s="159">
        <v>2073</v>
      </c>
      <c r="I21" s="159">
        <v>2149</v>
      </c>
      <c r="J21" s="159">
        <v>2278</v>
      </c>
      <c r="K21" s="159">
        <v>2303</v>
      </c>
      <c r="L21" s="159">
        <v>2326</v>
      </c>
      <c r="M21" s="159">
        <v>2340</v>
      </c>
      <c r="N21" s="159">
        <v>2438</v>
      </c>
      <c r="O21" s="105"/>
      <c r="P21" s="105"/>
    </row>
    <row r="22" spans="1:16" ht="14.25" customHeight="1">
      <c r="A22" s="105"/>
      <c r="B22" s="157" t="s">
        <v>131</v>
      </c>
      <c r="C22" s="158">
        <v>34</v>
      </c>
      <c r="D22" s="158">
        <v>29</v>
      </c>
      <c r="E22" s="158">
        <v>31</v>
      </c>
      <c r="F22" s="158">
        <v>31</v>
      </c>
      <c r="G22" s="158">
        <v>38</v>
      </c>
      <c r="H22" s="158">
        <v>69</v>
      </c>
      <c r="I22" s="158">
        <v>73</v>
      </c>
      <c r="J22" s="158">
        <v>71</v>
      </c>
      <c r="K22" s="158">
        <v>60</v>
      </c>
      <c r="L22" s="158">
        <v>62</v>
      </c>
      <c r="M22" s="158">
        <v>72</v>
      </c>
      <c r="N22" s="158">
        <v>70</v>
      </c>
      <c r="O22" s="105"/>
      <c r="P22" s="105"/>
    </row>
    <row r="23" spans="1:16" ht="14.25" customHeight="1">
      <c r="A23" s="105"/>
      <c r="B23" s="157" t="s">
        <v>132</v>
      </c>
      <c r="C23" s="159">
        <v>3637</v>
      </c>
      <c r="D23" s="159">
        <v>3858</v>
      </c>
      <c r="E23" s="159">
        <v>3743</v>
      </c>
      <c r="F23" s="159">
        <v>2237</v>
      </c>
      <c r="G23" s="159">
        <v>3640</v>
      </c>
      <c r="H23" s="159">
        <v>5528</v>
      </c>
      <c r="I23" s="159">
        <v>6373</v>
      </c>
      <c r="J23" s="159">
        <v>6495</v>
      </c>
      <c r="K23" s="159">
        <v>7594</v>
      </c>
      <c r="L23" s="159">
        <v>7652</v>
      </c>
      <c r="M23" s="159">
        <v>10626</v>
      </c>
      <c r="N23" s="159">
        <v>12729</v>
      </c>
      <c r="O23" s="105"/>
      <c r="P23" s="105"/>
    </row>
    <row r="24" spans="1:16" ht="14.25" customHeight="1">
      <c r="A24" s="105"/>
      <c r="B24" s="157" t="s">
        <v>133</v>
      </c>
      <c r="C24" s="158">
        <v>71</v>
      </c>
      <c r="D24" s="158">
        <v>931</v>
      </c>
      <c r="E24" s="158">
        <v>899</v>
      </c>
      <c r="F24" s="158">
        <v>545</v>
      </c>
      <c r="G24" s="159">
        <v>1093</v>
      </c>
      <c r="H24" s="159">
        <v>2289</v>
      </c>
      <c r="I24" s="159">
        <v>2730</v>
      </c>
      <c r="J24" s="159">
        <v>2766</v>
      </c>
      <c r="K24" s="159">
        <v>3281</v>
      </c>
      <c r="L24" s="159">
        <v>3294</v>
      </c>
      <c r="M24" s="159">
        <v>5184</v>
      </c>
      <c r="N24" s="159">
        <v>6296</v>
      </c>
      <c r="O24" s="105"/>
      <c r="P24" s="105"/>
    </row>
    <row r="25" spans="1:16" ht="14.25" customHeight="1">
      <c r="A25" s="105"/>
      <c r="B25" s="157" t="s">
        <v>134</v>
      </c>
      <c r="C25" s="159">
        <v>17816</v>
      </c>
      <c r="D25" s="159">
        <v>21293</v>
      </c>
      <c r="E25" s="159">
        <v>23379</v>
      </c>
      <c r="F25" s="159">
        <v>22980</v>
      </c>
      <c r="G25" s="159">
        <v>28065</v>
      </c>
      <c r="H25" s="159">
        <v>38886</v>
      </c>
      <c r="I25" s="159">
        <v>43153</v>
      </c>
      <c r="J25" s="159">
        <v>45009</v>
      </c>
      <c r="K25" s="159">
        <v>48877</v>
      </c>
      <c r="L25" s="159">
        <v>49195</v>
      </c>
      <c r="M25" s="159">
        <v>54691</v>
      </c>
      <c r="N25" s="159">
        <v>59762</v>
      </c>
      <c r="O25" s="105"/>
      <c r="P25" s="105"/>
    </row>
    <row r="26" spans="1:16" ht="14.25" customHeight="1">
      <c r="A26" s="105"/>
      <c r="B26" s="157" t="s">
        <v>135</v>
      </c>
      <c r="C26" s="159">
        <v>6470</v>
      </c>
      <c r="D26" s="159">
        <v>7907</v>
      </c>
      <c r="E26" s="159">
        <v>9200</v>
      </c>
      <c r="F26" s="159">
        <v>10406</v>
      </c>
      <c r="G26" s="159">
        <v>12355</v>
      </c>
      <c r="H26" s="159">
        <v>15097</v>
      </c>
      <c r="I26" s="159">
        <v>17648</v>
      </c>
      <c r="J26" s="159">
        <v>19209</v>
      </c>
      <c r="K26" s="159">
        <v>19652</v>
      </c>
      <c r="L26" s="159">
        <v>21573</v>
      </c>
      <c r="M26" s="159">
        <v>23730</v>
      </c>
      <c r="N26" s="159">
        <v>25992</v>
      </c>
      <c r="O26" s="105"/>
      <c r="P26" s="105"/>
    </row>
    <row r="27" spans="1:16" ht="14.25" customHeight="1">
      <c r="A27" s="105"/>
      <c r="B27" s="157" t="s">
        <v>136</v>
      </c>
      <c r="C27" s="158">
        <v>776</v>
      </c>
      <c r="D27" s="158">
        <v>960</v>
      </c>
      <c r="E27" s="159">
        <v>1365</v>
      </c>
      <c r="F27" s="159">
        <v>1606</v>
      </c>
      <c r="G27" s="159">
        <v>1388</v>
      </c>
      <c r="H27" s="158">
        <v>954</v>
      </c>
      <c r="I27" s="158">
        <v>922</v>
      </c>
      <c r="J27" s="158">
        <v>416</v>
      </c>
      <c r="K27" s="158">
        <v>288</v>
      </c>
      <c r="L27" s="158">
        <v>293</v>
      </c>
      <c r="M27" s="158">
        <v>814</v>
      </c>
      <c r="N27" s="158">
        <v>526</v>
      </c>
      <c r="O27" s="105"/>
      <c r="P27" s="105"/>
    </row>
    <row r="28" spans="1:16" ht="14.25" customHeight="1">
      <c r="A28" s="105"/>
      <c r="B28" s="157" t="s">
        <v>98</v>
      </c>
      <c r="C28" s="159">
        <v>2270</v>
      </c>
      <c r="D28" s="159">
        <v>1892</v>
      </c>
      <c r="E28" s="159">
        <v>16423</v>
      </c>
      <c r="F28" s="159">
        <v>12163</v>
      </c>
      <c r="G28" s="159">
        <v>11261</v>
      </c>
      <c r="H28" s="159">
        <v>8792</v>
      </c>
      <c r="I28" s="159">
        <v>14205</v>
      </c>
      <c r="J28" s="159">
        <v>20324</v>
      </c>
      <c r="K28" s="159">
        <v>19478</v>
      </c>
      <c r="L28" s="159">
        <v>24623</v>
      </c>
      <c r="M28" s="159">
        <v>23541</v>
      </c>
      <c r="N28" s="159">
        <v>21880</v>
      </c>
      <c r="O28" s="105"/>
      <c r="P28" s="105"/>
    </row>
    <row r="29" spans="1:16" ht="14.25" customHeight="1">
      <c r="A29" s="105"/>
      <c r="B29" s="157" t="s">
        <v>137</v>
      </c>
      <c r="C29" s="159">
        <v>51897</v>
      </c>
      <c r="D29" s="159">
        <v>58860</v>
      </c>
      <c r="E29" s="159">
        <v>51181</v>
      </c>
      <c r="F29" s="159">
        <v>53006</v>
      </c>
      <c r="G29" s="159">
        <v>55707</v>
      </c>
      <c r="H29" s="159">
        <v>58265</v>
      </c>
      <c r="I29" s="159">
        <v>66879</v>
      </c>
      <c r="J29" s="159">
        <v>70189</v>
      </c>
      <c r="K29" s="159">
        <v>75605</v>
      </c>
      <c r="L29" s="159">
        <v>83482</v>
      </c>
      <c r="M29" s="159">
        <v>92479</v>
      </c>
      <c r="N29" s="159">
        <v>98112</v>
      </c>
      <c r="O29" s="105"/>
      <c r="P29" s="28"/>
    </row>
    <row r="30" spans="1:16" ht="14.25" customHeight="1">
      <c r="A30" s="105"/>
      <c r="B30" s="157" t="s">
        <v>138</v>
      </c>
      <c r="C30" s="159">
        <v>9713</v>
      </c>
      <c r="D30" s="159">
        <v>11330</v>
      </c>
      <c r="E30" s="159">
        <v>12322</v>
      </c>
      <c r="F30" s="159">
        <v>13142</v>
      </c>
      <c r="G30" s="159">
        <v>14827</v>
      </c>
      <c r="H30" s="159">
        <v>18487</v>
      </c>
      <c r="I30" s="159">
        <v>19294</v>
      </c>
      <c r="J30" s="159">
        <v>22698</v>
      </c>
      <c r="K30" s="159">
        <v>25424</v>
      </c>
      <c r="L30" s="159">
        <v>30193</v>
      </c>
      <c r="M30" s="159">
        <v>31158</v>
      </c>
      <c r="N30" s="159">
        <v>35234</v>
      </c>
      <c r="O30" s="105"/>
      <c r="P30" s="105"/>
    </row>
    <row r="31" spans="1:16" ht="14.25" customHeight="1">
      <c r="A31" s="105"/>
      <c r="B31" s="157" t="s">
        <v>139</v>
      </c>
      <c r="C31" s="159">
        <v>30367</v>
      </c>
      <c r="D31" s="159">
        <v>32697</v>
      </c>
      <c r="E31" s="159">
        <v>22625</v>
      </c>
      <c r="F31" s="159">
        <v>19818</v>
      </c>
      <c r="G31" s="159">
        <v>19568</v>
      </c>
      <c r="H31" s="159">
        <v>18649</v>
      </c>
      <c r="I31" s="159">
        <v>24714</v>
      </c>
      <c r="J31" s="159">
        <v>17472</v>
      </c>
      <c r="K31" s="159">
        <v>12173</v>
      </c>
      <c r="L31" s="159">
        <v>14786</v>
      </c>
      <c r="M31" s="159">
        <v>24455</v>
      </c>
      <c r="N31" s="159">
        <v>22201</v>
      </c>
      <c r="O31" s="105"/>
      <c r="P31" s="105"/>
    </row>
    <row r="32" spans="1:16" ht="14.25" customHeight="1">
      <c r="A32" s="105"/>
      <c r="B32" s="157" t="s">
        <v>140</v>
      </c>
      <c r="C32" s="158">
        <v>399</v>
      </c>
      <c r="D32" s="158">
        <v>614</v>
      </c>
      <c r="E32" s="158">
        <v>844</v>
      </c>
      <c r="F32" s="158">
        <v>830</v>
      </c>
      <c r="G32" s="159">
        <v>1524</v>
      </c>
      <c r="H32" s="159">
        <v>1359</v>
      </c>
      <c r="I32" s="159">
        <v>1460</v>
      </c>
      <c r="J32" s="159">
        <v>2491</v>
      </c>
      <c r="K32" s="159">
        <v>3242</v>
      </c>
      <c r="L32" s="159">
        <v>10330</v>
      </c>
      <c r="M32" s="159">
        <v>6717</v>
      </c>
      <c r="N32" s="159">
        <v>6808</v>
      </c>
      <c r="O32" s="105"/>
      <c r="P32" s="105"/>
    </row>
    <row r="33" spans="1:15" ht="14.25" customHeight="1">
      <c r="A33" s="105"/>
      <c r="B33" s="157" t="s">
        <v>141</v>
      </c>
      <c r="C33" s="159">
        <v>11418</v>
      </c>
      <c r="D33" s="159">
        <v>14219</v>
      </c>
      <c r="E33" s="159">
        <v>15390</v>
      </c>
      <c r="F33" s="159">
        <v>19216</v>
      </c>
      <c r="G33" s="159">
        <v>19788</v>
      </c>
      <c r="H33" s="159">
        <v>19770</v>
      </c>
      <c r="I33" s="159">
        <v>21411</v>
      </c>
      <c r="J33" s="159">
        <v>27528</v>
      </c>
      <c r="K33" s="159">
        <v>34766</v>
      </c>
      <c r="L33" s="159">
        <v>28173</v>
      </c>
      <c r="M33" s="159">
        <v>30149</v>
      </c>
      <c r="N33" s="159">
        <v>33869</v>
      </c>
      <c r="O33" s="105"/>
    </row>
    <row r="34" spans="1:15" ht="14.25" customHeight="1">
      <c r="A34" s="105"/>
      <c r="B34" s="160" t="s">
        <v>142</v>
      </c>
      <c r="C34" s="161">
        <v>66289</v>
      </c>
      <c r="D34" s="161">
        <v>75098</v>
      </c>
      <c r="E34" s="161">
        <v>83148</v>
      </c>
      <c r="F34" s="161">
        <v>79349</v>
      </c>
      <c r="G34" s="161">
        <v>84066</v>
      </c>
      <c r="H34" s="161">
        <v>91800</v>
      </c>
      <c r="I34" s="161">
        <v>107511</v>
      </c>
      <c r="J34" s="161">
        <v>116729</v>
      </c>
      <c r="K34" s="161">
        <v>124596</v>
      </c>
      <c r="L34" s="161">
        <v>136020</v>
      </c>
      <c r="M34" s="161">
        <v>147795</v>
      </c>
      <c r="N34" s="161">
        <v>154288</v>
      </c>
      <c r="O34" s="105"/>
    </row>
    <row r="35" spans="1:15">
      <c r="A35" s="105"/>
      <c r="B35" s="156"/>
      <c r="C35" s="156"/>
      <c r="D35" s="156"/>
      <c r="E35" s="156"/>
      <c r="F35" s="156"/>
      <c r="G35" s="156"/>
      <c r="H35" s="156"/>
      <c r="I35" s="156"/>
      <c r="J35" s="156"/>
      <c r="K35" s="156"/>
      <c r="L35" s="156"/>
      <c r="M35" s="156"/>
      <c r="N35" s="156"/>
      <c r="O35" s="105"/>
    </row>
    <row r="36" spans="1:15">
      <c r="A36" s="105"/>
      <c r="C36" s="105"/>
      <c r="D36" s="105"/>
      <c r="E36" s="105"/>
      <c r="F36" s="105"/>
      <c r="G36" s="105"/>
      <c r="H36" s="105"/>
      <c r="I36" s="105"/>
      <c r="J36" s="105"/>
      <c r="K36" s="105"/>
      <c r="L36" s="105"/>
      <c r="M36" s="105"/>
      <c r="N36" s="105"/>
      <c r="O36" s="10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O64"/>
  <sheetViews>
    <sheetView workbookViewId="0">
      <selection activeCell="F35" sqref="F35"/>
    </sheetView>
  </sheetViews>
  <sheetFormatPr defaultRowHeight="14.45"/>
  <cols>
    <col min="2" max="2" width="28" style="105" bestFit="1" customWidth="1"/>
    <col min="3" max="4" width="7.5703125" style="105" bestFit="1" customWidth="1"/>
    <col min="5" max="14" width="7.28515625" style="105" bestFit="1" customWidth="1"/>
  </cols>
  <sheetData>
    <row r="2" spans="2:15">
      <c r="C2" s="11">
        <v>42795</v>
      </c>
      <c r="D2" s="11">
        <v>43160</v>
      </c>
      <c r="E2" s="11">
        <v>43525</v>
      </c>
      <c r="F2" s="11">
        <v>43891</v>
      </c>
      <c r="G2" s="11">
        <v>44256</v>
      </c>
      <c r="H2" s="11">
        <v>44621</v>
      </c>
      <c r="I2" s="11">
        <v>44986</v>
      </c>
      <c r="J2" s="11">
        <v>45352</v>
      </c>
      <c r="K2" s="11">
        <v>45717</v>
      </c>
      <c r="L2" s="11">
        <v>46082</v>
      </c>
      <c r="M2" s="11"/>
      <c r="N2" s="11"/>
      <c r="O2" s="105"/>
    </row>
    <row r="3" spans="2:15" ht="15">
      <c r="B3" s="94" t="s">
        <v>143</v>
      </c>
      <c r="C3" s="165">
        <v>11531</v>
      </c>
      <c r="D3" s="165">
        <v>13218</v>
      </c>
      <c r="E3" s="165">
        <v>14841</v>
      </c>
      <c r="F3" s="165">
        <v>17003</v>
      </c>
      <c r="G3" s="165">
        <v>23224</v>
      </c>
      <c r="H3" s="165">
        <v>23885</v>
      </c>
      <c r="I3" s="165">
        <v>22467</v>
      </c>
      <c r="J3" s="165">
        <v>25210</v>
      </c>
      <c r="K3" s="165">
        <v>35694</v>
      </c>
      <c r="L3" s="165">
        <v>33986</v>
      </c>
      <c r="M3" s="28"/>
      <c r="N3" s="28"/>
      <c r="O3" s="105"/>
    </row>
    <row r="4" spans="2:15">
      <c r="B4" s="105" t="s">
        <v>144</v>
      </c>
      <c r="C4" s="28">
        <v>19340</v>
      </c>
      <c r="D4" s="28">
        <v>19963</v>
      </c>
      <c r="E4" s="28">
        <v>22126</v>
      </c>
      <c r="F4" s="28">
        <v>23920</v>
      </c>
      <c r="G4" s="28">
        <v>28845</v>
      </c>
      <c r="H4" s="28">
        <v>32921</v>
      </c>
      <c r="I4" s="28">
        <v>37605</v>
      </c>
      <c r="J4" s="28">
        <v>39523</v>
      </c>
      <c r="K4" s="28">
        <v>41591</v>
      </c>
      <c r="L4" s="28">
        <v>45273</v>
      </c>
      <c r="M4" s="28"/>
      <c r="N4" s="28"/>
      <c r="O4" s="105"/>
    </row>
    <row r="5" spans="2:15">
      <c r="B5" s="105" t="s">
        <v>100</v>
      </c>
      <c r="C5" s="28">
        <v>-1743</v>
      </c>
      <c r="D5" s="28">
        <v>-1523</v>
      </c>
      <c r="E5" s="28">
        <v>-2881</v>
      </c>
      <c r="F5" s="28">
        <v>-3861</v>
      </c>
      <c r="G5" s="28">
        <v>-1835</v>
      </c>
      <c r="H5" s="28">
        <v>-7937</v>
      </c>
      <c r="I5" s="28">
        <v>-7076</v>
      </c>
      <c r="J5" s="28">
        <v>-2667</v>
      </c>
      <c r="K5" s="28">
        <v>-1769</v>
      </c>
      <c r="L5" s="28">
        <v>-5177</v>
      </c>
      <c r="O5" s="105"/>
    </row>
    <row r="6" spans="2:15">
      <c r="B6" s="105" t="s">
        <v>145</v>
      </c>
      <c r="C6" s="105">
        <v>-19</v>
      </c>
      <c r="D6" s="105">
        <v>328</v>
      </c>
      <c r="E6" s="105">
        <v>916</v>
      </c>
      <c r="F6" s="105">
        <v>-373</v>
      </c>
      <c r="G6" s="105">
        <v>-245</v>
      </c>
      <c r="H6" s="28">
        <v>1489</v>
      </c>
      <c r="I6" s="105">
        <v>-279</v>
      </c>
      <c r="J6" s="105">
        <v>91</v>
      </c>
      <c r="K6" s="105">
        <v>176</v>
      </c>
      <c r="L6" s="105">
        <v>-26</v>
      </c>
      <c r="O6" s="28"/>
    </row>
    <row r="7" spans="2:15">
      <c r="B7" s="105" t="s">
        <v>146</v>
      </c>
      <c r="C7" s="28">
        <v>0</v>
      </c>
      <c r="D7" s="105">
        <v>0</v>
      </c>
      <c r="E7" s="28">
        <v>0</v>
      </c>
      <c r="F7" s="28">
        <v>0</v>
      </c>
      <c r="G7" s="105">
        <v>-534</v>
      </c>
      <c r="H7" s="28">
        <v>-1914</v>
      </c>
      <c r="I7" s="28">
        <v>-3108</v>
      </c>
      <c r="J7" s="28">
        <v>-1172</v>
      </c>
      <c r="K7" s="28">
        <v>-1024</v>
      </c>
      <c r="L7" s="28">
        <v>-2645</v>
      </c>
      <c r="O7" s="105"/>
    </row>
    <row r="8" spans="2:15">
      <c r="B8" s="105" t="s">
        <v>147</v>
      </c>
      <c r="C8" s="28">
        <v>-394</v>
      </c>
      <c r="D8" s="28">
        <v>1279</v>
      </c>
      <c r="E8" s="28">
        <v>1512</v>
      </c>
      <c r="F8" s="28">
        <v>1867</v>
      </c>
      <c r="G8" s="28">
        <v>3382</v>
      </c>
      <c r="H8" s="28">
        <v>6938</v>
      </c>
      <c r="I8" s="28">
        <v>4119</v>
      </c>
      <c r="J8" s="28">
        <v>-1334</v>
      </c>
      <c r="K8" s="28">
        <v>2322</v>
      </c>
      <c r="L8" s="28">
        <v>5209</v>
      </c>
      <c r="O8" s="105"/>
    </row>
    <row r="9" spans="2:15">
      <c r="B9" s="105" t="s">
        <v>148</v>
      </c>
      <c r="C9" s="28">
        <v>-5653</v>
      </c>
      <c r="D9" s="28">
        <v>-6829</v>
      </c>
      <c r="E9" s="28">
        <v>-6832</v>
      </c>
      <c r="F9" s="28">
        <v>-4550</v>
      </c>
      <c r="G9" s="28">
        <v>-6389</v>
      </c>
      <c r="H9" s="28">
        <v>-7612</v>
      </c>
      <c r="I9" s="28">
        <v>-8794</v>
      </c>
      <c r="J9" s="28">
        <v>-9231</v>
      </c>
      <c r="K9" s="28">
        <v>-5602</v>
      </c>
      <c r="L9" s="28">
        <v>-8648</v>
      </c>
      <c r="O9" s="105"/>
    </row>
    <row r="10" spans="2:15" ht="15">
      <c r="B10" s="94" t="s">
        <v>149</v>
      </c>
      <c r="C10" s="165">
        <v>-14664</v>
      </c>
      <c r="D10" s="165">
        <v>4533</v>
      </c>
      <c r="E10" s="165">
        <v>-632</v>
      </c>
      <c r="F10" s="165">
        <v>-331</v>
      </c>
      <c r="G10" s="165">
        <v>-7373</v>
      </c>
      <c r="H10" s="165">
        <v>-6485</v>
      </c>
      <c r="I10" s="165">
        <v>-1071</v>
      </c>
      <c r="J10" s="165">
        <v>-5093</v>
      </c>
      <c r="K10" s="165">
        <v>-1864</v>
      </c>
      <c r="L10" s="165">
        <v>3546</v>
      </c>
      <c r="O10" s="105"/>
    </row>
    <row r="11" spans="2:15">
      <c r="B11" s="105" t="s">
        <v>150</v>
      </c>
      <c r="C11" s="28">
        <v>-2760</v>
      </c>
      <c r="D11" s="28">
        <v>-1998</v>
      </c>
      <c r="E11" s="28">
        <v>-2445</v>
      </c>
      <c r="F11" s="28">
        <v>-3307</v>
      </c>
      <c r="G11" s="28">
        <v>-2107</v>
      </c>
      <c r="H11" s="28">
        <v>-2161</v>
      </c>
      <c r="I11" s="28">
        <v>-2579</v>
      </c>
      <c r="J11" s="28">
        <v>-2201</v>
      </c>
      <c r="K11" s="28">
        <v>-2237</v>
      </c>
      <c r="L11" s="28">
        <v>-2727</v>
      </c>
      <c r="O11" s="105"/>
    </row>
    <row r="12" spans="2:15">
      <c r="B12" s="105" t="s">
        <v>151</v>
      </c>
      <c r="C12" s="28">
        <v>-66410</v>
      </c>
      <c r="D12" s="28">
        <v>-69159</v>
      </c>
      <c r="E12" s="28">
        <v>-79410</v>
      </c>
      <c r="F12" s="28">
        <v>-37482</v>
      </c>
      <c r="G12" s="28">
        <v>-46738</v>
      </c>
      <c r="H12" s="28">
        <v>-59951</v>
      </c>
      <c r="I12" s="28">
        <v>-75800</v>
      </c>
      <c r="J12" s="28">
        <v>-78092</v>
      </c>
      <c r="K12" s="28">
        <v>-82742</v>
      </c>
      <c r="L12" s="28">
        <v>-82617</v>
      </c>
      <c r="O12" s="105"/>
    </row>
    <row r="13" spans="2:15">
      <c r="B13" s="105" t="s">
        <v>152</v>
      </c>
      <c r="C13" s="28">
        <v>52048</v>
      </c>
      <c r="D13" s="28">
        <v>74003</v>
      </c>
      <c r="E13" s="28">
        <v>78098</v>
      </c>
      <c r="F13" s="28">
        <v>38861</v>
      </c>
      <c r="G13" s="28">
        <v>40381</v>
      </c>
      <c r="H13" s="28">
        <v>57356</v>
      </c>
      <c r="I13" s="28">
        <v>76722</v>
      </c>
      <c r="J13" s="28">
        <v>72930</v>
      </c>
      <c r="K13" s="28">
        <v>84877</v>
      </c>
      <c r="L13" s="28">
        <v>89699</v>
      </c>
      <c r="O13" s="105"/>
    </row>
    <row r="14" spans="2:15">
      <c r="B14" s="105" t="s">
        <v>153</v>
      </c>
      <c r="C14" s="105">
        <v>0</v>
      </c>
      <c r="D14" s="105">
        <v>0</v>
      </c>
      <c r="E14" s="105">
        <v>0</v>
      </c>
      <c r="F14" s="105">
        <v>0</v>
      </c>
      <c r="G14" s="105">
        <v>0</v>
      </c>
      <c r="H14" s="105">
        <v>0</v>
      </c>
      <c r="I14" s="28">
        <v>0</v>
      </c>
      <c r="J14" s="105">
        <v>0</v>
      </c>
      <c r="K14" s="105">
        <v>0</v>
      </c>
      <c r="L14" s="105">
        <v>0</v>
      </c>
      <c r="O14" s="105"/>
    </row>
    <row r="15" spans="2:15">
      <c r="B15" s="105" t="s">
        <v>154</v>
      </c>
      <c r="C15" s="28">
        <v>2753</v>
      </c>
      <c r="D15" s="28">
        <v>1768</v>
      </c>
      <c r="E15" s="28">
        <v>1557</v>
      </c>
      <c r="F15" s="28">
        <v>1929</v>
      </c>
      <c r="G15" s="28">
        <v>1418</v>
      </c>
      <c r="H15" s="28">
        <v>1898</v>
      </c>
      <c r="I15" s="28">
        <v>1525</v>
      </c>
      <c r="J15" s="28">
        <v>1768</v>
      </c>
      <c r="K15" s="28">
        <v>2040</v>
      </c>
      <c r="L15" s="28">
        <v>2713</v>
      </c>
      <c r="O15" s="105"/>
    </row>
    <row r="16" spans="2:15">
      <c r="B16" s="105" t="s">
        <v>155</v>
      </c>
      <c r="C16" s="105">
        <v>0</v>
      </c>
      <c r="D16" s="105">
        <v>0</v>
      </c>
      <c r="E16" s="105">
        <v>0</v>
      </c>
      <c r="F16" s="105">
        <v>0</v>
      </c>
      <c r="G16" s="105">
        <v>0</v>
      </c>
      <c r="H16" s="105">
        <v>0</v>
      </c>
      <c r="I16" s="105">
        <v>0</v>
      </c>
      <c r="J16" s="105">
        <v>0</v>
      </c>
      <c r="K16" s="105">
        <v>0</v>
      </c>
      <c r="L16" s="105">
        <v>0</v>
      </c>
      <c r="O16" s="105"/>
    </row>
    <row r="17" spans="2:14">
      <c r="B17" s="105" t="s">
        <v>156</v>
      </c>
      <c r="C17" s="105">
        <v>-164</v>
      </c>
      <c r="D17" s="105">
        <v>-130</v>
      </c>
      <c r="E17" s="105">
        <v>-24</v>
      </c>
      <c r="F17" s="105">
        <v>-108</v>
      </c>
      <c r="G17" s="105">
        <v>0</v>
      </c>
      <c r="H17" s="105">
        <v>0</v>
      </c>
      <c r="I17" s="105">
        <v>0</v>
      </c>
      <c r="J17" s="105">
        <v>0</v>
      </c>
      <c r="K17" s="105">
        <v>0</v>
      </c>
      <c r="L17" s="105">
        <v>0</v>
      </c>
    </row>
    <row r="18" spans="2:14">
      <c r="B18" s="105" t="s">
        <v>157</v>
      </c>
      <c r="C18" s="105">
        <v>-131</v>
      </c>
      <c r="D18" s="105">
        <v>49</v>
      </c>
      <c r="E18" s="28">
        <v>1592</v>
      </c>
      <c r="F18" s="105">
        <v>-224</v>
      </c>
      <c r="G18" s="105">
        <v>-327</v>
      </c>
      <c r="H18" s="28">
        <v>-3627</v>
      </c>
      <c r="I18" s="105">
        <v>-939</v>
      </c>
      <c r="J18" s="105">
        <v>502</v>
      </c>
      <c r="K18" s="28">
        <v>-3802</v>
      </c>
      <c r="L18" s="28">
        <v>-3522</v>
      </c>
    </row>
    <row r="19" spans="2:14" ht="15">
      <c r="B19" s="94" t="s">
        <v>158</v>
      </c>
      <c r="C19" s="165">
        <v>-6939</v>
      </c>
      <c r="D19" s="165">
        <v>-20505</v>
      </c>
      <c r="E19" s="165">
        <v>-14512</v>
      </c>
      <c r="F19" s="165">
        <v>-17591</v>
      </c>
      <c r="G19" s="165">
        <v>-9786</v>
      </c>
      <c r="H19" s="165">
        <v>-24642</v>
      </c>
      <c r="I19" s="165">
        <v>-26695</v>
      </c>
      <c r="J19" s="165">
        <v>-17504</v>
      </c>
      <c r="K19" s="165">
        <v>-24161</v>
      </c>
      <c r="L19" s="165">
        <v>-39786</v>
      </c>
    </row>
    <row r="20" spans="2:14">
      <c r="B20" s="105" t="s">
        <v>159</v>
      </c>
      <c r="C20" s="105">
        <v>0</v>
      </c>
      <c r="D20" s="105">
        <v>5</v>
      </c>
      <c r="E20" s="105">
        <v>6</v>
      </c>
      <c r="F20" s="105">
        <v>6</v>
      </c>
      <c r="G20" s="105">
        <v>15</v>
      </c>
      <c r="H20" s="105">
        <v>21</v>
      </c>
      <c r="I20" s="105">
        <v>35</v>
      </c>
      <c r="J20" s="105">
        <v>5</v>
      </c>
      <c r="K20" s="105">
        <v>6</v>
      </c>
      <c r="L20" s="105">
        <v>2</v>
      </c>
    </row>
    <row r="21" spans="2:14">
      <c r="B21" s="105" t="s">
        <v>160</v>
      </c>
      <c r="C21" s="28">
        <v>0</v>
      </c>
      <c r="D21" s="105">
        <v>0</v>
      </c>
      <c r="E21" s="28">
        <v>0</v>
      </c>
      <c r="F21" s="28">
        <v>0</v>
      </c>
      <c r="G21" s="28">
        <v>0</v>
      </c>
      <c r="H21" s="28">
        <v>0</v>
      </c>
      <c r="I21" s="28">
        <v>0</v>
      </c>
      <c r="J21" s="28">
        <v>0</v>
      </c>
      <c r="K21" s="28">
        <v>-985</v>
      </c>
      <c r="L21" s="105">
        <v>0</v>
      </c>
    </row>
    <row r="22" spans="2:14">
      <c r="B22" s="105" t="s">
        <v>161</v>
      </c>
      <c r="C22" s="28">
        <v>-6939</v>
      </c>
      <c r="D22" s="28">
        <v>-7464</v>
      </c>
      <c r="E22" s="28">
        <v>-13705</v>
      </c>
      <c r="F22" s="28">
        <v>-9548</v>
      </c>
      <c r="G22" s="28">
        <v>-9137</v>
      </c>
      <c r="H22" s="28">
        <v>-12731</v>
      </c>
      <c r="I22" s="28">
        <v>-13653</v>
      </c>
      <c r="J22" s="28">
        <v>-14731</v>
      </c>
      <c r="K22" s="28">
        <v>-20289</v>
      </c>
      <c r="L22" s="28">
        <v>-18656</v>
      </c>
    </row>
    <row r="23" spans="2:14">
      <c r="B23" s="105" t="s">
        <v>162</v>
      </c>
      <c r="C23" s="105">
        <v>0</v>
      </c>
      <c r="D23" s="105">
        <v>0</v>
      </c>
      <c r="E23" s="28">
        <v>0</v>
      </c>
      <c r="F23" s="105">
        <v>-571</v>
      </c>
      <c r="G23" s="105">
        <v>-698</v>
      </c>
      <c r="H23" s="105">
        <v>-915</v>
      </c>
      <c r="I23" s="28">
        <v>-1231</v>
      </c>
      <c r="J23" s="28">
        <v>-2024</v>
      </c>
      <c r="K23" s="28">
        <v>-2355</v>
      </c>
      <c r="L23" s="28">
        <v>-2824</v>
      </c>
    </row>
    <row r="24" spans="2:14">
      <c r="B24" s="105" t="s">
        <v>163</v>
      </c>
      <c r="C24" s="105">
        <v>0</v>
      </c>
      <c r="D24" s="28">
        <v>-13046</v>
      </c>
      <c r="E24" s="105">
        <v>-813</v>
      </c>
      <c r="F24" s="28">
        <v>-7478</v>
      </c>
      <c r="G24" s="105">
        <v>34</v>
      </c>
      <c r="H24" s="28">
        <v>-11017</v>
      </c>
      <c r="I24" s="28">
        <v>-11846</v>
      </c>
      <c r="J24" s="105">
        <v>-754</v>
      </c>
      <c r="K24" s="105">
        <v>-538</v>
      </c>
      <c r="L24" s="28">
        <v>-18308</v>
      </c>
    </row>
    <row r="25" spans="2:14" ht="15">
      <c r="B25" s="166" t="s">
        <v>110</v>
      </c>
      <c r="C25" s="167">
        <v>-10072</v>
      </c>
      <c r="D25" s="167">
        <v>-2754</v>
      </c>
      <c r="E25" s="167">
        <v>-303</v>
      </c>
      <c r="F25" s="167">
        <v>-919</v>
      </c>
      <c r="G25" s="167">
        <v>6065</v>
      </c>
      <c r="H25" s="167">
        <v>-7242</v>
      </c>
      <c r="I25" s="167">
        <v>-5299</v>
      </c>
      <c r="J25" s="167">
        <v>2613</v>
      </c>
      <c r="K25" s="167">
        <v>9669</v>
      </c>
      <c r="L25" s="167">
        <v>-2254</v>
      </c>
    </row>
    <row r="26" spans="2:14">
      <c r="C26" s="28"/>
      <c r="D26" s="28"/>
      <c r="E26" s="28"/>
      <c r="F26" s="28"/>
      <c r="G26" s="28"/>
      <c r="H26" s="28"/>
      <c r="I26" s="28"/>
      <c r="J26" s="28"/>
      <c r="K26" s="28"/>
      <c r="L26" s="28"/>
    </row>
    <row r="27" spans="2:14">
      <c r="C27" s="29"/>
      <c r="D27" s="29"/>
      <c r="E27" s="29"/>
      <c r="F27" s="29"/>
      <c r="G27" s="29"/>
      <c r="H27" s="29"/>
      <c r="I27" s="29"/>
      <c r="J27" s="29"/>
      <c r="K27" s="29"/>
      <c r="L27" s="29"/>
    </row>
    <row r="30" spans="2:14">
      <c r="C30" s="28"/>
      <c r="D30" s="28"/>
      <c r="E30" s="28"/>
      <c r="F30" s="28"/>
      <c r="G30" s="28"/>
      <c r="H30" s="28"/>
      <c r="I30" s="28"/>
      <c r="J30" s="28"/>
      <c r="K30" s="28"/>
      <c r="L30" s="28"/>
      <c r="M30" s="28"/>
      <c r="N30" s="28"/>
    </row>
    <row r="31" spans="2:14">
      <c r="C31" s="28"/>
      <c r="D31" s="28"/>
      <c r="E31" s="28"/>
    </row>
    <row r="32" spans="2:14">
      <c r="L32" s="28"/>
      <c r="M32" s="28"/>
      <c r="N32" s="28"/>
    </row>
    <row r="33" spans="2:14">
      <c r="D33" s="28"/>
      <c r="E33" s="28"/>
      <c r="N33" s="28"/>
    </row>
    <row r="34" spans="2:14">
      <c r="C34" s="28"/>
      <c r="D34" s="28"/>
      <c r="E34" s="28"/>
      <c r="F34" s="28"/>
      <c r="G34" s="28"/>
      <c r="H34" s="28"/>
      <c r="I34" s="28"/>
      <c r="K34" s="28"/>
      <c r="L34" s="28"/>
      <c r="M34" s="28"/>
      <c r="N34" s="28"/>
    </row>
    <row r="38" spans="2:14">
      <c r="B38" s="11"/>
      <c r="C38" s="11"/>
      <c r="D38" s="11"/>
      <c r="E38" s="11"/>
      <c r="F38" s="11"/>
      <c r="G38" s="11"/>
      <c r="H38" s="11"/>
      <c r="I38" s="11"/>
      <c r="J38" s="11"/>
      <c r="K38" s="11"/>
      <c r="L38" s="11"/>
      <c r="M38" s="11"/>
    </row>
    <row r="39" spans="2:14">
      <c r="C39" s="28"/>
      <c r="D39" s="28"/>
      <c r="E39" s="28"/>
      <c r="F39" s="28"/>
      <c r="G39" s="28"/>
      <c r="H39" s="28"/>
      <c r="I39" s="28"/>
      <c r="J39" s="28"/>
      <c r="K39" s="28"/>
      <c r="L39" s="28"/>
      <c r="M39" s="28"/>
      <c r="N39" s="28"/>
    </row>
    <row r="40" spans="2:14">
      <c r="C40" s="28"/>
      <c r="D40" s="28"/>
      <c r="E40" s="28"/>
      <c r="F40" s="28"/>
      <c r="G40" s="28"/>
      <c r="H40" s="28"/>
      <c r="I40" s="28"/>
      <c r="J40" s="28"/>
      <c r="K40" s="28"/>
      <c r="L40" s="28"/>
      <c r="M40" s="28"/>
      <c r="N40" s="28"/>
    </row>
    <row r="41" spans="2:14">
      <c r="C41" s="28"/>
      <c r="D41" s="28"/>
      <c r="E41" s="28"/>
      <c r="F41" s="28"/>
      <c r="G41" s="28"/>
      <c r="H41" s="28"/>
      <c r="I41" s="28"/>
      <c r="J41" s="28"/>
      <c r="K41" s="28"/>
      <c r="L41" s="28"/>
      <c r="M41" s="28"/>
      <c r="N41" s="28"/>
    </row>
    <row r="42" spans="2:14">
      <c r="J42" s="28"/>
    </row>
    <row r="43" spans="2:14">
      <c r="D43" s="28"/>
      <c r="J43" s="28"/>
      <c r="K43" s="28"/>
      <c r="L43" s="28"/>
      <c r="M43" s="28"/>
      <c r="N43" s="28"/>
    </row>
    <row r="44" spans="2:14">
      <c r="F44" s="28"/>
      <c r="G44" s="28"/>
      <c r="H44" s="28"/>
      <c r="I44" s="28"/>
      <c r="J44" s="28"/>
      <c r="K44" s="28"/>
      <c r="L44" s="28"/>
      <c r="M44" s="28"/>
      <c r="N44" s="28"/>
    </row>
    <row r="45" spans="2:14">
      <c r="D45" s="28"/>
      <c r="E45" s="28"/>
      <c r="H45" s="28"/>
      <c r="J45" s="28"/>
      <c r="K45" s="28"/>
      <c r="L45" s="28"/>
      <c r="N45" s="28"/>
    </row>
    <row r="46" spans="2:14">
      <c r="C46" s="28"/>
      <c r="D46" s="28"/>
      <c r="E46" s="28"/>
      <c r="F46" s="28"/>
      <c r="G46" s="28"/>
      <c r="H46" s="28"/>
      <c r="I46" s="28"/>
      <c r="J46" s="28"/>
      <c r="K46" s="28"/>
      <c r="L46" s="28"/>
      <c r="M46" s="28"/>
      <c r="N46" s="28"/>
    </row>
    <row r="47" spans="2:14">
      <c r="E47" s="28"/>
      <c r="F47" s="28"/>
      <c r="I47" s="28"/>
      <c r="J47" s="28"/>
      <c r="K47" s="28"/>
      <c r="L47" s="28"/>
      <c r="M47" s="28"/>
      <c r="N47" s="28"/>
    </row>
    <row r="48" spans="2:14">
      <c r="C48" s="28"/>
      <c r="D48" s="28"/>
      <c r="E48" s="28"/>
      <c r="F48" s="28"/>
      <c r="G48" s="28"/>
      <c r="H48" s="28"/>
      <c r="I48" s="28"/>
      <c r="J48" s="28"/>
      <c r="K48" s="28"/>
      <c r="L48" s="28"/>
      <c r="M48" s="28"/>
      <c r="N48" s="28"/>
    </row>
    <row r="49" spans="3:14">
      <c r="C49" s="28"/>
      <c r="D49" s="28"/>
      <c r="E49" s="28"/>
      <c r="F49" s="28"/>
      <c r="G49" s="28"/>
      <c r="H49" s="28"/>
      <c r="I49" s="28"/>
      <c r="J49" s="28"/>
      <c r="K49" s="28"/>
      <c r="L49" s="28"/>
      <c r="M49" s="28"/>
      <c r="N49" s="28"/>
    </row>
    <row r="50" spans="3:14">
      <c r="C50" s="28"/>
      <c r="D50" s="28"/>
      <c r="E50" s="28"/>
      <c r="F50" s="28"/>
      <c r="G50" s="28"/>
      <c r="H50" s="28"/>
      <c r="I50" s="28"/>
      <c r="J50" s="28"/>
      <c r="K50" s="28"/>
      <c r="L50" s="28"/>
      <c r="M50" s="28"/>
      <c r="N50" s="28"/>
    </row>
    <row r="51" spans="3:14">
      <c r="C51" s="28"/>
      <c r="D51" s="28"/>
    </row>
    <row r="52" spans="3:14">
      <c r="E52" s="28"/>
      <c r="F52" s="28"/>
      <c r="G52" s="28"/>
      <c r="H52" s="28"/>
      <c r="I52" s="28"/>
      <c r="J52" s="28"/>
      <c r="K52" s="28"/>
      <c r="L52" s="28"/>
      <c r="M52" s="28"/>
      <c r="N52" s="28"/>
    </row>
    <row r="53" spans="3:14">
      <c r="C53" s="28"/>
    </row>
    <row r="55" spans="3:14">
      <c r="G55" s="28"/>
      <c r="J55" s="28"/>
      <c r="M55" s="28"/>
      <c r="N55" s="28"/>
    </row>
    <row r="56" spans="3:14">
      <c r="C56" s="28"/>
      <c r="D56" s="28"/>
      <c r="E56" s="28"/>
      <c r="F56" s="28"/>
      <c r="G56" s="28"/>
      <c r="H56" s="28"/>
      <c r="I56" s="28"/>
      <c r="J56" s="28"/>
      <c r="K56" s="28"/>
      <c r="L56" s="28"/>
      <c r="M56" s="28"/>
      <c r="N56" s="28"/>
    </row>
    <row r="59" spans="3:14">
      <c r="C59" s="28"/>
      <c r="D59" s="28"/>
      <c r="E59" s="28"/>
      <c r="F59" s="28"/>
      <c r="G59" s="28"/>
      <c r="H59" s="28"/>
      <c r="I59" s="28"/>
      <c r="J59" s="28"/>
      <c r="K59" s="28"/>
      <c r="L59" s="28"/>
      <c r="M59" s="28"/>
      <c r="N59" s="28"/>
    </row>
    <row r="60" spans="3:14">
      <c r="K60" s="28"/>
      <c r="L60" s="28"/>
      <c r="M60" s="28"/>
      <c r="N60" s="28"/>
    </row>
    <row r="61" spans="3:14">
      <c r="F61" s="28"/>
      <c r="H61" s="28"/>
      <c r="J61" s="28"/>
      <c r="K61" s="28"/>
      <c r="N61" s="28"/>
    </row>
    <row r="62" spans="3:14">
      <c r="C62" s="28"/>
      <c r="D62" s="28"/>
      <c r="E62" s="28"/>
      <c r="F62" s="28"/>
      <c r="I62" s="28"/>
      <c r="J62" s="28"/>
      <c r="K62" s="28"/>
      <c r="L62" s="28"/>
      <c r="M62" s="28"/>
      <c r="N62" s="28"/>
    </row>
    <row r="63" spans="3:14">
      <c r="C63" s="28"/>
      <c r="D63" s="28"/>
      <c r="E63" s="28"/>
      <c r="F63" s="28"/>
      <c r="G63" s="28"/>
      <c r="H63" s="28"/>
      <c r="I63" s="28"/>
      <c r="J63" s="28"/>
      <c r="K63" s="28"/>
      <c r="L63" s="28"/>
      <c r="M63" s="28"/>
      <c r="N63" s="28"/>
    </row>
    <row r="64" spans="3:14">
      <c r="C64" s="29"/>
      <c r="D64" s="29"/>
      <c r="E64" s="29"/>
      <c r="F64" s="29"/>
      <c r="G64" s="29"/>
      <c r="H64" s="29"/>
      <c r="I64" s="29"/>
      <c r="J64" s="29"/>
      <c r="K64" s="29"/>
      <c r="L64" s="29"/>
      <c r="M64" s="29"/>
      <c r="N64" s="2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499984740745262"/>
  </sheetPr>
  <dimension ref="A1"/>
  <sheetViews>
    <sheetView workbookViewId="0">
      <selection activeCell="F22" sqref="F22"/>
    </sheetView>
  </sheetViews>
  <sheetFormatPr defaultRowHeight="14.4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97"/>
  <sheetViews>
    <sheetView showGridLines="0" tabSelected="1" workbookViewId="0">
      <pane ySplit="3" topLeftCell="A13" activePane="bottomLeft" state="frozen"/>
      <selection pane="bottomLeft" activeCell="G73" sqref="G73"/>
    </sheetView>
  </sheetViews>
  <sheetFormatPr defaultRowHeight="14.45"/>
  <cols>
    <col min="1" max="1" width="1.85546875" style="105" customWidth="1"/>
    <col min="2" max="2" width="28.42578125" style="105" bestFit="1" customWidth="1"/>
    <col min="3" max="13" width="13" style="105" customWidth="1"/>
  </cols>
  <sheetData>
    <row r="1" spans="1:13" ht="15.75" customHeight="1"/>
    <row r="2" spans="1:13" ht="14.45" customHeight="1">
      <c r="B2" s="199" t="str">
        <f>"Historical Financial Statement - "&amp;'Data Sheet'!B1</f>
        <v>Historical Financial Statement - INFOSYS LTD</v>
      </c>
      <c r="C2" s="200"/>
      <c r="D2" s="200"/>
      <c r="E2" s="200"/>
      <c r="F2" s="200"/>
      <c r="G2" s="200"/>
      <c r="H2" s="200"/>
      <c r="I2" s="200"/>
      <c r="J2" s="200"/>
      <c r="K2" s="200"/>
      <c r="L2" s="200"/>
      <c r="M2" s="200"/>
    </row>
    <row r="3" spans="1:13" ht="15" customHeight="1">
      <c r="B3" s="12" t="s">
        <v>164</v>
      </c>
      <c r="C3" s="13">
        <f>'Data Sheet'!B16</f>
        <v>42825</v>
      </c>
      <c r="D3" s="13">
        <f>'Data Sheet'!C16</f>
        <v>43190</v>
      </c>
      <c r="E3" s="13">
        <f>'Data Sheet'!D16</f>
        <v>43555</v>
      </c>
      <c r="F3" s="13">
        <f>'Data Sheet'!E16</f>
        <v>43921</v>
      </c>
      <c r="G3" s="13">
        <f>'Data Sheet'!F16</f>
        <v>44286</v>
      </c>
      <c r="H3" s="13">
        <f>'Data Sheet'!G16</f>
        <v>44651</v>
      </c>
      <c r="I3" s="13">
        <f>'Data Sheet'!H16</f>
        <v>45016</v>
      </c>
      <c r="J3" s="13">
        <f>'Data Sheet'!I16</f>
        <v>45382</v>
      </c>
      <c r="K3" s="13">
        <f>'Data Sheet'!J16</f>
        <v>45747</v>
      </c>
      <c r="L3" s="13">
        <f>'Data Sheet'!K16</f>
        <v>46112</v>
      </c>
      <c r="M3" s="14" t="s">
        <v>165</v>
      </c>
    </row>
    <row r="4" spans="1:13">
      <c r="B4" s="22"/>
      <c r="C4" s="23"/>
      <c r="D4" s="23"/>
      <c r="E4" s="23"/>
      <c r="F4" s="23"/>
      <c r="G4" s="23"/>
      <c r="H4" s="23"/>
      <c r="I4" s="23"/>
      <c r="J4" s="23"/>
      <c r="K4" s="23"/>
      <c r="L4" s="23"/>
      <c r="M4" s="24"/>
    </row>
    <row r="5" spans="1:13">
      <c r="A5" s="105" t="s">
        <v>166</v>
      </c>
      <c r="B5" s="25" t="s">
        <v>167</v>
      </c>
      <c r="C5" s="26"/>
      <c r="D5" s="26"/>
      <c r="E5" s="26"/>
      <c r="F5" s="26"/>
      <c r="G5" s="26"/>
      <c r="H5" s="26"/>
      <c r="I5" s="26"/>
      <c r="J5" s="26"/>
      <c r="K5" s="26"/>
      <c r="L5" s="26"/>
      <c r="M5" s="26"/>
    </row>
    <row r="6" spans="1:13">
      <c r="B6" s="105" t="s">
        <v>70</v>
      </c>
      <c r="C6" s="15">
        <f>IFERROR('Data Sheet'!B17,0)</f>
        <v>68484</v>
      </c>
      <c r="D6" s="15">
        <f>IFERROR('Data Sheet'!C17,0)</f>
        <v>70522</v>
      </c>
      <c r="E6" s="15">
        <f>IFERROR('Data Sheet'!D17,0)</f>
        <v>82675</v>
      </c>
      <c r="F6" s="15">
        <f>IFERROR('Data Sheet'!E17,0)</f>
        <v>90791</v>
      </c>
      <c r="G6" s="15">
        <f>IFERROR('Data Sheet'!F17,0)</f>
        <v>100472</v>
      </c>
      <c r="H6" s="15">
        <f>IFERROR('Data Sheet'!G17,0)</f>
        <v>121641</v>
      </c>
      <c r="I6" s="15">
        <f>IFERROR('Data Sheet'!H17,0)</f>
        <v>146767</v>
      </c>
      <c r="J6" s="15">
        <f>IFERROR('Data Sheet'!I17,0)</f>
        <v>153670</v>
      </c>
      <c r="K6" s="15">
        <f>IFERROR('Data Sheet'!J17,0)</f>
        <v>162990</v>
      </c>
      <c r="L6" s="15">
        <f>IFERROR('Data Sheet'!K17,0)</f>
        <v>178650</v>
      </c>
      <c r="M6" s="15">
        <f>IFERROR(SUM('Data Sheet'!H42:K42),0)</f>
        <v>184582</v>
      </c>
    </row>
    <row r="7" spans="1:13">
      <c r="B7" s="18" t="s">
        <v>168</v>
      </c>
      <c r="C7" s="19" t="s">
        <v>169</v>
      </c>
      <c r="D7" s="20">
        <f>D6/C6-1</f>
        <v>2.9758775772443125E-2</v>
      </c>
      <c r="E7" s="20">
        <f>E6/D6-1</f>
        <v>0.17232920223476356</v>
      </c>
      <c r="F7" s="20">
        <f>F6/E6-1</f>
        <v>9.8167523435137571E-2</v>
      </c>
      <c r="G7" s="20">
        <f>G6/F6-1</f>
        <v>0.10662951173574475</v>
      </c>
      <c r="H7" s="20">
        <f>H6/G6-1</f>
        <v>0.21069551715900947</v>
      </c>
      <c r="I7" s="20">
        <f>I6/H6-1</f>
        <v>0.20655864387829759</v>
      </c>
      <c r="J7" s="20">
        <f>J6/I6-1</f>
        <v>4.7033733741236095E-2</v>
      </c>
      <c r="K7" s="20">
        <f>K6/J6-1</f>
        <v>6.0649443612936782E-2</v>
      </c>
      <c r="L7" s="20">
        <f>L6/K6-1</f>
        <v>9.6079514080618544E-2</v>
      </c>
      <c r="M7" s="20">
        <f>M6/L6-1</f>
        <v>3.3204589980408539E-2</v>
      </c>
    </row>
    <row r="9" spans="1:13">
      <c r="B9" s="105" t="s">
        <v>170</v>
      </c>
      <c r="C9" s="15">
        <f>IFERROR(SUM('Data Sheet'!B18,'Data Sheet'!B20:B22)-1*'Data Sheet'!B19,0)</f>
        <v>44609</v>
      </c>
      <c r="D9" s="15">
        <f>IFERROR(SUM('Data Sheet'!C18,'Data Sheet'!C20:C22)-1*'Data Sheet'!C19,0)</f>
        <v>46395</v>
      </c>
      <c r="E9" s="15">
        <f>IFERROR(SUM('Data Sheet'!D18,'Data Sheet'!D20:D22)-1*'Data Sheet'!D19,0)</f>
        <v>55446</v>
      </c>
      <c r="F9" s="15">
        <f>IFERROR(SUM('Data Sheet'!E18,'Data Sheet'!E20:E22)-1*'Data Sheet'!E19,0)</f>
        <v>62210</v>
      </c>
      <c r="G9" s="15">
        <f>IFERROR(SUM('Data Sheet'!F18,'Data Sheet'!F20:F22)-1*'Data Sheet'!F19,0)</f>
        <v>68490</v>
      </c>
      <c r="H9" s="15">
        <f>IFERROR(SUM('Data Sheet'!G18,'Data Sheet'!G20:G22)-1*'Data Sheet'!G19,0)</f>
        <v>84819</v>
      </c>
      <c r="I9" s="15">
        <f>IFERROR(SUM('Data Sheet'!H18,'Data Sheet'!H20:H22)-1*'Data Sheet'!H19,0)</f>
        <v>104880</v>
      </c>
      <c r="J9" s="15">
        <f>IFERROR(SUM('Data Sheet'!I18,'Data Sheet'!I20:I22)-1*'Data Sheet'!I19,0)</f>
        <v>110030</v>
      </c>
      <c r="K9" s="15">
        <f>IFERROR(SUM('Data Sheet'!J18,'Data Sheet'!J20:J22)-1*'Data Sheet'!J19,0)</f>
        <v>116585</v>
      </c>
      <c r="L9" s="15">
        <f>IFERROR(SUM('Data Sheet'!K18,'Data Sheet'!K20:K22)-1*'Data Sheet'!K19,0)</f>
        <v>128257</v>
      </c>
      <c r="M9" s="15">
        <f>IFERROR(SUM('Data Sheet'!H43:K43),0)</f>
        <v>140837</v>
      </c>
    </row>
    <row r="10" spans="1:13">
      <c r="B10" s="18" t="s">
        <v>171</v>
      </c>
      <c r="C10" s="20">
        <f>C9/C6</f>
        <v>0.65137842415746738</v>
      </c>
      <c r="D10" s="20">
        <f>D9/D6</f>
        <v>0.65787981055557132</v>
      </c>
      <c r="E10" s="20">
        <f>E9/E6</f>
        <v>0.67065013607499246</v>
      </c>
      <c r="F10" s="20">
        <f>F9/F6</f>
        <v>0.68520007489729162</v>
      </c>
      <c r="G10" s="20">
        <f>G9/G6</f>
        <v>0.68168245879448996</v>
      </c>
      <c r="H10" s="20">
        <f>H9/H6</f>
        <v>0.69728956519594543</v>
      </c>
      <c r="I10" s="20">
        <f>I9/I6</f>
        <v>0.71460205632056251</v>
      </c>
      <c r="J10" s="20">
        <f>J9/J6</f>
        <v>0.71601483698835167</v>
      </c>
      <c r="K10" s="20">
        <f>K9/K6</f>
        <v>0.71528928155101545</v>
      </c>
      <c r="L10" s="20">
        <f>L9/L6</f>
        <v>0.71792331374195351</v>
      </c>
      <c r="M10" s="20">
        <f>M9/M6</f>
        <v>0.76300506008169811</v>
      </c>
    </row>
    <row r="12" spans="1:13">
      <c r="B12" s="105" t="s">
        <v>172</v>
      </c>
      <c r="C12" s="21">
        <f>C6-C9</f>
        <v>23875</v>
      </c>
      <c r="D12" s="21">
        <f>D6-D9</f>
        <v>24127</v>
      </c>
      <c r="E12" s="21">
        <f>E6-E9</f>
        <v>27229</v>
      </c>
      <c r="F12" s="21">
        <f>F6-F9</f>
        <v>28581</v>
      </c>
      <c r="G12" s="21">
        <f>G6-G9</f>
        <v>31982</v>
      </c>
      <c r="H12" s="21">
        <f>H6-H9</f>
        <v>36822</v>
      </c>
      <c r="I12" s="21">
        <f>I6-I9</f>
        <v>41887</v>
      </c>
      <c r="J12" s="21">
        <f>J6-J9</f>
        <v>43640</v>
      </c>
      <c r="K12" s="21">
        <f>K6-K9</f>
        <v>46405</v>
      </c>
      <c r="L12" s="21">
        <f>L6-L9</f>
        <v>50393</v>
      </c>
      <c r="M12" s="21">
        <f>M6-M9</f>
        <v>43745</v>
      </c>
    </row>
    <row r="13" spans="1:13">
      <c r="B13" s="18" t="s">
        <v>173</v>
      </c>
      <c r="C13" s="20">
        <f>C12/C6</f>
        <v>0.34862157584253256</v>
      </c>
      <c r="D13" s="20">
        <f>D12/D6</f>
        <v>0.34212018944442868</v>
      </c>
      <c r="E13" s="20">
        <f>E12/E6</f>
        <v>0.32934986392500754</v>
      </c>
      <c r="F13" s="20">
        <f>F12/F6</f>
        <v>0.31479992510270843</v>
      </c>
      <c r="G13" s="20">
        <f>G12/G6</f>
        <v>0.31831754120550998</v>
      </c>
      <c r="H13" s="20">
        <f>H12/H6</f>
        <v>0.30271043480405457</v>
      </c>
      <c r="I13" s="20">
        <f>I12/I6</f>
        <v>0.28539794367943749</v>
      </c>
      <c r="J13" s="20">
        <f>J12/J6</f>
        <v>0.28398516301164833</v>
      </c>
      <c r="K13" s="20">
        <f>K12/K6</f>
        <v>0.2847107184489846</v>
      </c>
      <c r="L13" s="20">
        <f>L12/L6</f>
        <v>0.28207668625804644</v>
      </c>
      <c r="M13" s="20">
        <f>M12/M6</f>
        <v>0.23699493991830189</v>
      </c>
    </row>
    <row r="15" spans="1:13">
      <c r="B15" s="105" t="s">
        <v>174</v>
      </c>
      <c r="C15" s="21">
        <f>IFERROR(SUM('Data Sheet'!B23:B24),0)</f>
        <v>5271</v>
      </c>
      <c r="D15" s="21">
        <f>IFERROR(SUM('Data Sheet'!C23:C24),0)</f>
        <v>5305</v>
      </c>
      <c r="E15" s="21">
        <f>IFERROR(SUM('Data Sheet'!D23:D24),0)</f>
        <v>7059</v>
      </c>
      <c r="F15" s="21">
        <f>IFERROR(SUM('Data Sheet'!E23:E24),0)</f>
        <v>6314</v>
      </c>
      <c r="G15" s="21">
        <f>IFERROR(SUM('Data Sheet'!F23:F24),0)</f>
        <v>4093</v>
      </c>
      <c r="H15" s="21">
        <f>IFERROR(SUM('Data Sheet'!G23:G24),0)</f>
        <v>5331</v>
      </c>
      <c r="I15" s="21">
        <f>IFERROR(SUM('Data Sheet'!H23:H24),0)</f>
        <v>6757</v>
      </c>
      <c r="J15" s="21">
        <f>IFERROR(SUM('Data Sheet'!I23:I24),0)</f>
        <v>7215</v>
      </c>
      <c r="K15" s="21">
        <f>IFERROR(SUM('Data Sheet'!J23:J24),0)</f>
        <v>7169</v>
      </c>
      <c r="L15" s="21">
        <f>IFERROR(SUM('Data Sheet'!K23:K24),0)</f>
        <v>8113</v>
      </c>
      <c r="M15" s="21"/>
    </row>
    <row r="16" spans="1:13">
      <c r="B16" s="18" t="s">
        <v>175</v>
      </c>
      <c r="C16" s="20">
        <f>C15/C6</f>
        <v>7.6966882775538814E-2</v>
      </c>
      <c r="D16" s="20">
        <f>D15/D6</f>
        <v>7.5224752559484978E-2</v>
      </c>
      <c r="E16" s="20">
        <f>E15/E6</f>
        <v>8.5382521923193233E-2</v>
      </c>
      <c r="F16" s="20">
        <f>F15/F6</f>
        <v>6.9544338095185648E-2</v>
      </c>
      <c r="G16" s="20">
        <f>G15/G6</f>
        <v>4.0737717971176049E-2</v>
      </c>
      <c r="H16" s="20">
        <f>H15/H6</f>
        <v>4.3825683774385282E-2</v>
      </c>
      <c r="I16" s="20">
        <f>I15/I6</f>
        <v>4.6038959711651804E-2</v>
      </c>
      <c r="J16" s="20">
        <f>J15/J6</f>
        <v>4.6951259191774584E-2</v>
      </c>
      <c r="K16" s="20">
        <f>K15/K6</f>
        <v>4.3984293514939564E-2</v>
      </c>
      <c r="L16" s="20">
        <f>L15/L6</f>
        <v>4.5412818359921635E-2</v>
      </c>
      <c r="M16" s="20">
        <f>M15/M6</f>
        <v>0</v>
      </c>
    </row>
    <row r="18" spans="2:13">
      <c r="B18" s="105" t="s">
        <v>86</v>
      </c>
      <c r="C18" s="21">
        <f>C12-C15</f>
        <v>18604</v>
      </c>
      <c r="D18" s="21">
        <f>D12-D15</f>
        <v>18822</v>
      </c>
      <c r="E18" s="21">
        <f>E12-E15</f>
        <v>20170</v>
      </c>
      <c r="F18" s="21">
        <f>F12-F15</f>
        <v>22267</v>
      </c>
      <c r="G18" s="21">
        <f>G12-G15</f>
        <v>27889</v>
      </c>
      <c r="H18" s="21">
        <f>H12-H15</f>
        <v>31491</v>
      </c>
      <c r="I18" s="21">
        <f>I12-I15</f>
        <v>35130</v>
      </c>
      <c r="J18" s="21">
        <f>J12-J15</f>
        <v>36425</v>
      </c>
      <c r="K18" s="21">
        <f>K12-K15</f>
        <v>39236</v>
      </c>
      <c r="L18" s="21">
        <f>L12-L15</f>
        <v>42280</v>
      </c>
      <c r="M18" s="21">
        <f>IFERROR(SUM('Data Sheet'!H51:K51),0)</f>
        <v>46683</v>
      </c>
    </row>
    <row r="19" spans="2:13">
      <c r="B19" s="18" t="s">
        <v>176</v>
      </c>
      <c r="C19" s="20">
        <f>C18/C6</f>
        <v>0.27165469306699375</v>
      </c>
      <c r="D19" s="20">
        <f>D18/D6</f>
        <v>0.26689543688494372</v>
      </c>
      <c r="E19" s="20">
        <f>E18/E6</f>
        <v>0.24396734200181433</v>
      </c>
      <c r="F19" s="20">
        <f>F18/F6</f>
        <v>0.24525558700752279</v>
      </c>
      <c r="G19" s="20">
        <f>G18/G6</f>
        <v>0.27757982323433394</v>
      </c>
      <c r="H19" s="20">
        <f>H18/H6</f>
        <v>0.25888475102966929</v>
      </c>
      <c r="I19" s="20">
        <f>I18/I6</f>
        <v>0.23935898396778568</v>
      </c>
      <c r="J19" s="20">
        <f>J18/J6</f>
        <v>0.23703390381987374</v>
      </c>
      <c r="K19" s="20">
        <f>K18/K6</f>
        <v>0.24072642493404503</v>
      </c>
      <c r="L19" s="20">
        <f>L18/L6</f>
        <v>0.23666386789812482</v>
      </c>
      <c r="M19" s="20">
        <f>M18/M6</f>
        <v>0.25291198491727251</v>
      </c>
    </row>
    <row r="21" spans="2:13">
      <c r="B21" s="105" t="s">
        <v>80</v>
      </c>
      <c r="C21" s="21">
        <f>IFERROR('Data Sheet'!B27,0)</f>
        <v>0</v>
      </c>
      <c r="D21" s="21">
        <f>IFERROR('Data Sheet'!C27,0)</f>
        <v>0</v>
      </c>
      <c r="E21" s="21">
        <f>IFERROR('Data Sheet'!D27,0)</f>
        <v>0</v>
      </c>
      <c r="F21" s="21">
        <f>IFERROR('Data Sheet'!E27,0)</f>
        <v>170</v>
      </c>
      <c r="G21" s="21">
        <f>IFERROR('Data Sheet'!F27,0)</f>
        <v>195</v>
      </c>
      <c r="H21" s="21">
        <f>IFERROR('Data Sheet'!G27,0)</f>
        <v>200</v>
      </c>
      <c r="I21" s="21">
        <f>IFERROR('Data Sheet'!H27,0)</f>
        <v>284</v>
      </c>
      <c r="J21" s="21">
        <f>IFERROR('Data Sheet'!I27,0)</f>
        <v>470</v>
      </c>
      <c r="K21" s="21">
        <f>IFERROR('Data Sheet'!J27,0)</f>
        <v>416</v>
      </c>
      <c r="L21" s="21">
        <f>IFERROR('Data Sheet'!K27,0)</f>
        <v>416</v>
      </c>
      <c r="M21" s="21">
        <f>IFERROR(SUM('Data Sheet'!H46:K46),0)</f>
        <v>430</v>
      </c>
    </row>
    <row r="22" spans="2:13">
      <c r="B22" s="18" t="s">
        <v>177</v>
      </c>
      <c r="C22" s="20">
        <f>C21/C6</f>
        <v>0</v>
      </c>
      <c r="D22" s="20">
        <f>D21/D6</f>
        <v>0</v>
      </c>
      <c r="E22" s="20">
        <f>E21/E6</f>
        <v>0</v>
      </c>
      <c r="F22" s="20">
        <f>F21/F6</f>
        <v>1.8724322895441179E-3</v>
      </c>
      <c r="G22" s="20">
        <f>G21/G6</f>
        <v>1.9408392387928975E-3</v>
      </c>
      <c r="H22" s="20">
        <f>H21/H6</f>
        <v>1.6441824713706726E-3</v>
      </c>
      <c r="I22" s="20">
        <f>I21/I6</f>
        <v>1.9350398931639945E-3</v>
      </c>
      <c r="J22" s="20">
        <f>J21/J6</f>
        <v>3.0585019847725646E-3</v>
      </c>
      <c r="K22" s="20">
        <f>K21/K6</f>
        <v>2.5523038223203877E-3</v>
      </c>
      <c r="L22" s="20">
        <f>L21/L6</f>
        <v>2.3285754268122026E-3</v>
      </c>
      <c r="M22" s="20">
        <f>M21/M6</f>
        <v>2.3295879338180322E-3</v>
      </c>
    </row>
    <row r="24" spans="2:13">
      <c r="B24" s="105" t="s">
        <v>79</v>
      </c>
      <c r="C24" s="21">
        <f>IFERROR('Data Sheet'!B26,0)</f>
        <v>1703</v>
      </c>
      <c r="D24" s="21">
        <f>IFERROR('Data Sheet'!C26,0)</f>
        <v>1863</v>
      </c>
      <c r="E24" s="21">
        <f>IFERROR('Data Sheet'!D26,0)</f>
        <v>2011</v>
      </c>
      <c r="F24" s="21">
        <f>IFERROR('Data Sheet'!E26,0)</f>
        <v>2893</v>
      </c>
      <c r="G24" s="21">
        <f>IFERROR('Data Sheet'!F26,0)</f>
        <v>3267</v>
      </c>
      <c r="H24" s="21">
        <f>IFERROR('Data Sheet'!G26,0)</f>
        <v>3476</v>
      </c>
      <c r="I24" s="21">
        <f>IFERROR('Data Sheet'!H26,0)</f>
        <v>4225</v>
      </c>
      <c r="J24" s="21">
        <f>IFERROR('Data Sheet'!I26,0)</f>
        <v>4678</v>
      </c>
      <c r="K24" s="21">
        <f>IFERROR('Data Sheet'!J26,0)</f>
        <v>4812</v>
      </c>
      <c r="L24" s="21">
        <f>IFERROR('Data Sheet'!K26,0)</f>
        <v>4902</v>
      </c>
      <c r="M24" s="21">
        <f>IFERROR(SUM('Data Sheet'!H45:K45),0)</f>
        <v>5007</v>
      </c>
    </row>
    <row r="25" spans="2:13">
      <c r="B25" s="18" t="s">
        <v>178</v>
      </c>
      <c r="C25" s="20">
        <f>C24/C6</f>
        <v>2.4867122247532271E-2</v>
      </c>
      <c r="D25" s="20">
        <f>D24/D6</f>
        <v>2.6417288222115084E-2</v>
      </c>
      <c r="E25" s="20">
        <f>E24/E6</f>
        <v>2.4324160870879952E-2</v>
      </c>
      <c r="F25" s="20">
        <f>F24/F6</f>
        <v>3.1864391845006661E-2</v>
      </c>
      <c r="G25" s="20">
        <f>G24/G6</f>
        <v>3.2516522016084085E-2</v>
      </c>
      <c r="H25" s="20">
        <f>H24/H6</f>
        <v>2.8575891352422292E-2</v>
      </c>
      <c r="I25" s="20">
        <f>I24/I6</f>
        <v>2.8787125171189708E-2</v>
      </c>
      <c r="J25" s="20">
        <f>J24/J6</f>
        <v>3.0441855925034164E-2</v>
      </c>
      <c r="K25" s="20">
        <f>K24/K6</f>
        <v>2.9523283637032948E-2</v>
      </c>
      <c r="L25" s="20">
        <f>L24/L6</f>
        <v>2.7439126784214944E-2</v>
      </c>
      <c r="M25" s="20">
        <f>M24/M6</f>
        <v>2.7126155313085782E-2</v>
      </c>
    </row>
    <row r="27" spans="2:13">
      <c r="B27" s="105" t="s">
        <v>179</v>
      </c>
      <c r="C27" s="21">
        <f>IFERROR(C18-SUM(C24,C21),0)</f>
        <v>16901</v>
      </c>
      <c r="D27" s="21">
        <f>IFERROR(D18-SUM(D24,D21),0)</f>
        <v>16959</v>
      </c>
      <c r="E27" s="21">
        <f>IFERROR(E18-SUM(E24,E21),0)</f>
        <v>18159</v>
      </c>
      <c r="F27" s="21">
        <f>IFERROR(F18-SUM(F24,F21),0)</f>
        <v>19204</v>
      </c>
      <c r="G27" s="21">
        <f>IFERROR(G18-SUM(G24,G21),0)</f>
        <v>24427</v>
      </c>
      <c r="H27" s="21">
        <f>IFERROR(H18-SUM(H24,H21),0)</f>
        <v>27815</v>
      </c>
      <c r="I27" s="15">
        <f>IFERROR(I18-SUM(I24,I21),0)</f>
        <v>30621</v>
      </c>
      <c r="J27" s="15">
        <f>IFERROR(J18-SUM(J24,J21),0)</f>
        <v>31277</v>
      </c>
      <c r="K27" s="15">
        <f>IFERROR(K18-SUM(K24,K21),0)</f>
        <v>34008</v>
      </c>
      <c r="L27" s="15">
        <f>IFERROR(L18-SUM(L24,L21),0)</f>
        <v>36962</v>
      </c>
      <c r="M27" s="15">
        <f>IFERROR(M18-SUM(M24,M21),0)</f>
        <v>41246</v>
      </c>
    </row>
    <row r="28" spans="2:13">
      <c r="B28" s="18" t="s">
        <v>180</v>
      </c>
      <c r="C28" s="20">
        <f>C27/C6</f>
        <v>0.24678757081946148</v>
      </c>
      <c r="D28" s="20">
        <f>D27/D6</f>
        <v>0.24047814866282863</v>
      </c>
      <c r="E28" s="20">
        <f>E27/E6</f>
        <v>0.2196431811309344</v>
      </c>
      <c r="F28" s="20">
        <f>F27/F6</f>
        <v>0.211518762872972</v>
      </c>
      <c r="G28" s="20">
        <f>G27/G6</f>
        <v>0.24312246197945697</v>
      </c>
      <c r="H28" s="20">
        <f>H27/H6</f>
        <v>0.2286646772058763</v>
      </c>
      <c r="I28" s="20">
        <f>I27/I6</f>
        <v>0.20863681890343197</v>
      </c>
      <c r="J28" s="20">
        <f>J27/J6</f>
        <v>0.20353354591006703</v>
      </c>
      <c r="K28" s="20">
        <f>K27/K6</f>
        <v>0.20865083747469171</v>
      </c>
      <c r="L28" s="20">
        <f>L27/L6</f>
        <v>0.20689616568709768</v>
      </c>
      <c r="M28" s="20">
        <f>M27/M6</f>
        <v>0.22345624167036873</v>
      </c>
    </row>
    <row r="30" spans="2:13">
      <c r="B30" s="105" t="s">
        <v>82</v>
      </c>
      <c r="C30" s="15">
        <f>IFERROR('Data Sheet'!B29,0)</f>
        <v>5598</v>
      </c>
      <c r="D30" s="15">
        <f>IFERROR('Data Sheet'!C29,0)</f>
        <v>4241</v>
      </c>
      <c r="E30" s="15">
        <f>IFERROR('Data Sheet'!D29,0)</f>
        <v>5631</v>
      </c>
      <c r="F30" s="15">
        <f>IFERROR('Data Sheet'!E29,0)</f>
        <v>5368</v>
      </c>
      <c r="G30" s="15">
        <f>IFERROR('Data Sheet'!F29,0)</f>
        <v>7205</v>
      </c>
      <c r="H30" s="15">
        <f>IFERROR('Data Sheet'!G29,0)</f>
        <v>7964</v>
      </c>
      <c r="I30" s="15">
        <f>IFERROR('Data Sheet'!H29,0)</f>
        <v>9214</v>
      </c>
      <c r="J30" s="15">
        <f>IFERROR('Data Sheet'!I29,0)</f>
        <v>9740</v>
      </c>
      <c r="K30" s="15">
        <f>IFERROR('Data Sheet'!J29,0)</f>
        <v>10858</v>
      </c>
      <c r="L30" s="15">
        <f>IFERROR('Data Sheet'!K29,0)</f>
        <v>10521</v>
      </c>
      <c r="M30" s="15">
        <f>IFERROR(SUM('Data Sheet'!H48:K48),0)</f>
        <v>10958</v>
      </c>
    </row>
    <row r="31" spans="2:13">
      <c r="B31" s="18" t="s">
        <v>85</v>
      </c>
      <c r="C31" s="20">
        <f>C30/C27</f>
        <v>0.33122300455594345</v>
      </c>
      <c r="D31" s="20">
        <f>D30/D27</f>
        <v>0.25007370717613064</v>
      </c>
      <c r="E31" s="20">
        <f>E30/E27</f>
        <v>0.31009416818106722</v>
      </c>
      <c r="F31" s="20">
        <f>F30/F27</f>
        <v>0.27952509893772132</v>
      </c>
      <c r="G31" s="20">
        <f>G30/G27</f>
        <v>0.29496049453473616</v>
      </c>
      <c r="H31" s="20">
        <f>H30/H27</f>
        <v>0.28632033075678592</v>
      </c>
      <c r="I31" s="20">
        <f>I30/I27</f>
        <v>0.30090460794879331</v>
      </c>
      <c r="J31" s="20">
        <f>J30/J27</f>
        <v>0.31141094094702176</v>
      </c>
      <c r="K31" s="20">
        <f>K30/K27</f>
        <v>0.31927781698423902</v>
      </c>
      <c r="L31" s="20">
        <f>L30/L27</f>
        <v>0.28464368811211516</v>
      </c>
      <c r="M31" s="20">
        <f>M30/M27</f>
        <v>0.26567424719972849</v>
      </c>
    </row>
    <row r="33" spans="1:13">
      <c r="B33" s="105" t="s">
        <v>181</v>
      </c>
      <c r="C33" s="15">
        <f>IFERROR(C27-C30,0)</f>
        <v>11303</v>
      </c>
      <c r="D33" s="15">
        <f>IFERROR(D27-D30,0)</f>
        <v>12718</v>
      </c>
      <c r="E33" s="15">
        <f>IFERROR(E27-E30,0)</f>
        <v>12528</v>
      </c>
      <c r="F33" s="15">
        <f>IFERROR(F27-F30,0)</f>
        <v>13836</v>
      </c>
      <c r="G33" s="15">
        <f>IFERROR(G27-G30,0)</f>
        <v>17222</v>
      </c>
      <c r="H33" s="15">
        <f>IFERROR(H27-H30,0)</f>
        <v>19851</v>
      </c>
      <c r="I33" s="15">
        <f>IFERROR(I27-I30,0)</f>
        <v>21407</v>
      </c>
      <c r="J33" s="15">
        <f>IFERROR(J27-J30,0)</f>
        <v>21537</v>
      </c>
      <c r="K33" s="15">
        <f>IFERROR(K27-K30,0)</f>
        <v>23150</v>
      </c>
      <c r="L33" s="15">
        <f>IFERROR(L27-L30,0)</f>
        <v>26441</v>
      </c>
      <c r="M33" s="15">
        <f>IFERROR(M27-M30,0)</f>
        <v>30288</v>
      </c>
    </row>
    <row r="34" spans="1:13">
      <c r="B34" s="18" t="s">
        <v>182</v>
      </c>
      <c r="C34" s="20">
        <f>C33/C6</f>
        <v>0.16504585012557677</v>
      </c>
      <c r="D34" s="20">
        <f>D33/D6</f>
        <v>0.18034088653186239</v>
      </c>
      <c r="E34" s="20">
        <f>E33/E6</f>
        <v>0.1515331115814938</v>
      </c>
      <c r="F34" s="20">
        <f>F33/F6</f>
        <v>0.15239395975372008</v>
      </c>
      <c r="G34" s="20">
        <f>G33/G6</f>
        <v>0.17141094036149376</v>
      </c>
      <c r="H34" s="20">
        <f>H33/H6</f>
        <v>0.16319333119589613</v>
      </c>
      <c r="I34" s="20">
        <f>I33/I6</f>
        <v>0.14585703870761138</v>
      </c>
      <c r="J34" s="20">
        <f>J33/J6</f>
        <v>0.14015097286392919</v>
      </c>
      <c r="K34" s="20">
        <f>K33/K6</f>
        <v>0.14203325357383889</v>
      </c>
      <c r="L34" s="20">
        <f>L33/L6</f>
        <v>0.14800447802966696</v>
      </c>
      <c r="M34" s="20">
        <f>M33/M6</f>
        <v>0.16408967288251292</v>
      </c>
    </row>
    <row r="36" spans="1:13">
      <c r="B36" s="105" t="s">
        <v>183</v>
      </c>
      <c r="C36" s="105">
        <f>IFERROR('Data Sheet'!B93,0)</f>
        <v>459.39</v>
      </c>
      <c r="D36" s="105">
        <f>IFERROR('Data Sheet'!C93,0)</f>
        <v>436.82</v>
      </c>
      <c r="E36" s="105">
        <f>IFERROR('Data Sheet'!D93,0)</f>
        <v>436.89</v>
      </c>
      <c r="F36" s="105">
        <f>IFERROR('Data Sheet'!E93,0)</f>
        <v>425.9</v>
      </c>
      <c r="G36" s="105">
        <f>IFERROR('Data Sheet'!F93,0)</f>
        <v>426.07</v>
      </c>
      <c r="H36" s="105">
        <f>IFERROR('Data Sheet'!G93,0)</f>
        <v>420.67</v>
      </c>
      <c r="I36" s="105">
        <f>IFERROR('Data Sheet'!H93,0)</f>
        <v>414.86</v>
      </c>
      <c r="J36" s="105">
        <f>IFERROR('Data Sheet'!I93,0)</f>
        <v>415.09</v>
      </c>
      <c r="K36" s="105">
        <f>IFERROR('Data Sheet'!J93,0)</f>
        <v>415.33</v>
      </c>
      <c r="L36" s="105">
        <f>IFERROR('Data Sheet'!K93,0)</f>
        <v>405.56</v>
      </c>
      <c r="M36" s="105">
        <f>L36</f>
        <v>405.56</v>
      </c>
    </row>
    <row r="37" spans="1:13">
      <c r="C37" s="21"/>
      <c r="D37" s="21"/>
      <c r="E37" s="21"/>
      <c r="F37" s="21"/>
      <c r="G37" s="21"/>
      <c r="H37" s="21"/>
      <c r="I37" s="21"/>
      <c r="J37" s="21"/>
      <c r="K37" s="21"/>
      <c r="L37" s="21"/>
      <c r="M37" s="21"/>
    </row>
    <row r="38" spans="1:13">
      <c r="B38" s="105" t="s">
        <v>184</v>
      </c>
      <c r="C38" s="21">
        <f>IFERROR(C33/C36,0)</f>
        <v>24.604366660136268</v>
      </c>
      <c r="D38" s="21">
        <f>IFERROR(D33/D36,0)</f>
        <v>29.114967263403692</v>
      </c>
      <c r="E38" s="21">
        <f>IFERROR(E33/E36,0)</f>
        <v>28.6754102863421</v>
      </c>
      <c r="F38" s="21">
        <f>IFERROR(F33/F36,0)</f>
        <v>32.486499178210849</v>
      </c>
      <c r="G38" s="21">
        <f>IFERROR(G33/G36,0)</f>
        <v>40.420588166263762</v>
      </c>
      <c r="H38" s="21">
        <f>IFERROR(H33/H36,0)</f>
        <v>47.189008011030019</v>
      </c>
      <c r="I38" s="21">
        <f>IFERROR(I33/I36,0)</f>
        <v>51.600539941184977</v>
      </c>
      <c r="J38" s="21">
        <f>IFERROR(J33/J36,0)</f>
        <v>51.885133344575877</v>
      </c>
      <c r="K38" s="21">
        <f>IFERROR(K33/K36,0)</f>
        <v>55.738810102809815</v>
      </c>
      <c r="L38" s="21">
        <f>IFERROR(L33/L36,0)</f>
        <v>65.196271821678664</v>
      </c>
      <c r="M38" s="21">
        <f>IFERROR(M33/M36,0)</f>
        <v>74.681921294013222</v>
      </c>
    </row>
    <row r="39" spans="1:13">
      <c r="B39" s="18" t="s">
        <v>185</v>
      </c>
      <c r="C39" s="20"/>
      <c r="D39" s="20">
        <f>IFERROR(D38/C38-1,0)</f>
        <v>0.1833252066827411</v>
      </c>
      <c r="E39" s="20">
        <f>IFERROR(E38/D38-1,0)</f>
        <v>-1.5097285636109792E-2</v>
      </c>
      <c r="F39" s="20">
        <f>IFERROR(F38/E38-1,0)</f>
        <v>0.13290442416734827</v>
      </c>
      <c r="G39" s="20">
        <f>IFERROR(G38/F38-1,0)</f>
        <v>0.24422726944288353</v>
      </c>
      <c r="H39" s="20">
        <f>IFERROR(H38/G38-1,0)</f>
        <v>0.16744981089650213</v>
      </c>
      <c r="I39" s="20">
        <f>IFERROR(I38/H38-1,0)</f>
        <v>9.3486430762091954E-2</v>
      </c>
      <c r="J39" s="20">
        <f>IFERROR(J38/I38-1,0)</f>
        <v>5.5153183225462588E-3</v>
      </c>
      <c r="K39" s="20">
        <f>IFERROR(K38/J38-1,0)</f>
        <v>7.4273236085588668E-2</v>
      </c>
      <c r="L39" s="20">
        <f>IFERROR(L38/K38-1,0)</f>
        <v>0.1696746253001209</v>
      </c>
      <c r="M39" s="20">
        <f>IFERROR(M38/L38-1,0)</f>
        <v>0.14549374078136235</v>
      </c>
    </row>
    <row r="41" spans="1:13">
      <c r="B41" s="105" t="s">
        <v>186</v>
      </c>
      <c r="C41" s="15">
        <f>IFERROR('Data Sheet'!B31/HistoricalFS!C36,0)</f>
        <v>12.824832930625396</v>
      </c>
      <c r="D41" s="15">
        <f>IFERROR('Data Sheet'!C31/HistoricalFS!D36,0)</f>
        <v>21.669337484547412</v>
      </c>
      <c r="E41" s="15">
        <f>IFERROR('Data Sheet'!D31/HistoricalFS!E36,0)</f>
        <v>21.109432580283368</v>
      </c>
      <c r="F41" s="15">
        <f>IFERROR('Data Sheet'!E31/HistoricalFS!F36,0)</f>
        <v>17.438365813571263</v>
      </c>
      <c r="G41" s="15">
        <f>IFERROR('Data Sheet'!F31/HistoricalFS!G36,0)</f>
        <v>26.919520266622857</v>
      </c>
      <c r="H41" s="15">
        <f>IFERROR('Data Sheet'!G31/HistoricalFS!H36,0)</f>
        <v>30.921149594694178</v>
      </c>
      <c r="I41" s="15">
        <f>IFERROR('Data Sheet'!H31/HistoricalFS!I36,0)</f>
        <v>33.913127320059779</v>
      </c>
      <c r="J41" s="15">
        <f>IFERROR('Data Sheet'!I31/HistoricalFS!J36,0)</f>
        <v>45.901370787058234</v>
      </c>
      <c r="K41" s="15">
        <f>IFERROR('Data Sheet'!J31/HistoricalFS!K36,0)</f>
        <v>42.924421544314157</v>
      </c>
      <c r="L41" s="15">
        <f>IFERROR('Data Sheet'!K31/HistoricalFS!L36,0)</f>
        <v>47.910050300818625</v>
      </c>
      <c r="M41" s="15">
        <f>IFERROR('Data Sheet'!L31/HistoricalFS!M36,0)</f>
        <v>0</v>
      </c>
    </row>
    <row r="42" spans="1:13">
      <c r="B42" s="18" t="s">
        <v>187</v>
      </c>
      <c r="C42" s="20">
        <f>IFERROR(C41/C38,0)</f>
        <v>0.52124214810227376</v>
      </c>
      <c r="D42" s="20">
        <f>IFERROR(D41/D38,0)</f>
        <v>0.74426796666142481</v>
      </c>
      <c r="E42" s="20">
        <f>IFERROR(E41/E38,0)</f>
        <v>0.73615102171136659</v>
      </c>
      <c r="F42" s="20">
        <f>IFERROR(F41/F38,0)</f>
        <v>0.53678808904307607</v>
      </c>
      <c r="G42" s="20">
        <f>IFERROR(G41/G38,0)</f>
        <v>0.66598536755312976</v>
      </c>
      <c r="H42" s="20">
        <f>IFERROR(H41/H38,0)</f>
        <v>0.6552616996624856</v>
      </c>
      <c r="I42" s="20">
        <f>IFERROR(I41/I38,0)</f>
        <v>0.65722427243425052</v>
      </c>
      <c r="J42" s="20">
        <f>IFERROR(J41/J38,0)</f>
        <v>0.8846728885174352</v>
      </c>
      <c r="K42" s="20">
        <f>IFERROR(K41/K38,0)</f>
        <v>0.77009935205183577</v>
      </c>
      <c r="L42" s="20">
        <f>IFERROR(L41/L38,0)</f>
        <v>0.73485874210506419</v>
      </c>
      <c r="M42" s="20">
        <f>IFERROR(M41/M38,0)</f>
        <v>0</v>
      </c>
    </row>
    <row r="44" spans="1:13">
      <c r="B44" s="105" t="s">
        <v>188</v>
      </c>
      <c r="C44" s="16">
        <f>IFERROR(IF(C38&gt;C41,1-C42,0),0)</f>
        <v>0.47875785189772624</v>
      </c>
      <c r="D44" s="16">
        <f>IFERROR(IF(D38&gt;D41,1-D42,0),0)</f>
        <v>0.25573203333857519</v>
      </c>
      <c r="E44" s="16">
        <f>IFERROR(IF(E38&gt;E41,1-E42,0),0)</f>
        <v>0.26384897828863341</v>
      </c>
      <c r="F44" s="16">
        <f>IFERROR(IF(F38&gt;F41,1-F42,0),0)</f>
        <v>0.46321191095692393</v>
      </c>
      <c r="G44" s="16">
        <f>IFERROR(IF(G38&gt;G41,1-G42,0),0)</f>
        <v>0.33401463244687024</v>
      </c>
      <c r="H44" s="16">
        <f>IFERROR(IF(H38&gt;H41,1-H42,0),0)</f>
        <v>0.3447383003375144</v>
      </c>
      <c r="I44" s="16">
        <f>IFERROR(IF(I38&gt;I41,1-I42,0),0)</f>
        <v>0.34277572756574948</v>
      </c>
      <c r="J44" s="16">
        <f>IFERROR(IF(J38&gt;J41,1-J42,0),0)</f>
        <v>0.1153271114825648</v>
      </c>
      <c r="K44" s="16">
        <f>IFERROR(IF(K38&gt;K41,1-K42,0),0)</f>
        <v>0.22990064794816423</v>
      </c>
      <c r="L44" s="16">
        <f>IFERROR(IF(L38&gt;L41,1-L42,0),0)</f>
        <v>0.26514125789493581</v>
      </c>
      <c r="M44" s="16">
        <f>IFERROR(IF(M38&gt;M41,1-M42,0),0)</f>
        <v>1</v>
      </c>
    </row>
    <row r="46" spans="1:13">
      <c r="A46" s="105" t="s">
        <v>166</v>
      </c>
      <c r="B46" s="25" t="s">
        <v>189</v>
      </c>
      <c r="C46" s="26"/>
      <c r="D46" s="26"/>
      <c r="E46" s="26"/>
      <c r="F46" s="26"/>
      <c r="G46" s="26"/>
      <c r="H46" s="26"/>
      <c r="I46" s="26"/>
      <c r="J46" s="26"/>
      <c r="K46" s="26"/>
      <c r="L46" s="26"/>
      <c r="M46" s="26"/>
    </row>
    <row r="47" spans="1:13">
      <c r="B47" s="105" t="s">
        <v>91</v>
      </c>
      <c r="C47" s="15">
        <f>IFERROR('Data Sheet'!B57,0)</f>
        <v>1144</v>
      </c>
      <c r="D47" s="15">
        <f>IFERROR('Data Sheet'!C57,0)</f>
        <v>1088</v>
      </c>
      <c r="E47" s="15">
        <f>IFERROR('Data Sheet'!D57,0)</f>
        <v>2170</v>
      </c>
      <c r="F47" s="15">
        <f>IFERROR('Data Sheet'!E57,0)</f>
        <v>2122</v>
      </c>
      <c r="G47" s="15">
        <f>IFERROR('Data Sheet'!F57,0)</f>
        <v>2124</v>
      </c>
      <c r="H47" s="15">
        <f>IFERROR('Data Sheet'!G57,0)</f>
        <v>2098</v>
      </c>
      <c r="I47" s="15">
        <f>IFERROR('Data Sheet'!H57,0)</f>
        <v>2069</v>
      </c>
      <c r="J47" s="15">
        <f>IFERROR('Data Sheet'!I57,0)</f>
        <v>2071</v>
      </c>
      <c r="K47" s="15">
        <f>IFERROR('Data Sheet'!J57,0)</f>
        <v>2073</v>
      </c>
      <c r="L47" s="15">
        <f>IFERROR('Data Sheet'!K57,0)</f>
        <v>2024</v>
      </c>
    </row>
    <row r="48" spans="1:13">
      <c r="B48" s="105" t="s">
        <v>92</v>
      </c>
      <c r="C48" s="15">
        <f>IFERROR('Data Sheet'!B58,0)</f>
        <v>67838</v>
      </c>
      <c r="D48" s="15">
        <f>IFERROR('Data Sheet'!C58,0)</f>
        <v>63835</v>
      </c>
      <c r="E48" s="15">
        <f>IFERROR('Data Sheet'!D58,0)</f>
        <v>62778</v>
      </c>
      <c r="F48" s="15">
        <f>IFERROR('Data Sheet'!E58,0)</f>
        <v>63328</v>
      </c>
      <c r="G48" s="15">
        <f>IFERROR('Data Sheet'!F58,0)</f>
        <v>74227</v>
      </c>
      <c r="H48" s="15">
        <f>IFERROR('Data Sheet'!G58,0)</f>
        <v>73252</v>
      </c>
      <c r="I48" s="15">
        <f>IFERROR('Data Sheet'!H58,0)</f>
        <v>73338</v>
      </c>
      <c r="J48" s="15">
        <f>IFERROR('Data Sheet'!I58,0)</f>
        <v>86045</v>
      </c>
      <c r="K48" s="15">
        <f>IFERROR('Data Sheet'!J58,0)</f>
        <v>93745</v>
      </c>
      <c r="L48" s="15">
        <f>IFERROR('Data Sheet'!K58,0)</f>
        <v>90828</v>
      </c>
    </row>
    <row r="49" spans="2:13">
      <c r="B49" s="105" t="s">
        <v>93</v>
      </c>
      <c r="C49" s="15">
        <f>IFERROR('Data Sheet'!B59,0)</f>
        <v>0</v>
      </c>
      <c r="D49" s="15">
        <f>IFERROR('Data Sheet'!C59,0)</f>
        <v>0</v>
      </c>
      <c r="E49" s="15">
        <f>IFERROR('Data Sheet'!D59,0)</f>
        <v>0</v>
      </c>
      <c r="F49" s="15">
        <f>IFERROR('Data Sheet'!E59,0)</f>
        <v>4633</v>
      </c>
      <c r="G49" s="15">
        <f>IFERROR('Data Sheet'!F59,0)</f>
        <v>5325</v>
      </c>
      <c r="H49" s="15">
        <f>IFERROR('Data Sheet'!G59,0)</f>
        <v>5474</v>
      </c>
      <c r="I49" s="15">
        <f>IFERROR('Data Sheet'!H59,0)</f>
        <v>8299</v>
      </c>
      <c r="J49" s="15">
        <f>IFERROR('Data Sheet'!I59,0)</f>
        <v>8359</v>
      </c>
      <c r="K49" s="15">
        <f>IFERROR('Data Sheet'!J59,0)</f>
        <v>8227</v>
      </c>
      <c r="L49" s="15">
        <f>IFERROR('Data Sheet'!K59,0)</f>
        <v>9176</v>
      </c>
    </row>
    <row r="50" spans="2:13">
      <c r="B50" s="105" t="s">
        <v>94</v>
      </c>
      <c r="C50" s="15">
        <f>IFERROR('Data Sheet'!B60,0)</f>
        <v>14166</v>
      </c>
      <c r="D50" s="15">
        <f>IFERROR('Data Sheet'!C60,0)</f>
        <v>14426</v>
      </c>
      <c r="E50" s="15">
        <f>IFERROR('Data Sheet'!D60,0)</f>
        <v>19118</v>
      </c>
      <c r="F50" s="15">
        <f>IFERROR('Data Sheet'!E60,0)</f>
        <v>21717</v>
      </c>
      <c r="G50" s="15">
        <f>IFERROR('Data Sheet'!F60,0)</f>
        <v>25835</v>
      </c>
      <c r="H50" s="15">
        <f>IFERROR('Data Sheet'!G60,0)</f>
        <v>35905</v>
      </c>
      <c r="I50" s="15">
        <f>IFERROR('Data Sheet'!H60,0)</f>
        <v>40890</v>
      </c>
      <c r="J50" s="15">
        <f>IFERROR('Data Sheet'!I60,0)</f>
        <v>39545</v>
      </c>
      <c r="K50" s="15">
        <f>IFERROR('Data Sheet'!J60,0)</f>
        <v>43750</v>
      </c>
      <c r="L50" s="15">
        <f>IFERROR('Data Sheet'!K60,0)</f>
        <v>52260</v>
      </c>
    </row>
    <row r="51" spans="2:13">
      <c r="B51" s="94" t="s">
        <v>123</v>
      </c>
      <c r="C51" s="27">
        <f>IFERROR('Data Sheet'!B61,0)</f>
        <v>83148</v>
      </c>
      <c r="D51" s="27">
        <f>IFERROR('Data Sheet'!C61,0)</f>
        <v>79349</v>
      </c>
      <c r="E51" s="27">
        <f>IFERROR('Data Sheet'!D61,0)</f>
        <v>84066</v>
      </c>
      <c r="F51" s="27">
        <f>IFERROR('Data Sheet'!E61,0)</f>
        <v>91800</v>
      </c>
      <c r="G51" s="27">
        <f>IFERROR('Data Sheet'!F61,0)</f>
        <v>107511</v>
      </c>
      <c r="H51" s="27">
        <f>IFERROR('Data Sheet'!G61,0)</f>
        <v>116729</v>
      </c>
      <c r="I51" s="27">
        <f>IFERROR('Data Sheet'!H61,0)</f>
        <v>124596</v>
      </c>
      <c r="J51" s="27">
        <f>IFERROR('Data Sheet'!I61,0)</f>
        <v>136020</v>
      </c>
      <c r="K51" s="27">
        <f>IFERROR('Data Sheet'!J61,0)</f>
        <v>147795</v>
      </c>
      <c r="L51" s="27">
        <f>IFERROR('Data Sheet'!K61,0)</f>
        <v>154288</v>
      </c>
      <c r="M51" s="94"/>
    </row>
    <row r="53" spans="2:13">
      <c r="B53" s="105" t="s">
        <v>190</v>
      </c>
      <c r="C53" s="15">
        <f>IFERROR('Data Sheet'!B62,0)</f>
        <v>14179</v>
      </c>
      <c r="D53" s="15">
        <f>IFERROR('Data Sheet'!C62,0)</f>
        <v>12574</v>
      </c>
      <c r="E53" s="15">
        <f>IFERROR('Data Sheet'!D62,0)</f>
        <v>15710</v>
      </c>
      <c r="F53" s="15">
        <f>IFERROR('Data Sheet'!E62,0)</f>
        <v>23789</v>
      </c>
      <c r="G53" s="15">
        <f>IFERROR('Data Sheet'!F62,0)</f>
        <v>25505</v>
      </c>
      <c r="H53" s="15">
        <f>IFERROR('Data Sheet'!G62,0)</f>
        <v>25800</v>
      </c>
      <c r="I53" s="15">
        <f>IFERROR('Data Sheet'!H62,0)</f>
        <v>29225</v>
      </c>
      <c r="J53" s="15">
        <f>IFERROR('Data Sheet'!I62,0)</f>
        <v>27622</v>
      </c>
      <c r="K53" s="15">
        <f>IFERROR('Data Sheet'!J62,0)</f>
        <v>30961</v>
      </c>
      <c r="L53" s="15">
        <f>IFERROR('Data Sheet'!K62,0)</f>
        <v>33770</v>
      </c>
    </row>
    <row r="54" spans="2:13">
      <c r="B54" s="105" t="s">
        <v>97</v>
      </c>
      <c r="C54" s="15">
        <f>IFERROR('Data Sheet'!B63,0)</f>
        <v>1365</v>
      </c>
      <c r="D54" s="15">
        <f>IFERROR('Data Sheet'!C63,0)</f>
        <v>1606</v>
      </c>
      <c r="E54" s="15">
        <f>IFERROR('Data Sheet'!D63,0)</f>
        <v>1388</v>
      </c>
      <c r="F54" s="15">
        <f>IFERROR('Data Sheet'!E63,0)</f>
        <v>954</v>
      </c>
      <c r="G54" s="15">
        <f>IFERROR('Data Sheet'!F63,0)</f>
        <v>922</v>
      </c>
      <c r="H54" s="15">
        <f>IFERROR('Data Sheet'!G63,0)</f>
        <v>416</v>
      </c>
      <c r="I54" s="15">
        <f>IFERROR('Data Sheet'!H63,0)</f>
        <v>288</v>
      </c>
      <c r="J54" s="15">
        <f>IFERROR('Data Sheet'!I63,0)</f>
        <v>293</v>
      </c>
      <c r="K54" s="15">
        <f>IFERROR('Data Sheet'!J63,0)</f>
        <v>814</v>
      </c>
      <c r="L54" s="15">
        <f>IFERROR('Data Sheet'!K63,0)</f>
        <v>526</v>
      </c>
    </row>
    <row r="55" spans="2:13">
      <c r="B55" s="105" t="s">
        <v>98</v>
      </c>
      <c r="C55" s="15">
        <f>IFERROR('Data Sheet'!B64,0)</f>
        <v>16423</v>
      </c>
      <c r="D55" s="15">
        <f>IFERROR('Data Sheet'!C64,0)</f>
        <v>12163</v>
      </c>
      <c r="E55" s="15">
        <f>IFERROR('Data Sheet'!D64,0)</f>
        <v>11261</v>
      </c>
      <c r="F55" s="15">
        <f>IFERROR('Data Sheet'!E64,0)</f>
        <v>8792</v>
      </c>
      <c r="G55" s="15">
        <f>IFERROR('Data Sheet'!F64,0)</f>
        <v>14205</v>
      </c>
      <c r="H55" s="15">
        <f>IFERROR('Data Sheet'!G64,0)</f>
        <v>20324</v>
      </c>
      <c r="I55" s="15">
        <f>IFERROR('Data Sheet'!H64,0)</f>
        <v>19478</v>
      </c>
      <c r="J55" s="15">
        <f>IFERROR('Data Sheet'!I64,0)</f>
        <v>24623</v>
      </c>
      <c r="K55" s="15">
        <f>IFERROR('Data Sheet'!J64,0)</f>
        <v>23541</v>
      </c>
      <c r="L55" s="15">
        <f>IFERROR('Data Sheet'!K64,0)</f>
        <v>21880</v>
      </c>
    </row>
    <row r="56" spans="2:13">
      <c r="B56" s="105" t="s">
        <v>99</v>
      </c>
      <c r="C56" s="15">
        <f>IFERROR('Data Sheet'!B65-SUM('Data Sheet'!B67:B69),0)</f>
        <v>16234</v>
      </c>
      <c r="D56" s="15">
        <f>IFERROR('Data Sheet'!C65-SUM('Data Sheet'!C67:C69),0)</f>
        <v>20046</v>
      </c>
      <c r="E56" s="15">
        <f>IFERROR('Data Sheet'!D65-SUM('Data Sheet'!D67:D69),0)</f>
        <v>21312</v>
      </c>
      <c r="F56" s="15">
        <f>IFERROR('Data Sheet'!E65-SUM('Data Sheet'!E67:E69),0)</f>
        <v>21129</v>
      </c>
      <c r="G56" s="15">
        <f>IFERROR('Data Sheet'!F65-SUM('Data Sheet'!F67:F69),0)</f>
        <v>22871</v>
      </c>
      <c r="H56" s="15">
        <f>IFERROR('Data Sheet'!G65-SUM('Data Sheet'!G67:G69),0)</f>
        <v>30019</v>
      </c>
      <c r="I56" s="15">
        <f>IFERROR('Data Sheet'!H65-SUM('Data Sheet'!H67:H69),0)</f>
        <v>38008</v>
      </c>
      <c r="J56" s="15">
        <f>IFERROR('Data Sheet'!I65-SUM('Data Sheet'!I67:I69),0)</f>
        <v>38503</v>
      </c>
      <c r="K56" s="15">
        <f>IFERROR('Data Sheet'!J65-SUM('Data Sheet'!J67:J69),0)</f>
        <v>36866</v>
      </c>
      <c r="L56" s="15">
        <f>IFERROR('Data Sheet'!K65-SUM('Data Sheet'!K67:K69),0)</f>
        <v>40677</v>
      </c>
    </row>
    <row r="57" spans="2:13">
      <c r="B57" s="94" t="s">
        <v>191</v>
      </c>
      <c r="C57" s="27">
        <f>SUM(C53:C56)</f>
        <v>48201</v>
      </c>
      <c r="D57" s="27">
        <f>SUM(D53:D56)</f>
        <v>46389</v>
      </c>
      <c r="E57" s="27">
        <f>SUM(E53:E56)</f>
        <v>49671</v>
      </c>
      <c r="F57" s="27">
        <f>SUM(F53:F56)</f>
        <v>54664</v>
      </c>
      <c r="G57" s="27">
        <f>SUM(G53:G56)</f>
        <v>63503</v>
      </c>
      <c r="H57" s="27">
        <f>SUM(H53:H56)</f>
        <v>76559</v>
      </c>
      <c r="I57" s="27">
        <f>SUM(I53:I56)</f>
        <v>86999</v>
      </c>
      <c r="J57" s="27">
        <f>SUM(J53:J56)</f>
        <v>91041</v>
      </c>
      <c r="K57" s="27">
        <f>SUM(K53:K56)</f>
        <v>92182</v>
      </c>
      <c r="L57" s="27">
        <f>SUM(L53:L56)</f>
        <v>96853</v>
      </c>
    </row>
    <row r="58" spans="2:13">
      <c r="B58" s="94"/>
    </row>
    <row r="59" spans="2:13">
      <c r="B59" s="105" t="s">
        <v>100</v>
      </c>
      <c r="C59" s="15">
        <f>IFERROR('Data Sheet'!B67,0)</f>
        <v>12322</v>
      </c>
      <c r="D59" s="15">
        <f>IFERROR('Data Sheet'!C67,0)</f>
        <v>13142</v>
      </c>
      <c r="E59" s="15">
        <f>IFERROR('Data Sheet'!D67,0)</f>
        <v>14827</v>
      </c>
      <c r="F59" s="15">
        <f>IFERROR('Data Sheet'!E67,0)</f>
        <v>18487</v>
      </c>
      <c r="G59" s="15">
        <f>IFERROR('Data Sheet'!F67,0)</f>
        <v>19294</v>
      </c>
      <c r="H59" s="15">
        <f>IFERROR('Data Sheet'!G67,0)</f>
        <v>22698</v>
      </c>
      <c r="I59" s="15">
        <f>IFERROR('Data Sheet'!H67,0)</f>
        <v>25424</v>
      </c>
      <c r="J59" s="15">
        <f>IFERROR('Data Sheet'!I67,0)</f>
        <v>30193</v>
      </c>
      <c r="K59" s="15">
        <f>IFERROR('Data Sheet'!J67,0)</f>
        <v>31158</v>
      </c>
      <c r="L59" s="15">
        <f>IFERROR('Data Sheet'!K67,0)</f>
        <v>35234</v>
      </c>
    </row>
    <row r="60" spans="2:13">
      <c r="B60" s="105" t="s">
        <v>101</v>
      </c>
      <c r="C60" s="15">
        <f>IFERROR('Data Sheet'!B68,0)</f>
        <v>0</v>
      </c>
      <c r="D60" s="15">
        <f>IFERROR('Data Sheet'!C68,0)</f>
        <v>0</v>
      </c>
      <c r="E60" s="15">
        <f>IFERROR('Data Sheet'!D68,0)</f>
        <v>0</v>
      </c>
      <c r="F60" s="15">
        <f>IFERROR('Data Sheet'!E68,0)</f>
        <v>0</v>
      </c>
      <c r="G60" s="15">
        <f>IFERROR('Data Sheet'!F68,0)</f>
        <v>0</v>
      </c>
      <c r="H60" s="15">
        <f>IFERROR('Data Sheet'!G68,0)</f>
        <v>0</v>
      </c>
      <c r="I60" s="15">
        <f>IFERROR('Data Sheet'!H68,0)</f>
        <v>0</v>
      </c>
      <c r="J60" s="15">
        <f>IFERROR('Data Sheet'!I68,0)</f>
        <v>0</v>
      </c>
      <c r="K60" s="15">
        <f>IFERROR('Data Sheet'!J68,0)</f>
        <v>0</v>
      </c>
      <c r="L60" s="15">
        <f>IFERROR('Data Sheet'!K68,0)</f>
        <v>0</v>
      </c>
    </row>
    <row r="61" spans="2:13">
      <c r="B61" s="105" t="s">
        <v>102</v>
      </c>
      <c r="C61" s="15">
        <f>IFERROR('Data Sheet'!B69,0)</f>
        <v>22625</v>
      </c>
      <c r="D61" s="15">
        <f>IFERROR('Data Sheet'!C69,0)</f>
        <v>19818</v>
      </c>
      <c r="E61" s="15">
        <f>IFERROR('Data Sheet'!D69,0)</f>
        <v>19568</v>
      </c>
      <c r="F61" s="15">
        <f>IFERROR('Data Sheet'!E69,0)</f>
        <v>18649</v>
      </c>
      <c r="G61" s="15">
        <f>IFERROR('Data Sheet'!F69,0)</f>
        <v>24714</v>
      </c>
      <c r="H61" s="15">
        <f>IFERROR('Data Sheet'!G69,0)</f>
        <v>17472</v>
      </c>
      <c r="I61" s="15">
        <f>IFERROR('Data Sheet'!H69,0)</f>
        <v>12173</v>
      </c>
      <c r="J61" s="15">
        <f>IFERROR('Data Sheet'!I69,0)</f>
        <v>14786</v>
      </c>
      <c r="K61" s="15">
        <f>IFERROR('Data Sheet'!J69,0)</f>
        <v>24455</v>
      </c>
      <c r="L61" s="15">
        <f>IFERROR('Data Sheet'!K69,0)</f>
        <v>22201</v>
      </c>
    </row>
    <row r="62" spans="2:13">
      <c r="B62" s="94" t="s">
        <v>192</v>
      </c>
      <c r="C62" s="27">
        <f>IFERROR(SUM(C59:C61),0)</f>
        <v>34947</v>
      </c>
      <c r="D62" s="27">
        <f>IFERROR(SUM(D59:D61),0)</f>
        <v>32960</v>
      </c>
      <c r="E62" s="27">
        <f>IFERROR(SUM(E59:E61),0)</f>
        <v>34395</v>
      </c>
      <c r="F62" s="27">
        <f>IFERROR(SUM(F59:F61),0)</f>
        <v>37136</v>
      </c>
      <c r="G62" s="27">
        <f>IFERROR(SUM(G59:G61),0)</f>
        <v>44008</v>
      </c>
      <c r="H62" s="27">
        <f>IFERROR(SUM(H59:H61),0)</f>
        <v>40170</v>
      </c>
      <c r="I62" s="27">
        <f>IFERROR(SUM(I59:I61),0)</f>
        <v>37597</v>
      </c>
      <c r="J62" s="27">
        <f>IFERROR(SUM(J59:J61),0)</f>
        <v>44979</v>
      </c>
      <c r="K62" s="27">
        <f>IFERROR(SUM(K59:K61),0)</f>
        <v>55613</v>
      </c>
      <c r="L62" s="27">
        <f>IFERROR(SUM(L59:L61),0)</f>
        <v>57435</v>
      </c>
    </row>
    <row r="64" spans="2:13">
      <c r="B64" s="94" t="s">
        <v>142</v>
      </c>
      <c r="C64" s="27">
        <f>IFERROR(C62+C57,0)</f>
        <v>83148</v>
      </c>
      <c r="D64" s="27">
        <f>IFERROR(D62+D57,0)</f>
        <v>79349</v>
      </c>
      <c r="E64" s="27">
        <f>IFERROR(E62+E57,0)</f>
        <v>84066</v>
      </c>
      <c r="F64" s="27">
        <f>IFERROR(F62+F57,0)</f>
        <v>91800</v>
      </c>
      <c r="G64" s="27">
        <f>IFERROR(G62+G57,0)</f>
        <v>107511</v>
      </c>
      <c r="H64" s="27">
        <f>IFERROR(H62+H57,0)</f>
        <v>116729</v>
      </c>
      <c r="I64" s="27">
        <f>IFERROR(I62+I57,0)</f>
        <v>124596</v>
      </c>
      <c r="J64" s="27">
        <f>IFERROR(J62+J57,0)</f>
        <v>136020</v>
      </c>
      <c r="K64" s="27">
        <f>IFERROR(K62+K57,0)</f>
        <v>147795</v>
      </c>
      <c r="L64" s="27">
        <f>IFERROR(L62+L57,0)</f>
        <v>154288</v>
      </c>
    </row>
    <row r="66" spans="1:13">
      <c r="B66" s="17" t="s">
        <v>193</v>
      </c>
      <c r="C66" s="17" t="b">
        <f>C64=C51</f>
        <v>1</v>
      </c>
      <c r="D66" s="17" t="b">
        <f>D64=D51</f>
        <v>1</v>
      </c>
      <c r="E66" s="17" t="b">
        <f>E64=E51</f>
        <v>1</v>
      </c>
      <c r="F66" s="17" t="b">
        <f>F64=F51</f>
        <v>1</v>
      </c>
      <c r="G66" s="17" t="b">
        <f>G64=G51</f>
        <v>1</v>
      </c>
      <c r="H66" s="17" t="b">
        <f>H64=H51</f>
        <v>1</v>
      </c>
      <c r="I66" s="17" t="b">
        <f>I64=I51</f>
        <v>1</v>
      </c>
      <c r="J66" s="17" t="b">
        <f>J64=J51</f>
        <v>1</v>
      </c>
      <c r="K66" s="17" t="b">
        <f>K64=K51</f>
        <v>1</v>
      </c>
      <c r="L66" s="17" t="b">
        <f>L64=L51</f>
        <v>1</v>
      </c>
    </row>
    <row r="68" spans="1:13">
      <c r="A68" s="105" t="s">
        <v>166</v>
      </c>
      <c r="B68" s="25" t="s">
        <v>194</v>
      </c>
      <c r="C68" s="26"/>
      <c r="D68" s="26"/>
      <c r="E68" s="26"/>
      <c r="F68" s="26"/>
      <c r="G68" s="26"/>
      <c r="H68" s="26"/>
      <c r="I68" s="26"/>
      <c r="J68" s="26"/>
      <c r="K68" s="26"/>
      <c r="L68" s="26"/>
      <c r="M68" s="26"/>
    </row>
    <row r="69" spans="1:13">
      <c r="B69" s="94" t="s">
        <v>195</v>
      </c>
    </row>
    <row r="70" spans="1:13">
      <c r="B70" s="105" t="s">
        <v>144</v>
      </c>
      <c r="C70" s="15">
        <f>IFERROR('Cash Flow Data'!C4,0)</f>
        <v>19340</v>
      </c>
      <c r="D70" s="15">
        <f>IFERROR('Cash Flow Data'!D4,0)</f>
        <v>19963</v>
      </c>
      <c r="E70" s="15">
        <f>IFERROR('Cash Flow Data'!E4,0)</f>
        <v>22126</v>
      </c>
      <c r="F70" s="15">
        <f>IFERROR('Cash Flow Data'!F4,0)</f>
        <v>23920</v>
      </c>
      <c r="G70" s="15">
        <f>IFERROR('Cash Flow Data'!G4,0)</f>
        <v>28845</v>
      </c>
      <c r="H70" s="15">
        <f>IFERROR('Cash Flow Data'!H4,0)</f>
        <v>32921</v>
      </c>
      <c r="I70" s="15">
        <f>IFERROR('Cash Flow Data'!I4,0)</f>
        <v>37605</v>
      </c>
      <c r="J70" s="15">
        <f>IFERROR('Cash Flow Data'!J4,0)</f>
        <v>39523</v>
      </c>
      <c r="K70" s="15">
        <f>IFERROR('Cash Flow Data'!K4,0)</f>
        <v>41591</v>
      </c>
      <c r="L70" s="15">
        <f>IFERROR('Cash Flow Data'!L4,0)</f>
        <v>45273</v>
      </c>
    </row>
    <row r="71" spans="1:13">
      <c r="B71" s="105" t="s">
        <v>100</v>
      </c>
      <c r="C71" s="15">
        <f>IFERROR('Cash Flow Data'!C5,0)</f>
        <v>-1743</v>
      </c>
      <c r="D71" s="15">
        <f>IFERROR('Cash Flow Data'!D5,0)</f>
        <v>-1523</v>
      </c>
      <c r="E71" s="15">
        <f>IFERROR('Cash Flow Data'!E5,0)</f>
        <v>-2881</v>
      </c>
      <c r="F71" s="15">
        <f>IFERROR('Cash Flow Data'!F5,0)</f>
        <v>-3861</v>
      </c>
      <c r="G71" s="15">
        <f>IFERROR('Cash Flow Data'!G5,0)</f>
        <v>-1835</v>
      </c>
      <c r="H71" s="15">
        <f>IFERROR('Cash Flow Data'!H5,0)</f>
        <v>-7937</v>
      </c>
      <c r="I71" s="15">
        <f>IFERROR('Cash Flow Data'!I5,0)</f>
        <v>-7076</v>
      </c>
      <c r="J71" s="15">
        <f>IFERROR('Cash Flow Data'!J5,0)</f>
        <v>-2667</v>
      </c>
      <c r="K71" s="15">
        <f>IFERROR('Cash Flow Data'!K5,0)</f>
        <v>-1769</v>
      </c>
      <c r="L71" s="15">
        <f>IFERROR('Cash Flow Data'!L5,0)</f>
        <v>-5177</v>
      </c>
    </row>
    <row r="72" spans="1:13">
      <c r="B72" s="105" t="s">
        <v>145</v>
      </c>
      <c r="C72" s="15">
        <f>IFERROR('Cash Flow Data'!C6,0)</f>
        <v>-19</v>
      </c>
      <c r="D72" s="15">
        <f>IFERROR('Cash Flow Data'!D6,0)</f>
        <v>328</v>
      </c>
      <c r="E72" s="15">
        <f>IFERROR('Cash Flow Data'!E6,0)</f>
        <v>916</v>
      </c>
      <c r="F72" s="15">
        <f>IFERROR('Cash Flow Data'!F6,0)</f>
        <v>-373</v>
      </c>
      <c r="G72" s="15">
        <f>IFERROR('Cash Flow Data'!G6,0)</f>
        <v>-245</v>
      </c>
      <c r="H72" s="15">
        <f>IFERROR('Cash Flow Data'!H6,0)</f>
        <v>1489</v>
      </c>
      <c r="I72" s="15">
        <f>IFERROR('Cash Flow Data'!I6,0)</f>
        <v>-279</v>
      </c>
      <c r="J72" s="15">
        <f>IFERROR('Cash Flow Data'!J6,0)</f>
        <v>91</v>
      </c>
      <c r="K72" s="15">
        <f>IFERROR('Cash Flow Data'!K6,0)</f>
        <v>176</v>
      </c>
      <c r="L72" s="15">
        <f>IFERROR('Cash Flow Data'!L6,0)</f>
        <v>-26</v>
      </c>
    </row>
    <row r="73" spans="1:13">
      <c r="B73" s="105" t="s">
        <v>146</v>
      </c>
      <c r="C73" s="15">
        <f>IFERROR('Cash Flow Data'!C7,0)</f>
        <v>0</v>
      </c>
      <c r="D73" s="15">
        <f>IFERROR('Cash Flow Data'!D7,0)</f>
        <v>0</v>
      </c>
      <c r="E73" s="15">
        <f>IFERROR('Cash Flow Data'!E7,0)</f>
        <v>0</v>
      </c>
      <c r="F73" s="15">
        <f>IFERROR('Cash Flow Data'!F7,0)</f>
        <v>0</v>
      </c>
      <c r="G73" s="15">
        <f>IFERROR('Cash Flow Data'!G7,0)</f>
        <v>-534</v>
      </c>
      <c r="H73" s="15">
        <f>IFERROR('Cash Flow Data'!H7,0)</f>
        <v>-1914</v>
      </c>
      <c r="I73" s="15">
        <f>IFERROR('Cash Flow Data'!I7,0)</f>
        <v>-3108</v>
      </c>
      <c r="J73" s="15">
        <f>IFERROR('Cash Flow Data'!J7,0)</f>
        <v>-1172</v>
      </c>
      <c r="K73" s="15">
        <f>IFERROR('Cash Flow Data'!K7,0)</f>
        <v>-1024</v>
      </c>
      <c r="L73" s="15">
        <f>IFERROR('Cash Flow Data'!L7,0)</f>
        <v>-2645</v>
      </c>
    </row>
    <row r="74" spans="1:13">
      <c r="B74" s="105" t="s">
        <v>147</v>
      </c>
      <c r="C74" s="15">
        <f>IFERROR('Cash Flow Data'!C8,0)</f>
        <v>-394</v>
      </c>
      <c r="D74" s="15">
        <f>IFERROR('Cash Flow Data'!D8,0)</f>
        <v>1279</v>
      </c>
      <c r="E74" s="15">
        <f>IFERROR('Cash Flow Data'!E8,0)</f>
        <v>1512</v>
      </c>
      <c r="F74" s="15">
        <f>IFERROR('Cash Flow Data'!F8,0)</f>
        <v>1867</v>
      </c>
      <c r="G74" s="15">
        <f>IFERROR('Cash Flow Data'!G8,0)</f>
        <v>3382</v>
      </c>
      <c r="H74" s="15">
        <f>IFERROR('Cash Flow Data'!H8,0)</f>
        <v>6938</v>
      </c>
      <c r="I74" s="15">
        <f>IFERROR('Cash Flow Data'!I8,0)</f>
        <v>4119</v>
      </c>
      <c r="J74" s="15">
        <f>IFERROR('Cash Flow Data'!J8,0)</f>
        <v>-1334</v>
      </c>
      <c r="K74" s="15">
        <f>IFERROR('Cash Flow Data'!K8,0)</f>
        <v>2322</v>
      </c>
      <c r="L74" s="15">
        <f>IFERROR('Cash Flow Data'!L8,0)</f>
        <v>5209</v>
      </c>
    </row>
    <row r="75" spans="1:13">
      <c r="B75" s="105" t="s">
        <v>148</v>
      </c>
      <c r="C75" s="15">
        <f>IFERROR('Cash Flow Data'!C9,0)</f>
        <v>-5653</v>
      </c>
      <c r="D75" s="15">
        <f>IFERROR('Cash Flow Data'!D9,0)</f>
        <v>-6829</v>
      </c>
      <c r="E75" s="15">
        <f>IFERROR('Cash Flow Data'!E9,0)</f>
        <v>-6832</v>
      </c>
      <c r="F75" s="15">
        <f>IFERROR('Cash Flow Data'!F9,0)</f>
        <v>-4550</v>
      </c>
      <c r="G75" s="15">
        <f>IFERROR('Cash Flow Data'!G9,0)</f>
        <v>-6389</v>
      </c>
      <c r="H75" s="15">
        <f>IFERROR('Cash Flow Data'!H9,0)</f>
        <v>-7612</v>
      </c>
      <c r="I75" s="15">
        <f>IFERROR('Cash Flow Data'!I9,0)</f>
        <v>-8794</v>
      </c>
      <c r="J75" s="15">
        <f>IFERROR('Cash Flow Data'!J9,0)</f>
        <v>-9231</v>
      </c>
      <c r="K75" s="15">
        <f>IFERROR('Cash Flow Data'!K9,0)</f>
        <v>-5602</v>
      </c>
      <c r="L75" s="15">
        <f>IFERROR('Cash Flow Data'!L9,0)</f>
        <v>-8648</v>
      </c>
    </row>
    <row r="76" spans="1:13">
      <c r="B76" s="94" t="s">
        <v>196</v>
      </c>
      <c r="C76" s="27">
        <f>SUM(C70:C75)</f>
        <v>11531</v>
      </c>
      <c r="D76" s="27">
        <f>SUM(D70:D75)</f>
        <v>13218</v>
      </c>
      <c r="E76" s="27">
        <f>SUM(E70:E75)</f>
        <v>14841</v>
      </c>
      <c r="F76" s="27">
        <f>SUM(F70:F75)</f>
        <v>17003</v>
      </c>
      <c r="G76" s="27">
        <f>SUM(G70:G75)</f>
        <v>23224</v>
      </c>
      <c r="H76" s="27">
        <f>SUM(H70:H75)</f>
        <v>23885</v>
      </c>
      <c r="I76" s="27">
        <f>SUM(I70:I75)</f>
        <v>22467</v>
      </c>
      <c r="J76" s="27">
        <f>SUM(J70:J75)</f>
        <v>25210</v>
      </c>
      <c r="K76" s="27">
        <f>SUM(K70:K75)</f>
        <v>35694</v>
      </c>
      <c r="L76" s="27">
        <f>SUM(L70:L75)</f>
        <v>33986</v>
      </c>
    </row>
    <row r="78" spans="1:13">
      <c r="B78" s="94" t="s">
        <v>197</v>
      </c>
    </row>
    <row r="79" spans="1:13">
      <c r="B79" s="105" t="s">
        <v>150</v>
      </c>
      <c r="C79" s="15">
        <f>IFERROR('Cash Flow Data'!C11,0)</f>
        <v>-2760</v>
      </c>
      <c r="D79" s="15">
        <f>IFERROR('Cash Flow Data'!D11,0)</f>
        <v>-1998</v>
      </c>
      <c r="E79" s="15">
        <f>IFERROR('Cash Flow Data'!E11,0)</f>
        <v>-2445</v>
      </c>
      <c r="F79" s="15">
        <f>IFERROR('Cash Flow Data'!F11,0)</f>
        <v>-3307</v>
      </c>
      <c r="G79" s="15">
        <f>IFERROR('Cash Flow Data'!G11,0)</f>
        <v>-2107</v>
      </c>
      <c r="H79" s="15">
        <f>IFERROR('Cash Flow Data'!H11,0)</f>
        <v>-2161</v>
      </c>
      <c r="I79" s="15">
        <f>IFERROR('Cash Flow Data'!I11,0)</f>
        <v>-2579</v>
      </c>
      <c r="J79" s="15">
        <f>IFERROR('Cash Flow Data'!J11,0)</f>
        <v>-2201</v>
      </c>
      <c r="K79" s="15">
        <f>IFERROR('Cash Flow Data'!K11,0)</f>
        <v>-2237</v>
      </c>
      <c r="L79" s="15">
        <f>IFERROR('Cash Flow Data'!L11,0)</f>
        <v>-2727</v>
      </c>
    </row>
    <row r="80" spans="1:13">
      <c r="B80" s="105" t="s">
        <v>151</v>
      </c>
      <c r="C80" s="15">
        <f>IFERROR('Cash Flow Data'!C12,0)</f>
        <v>-66410</v>
      </c>
      <c r="D80" s="15">
        <f>IFERROR('Cash Flow Data'!D12,0)</f>
        <v>-69159</v>
      </c>
      <c r="E80" s="15">
        <f>IFERROR('Cash Flow Data'!E12,0)</f>
        <v>-79410</v>
      </c>
      <c r="F80" s="15">
        <f>IFERROR('Cash Flow Data'!F12,0)</f>
        <v>-37482</v>
      </c>
      <c r="G80" s="15">
        <f>IFERROR('Cash Flow Data'!G12,0)</f>
        <v>-46738</v>
      </c>
      <c r="H80" s="15">
        <f>IFERROR('Cash Flow Data'!H12,0)</f>
        <v>-59951</v>
      </c>
      <c r="I80" s="15">
        <f>IFERROR('Cash Flow Data'!I12,0)</f>
        <v>-75800</v>
      </c>
      <c r="J80" s="15">
        <f>IFERROR('Cash Flow Data'!J12,0)</f>
        <v>-78092</v>
      </c>
      <c r="K80" s="15">
        <f>IFERROR('Cash Flow Data'!K12,0)</f>
        <v>-82742</v>
      </c>
      <c r="L80" s="15">
        <f>IFERROR('Cash Flow Data'!L12,0)</f>
        <v>-82617</v>
      </c>
    </row>
    <row r="81" spans="2:12">
      <c r="B81" s="105" t="s">
        <v>152</v>
      </c>
      <c r="C81" s="15">
        <f>IFERROR('Cash Flow Data'!C13,0)</f>
        <v>52048</v>
      </c>
      <c r="D81" s="15">
        <f>IFERROR('Cash Flow Data'!D13,0)</f>
        <v>74003</v>
      </c>
      <c r="E81" s="15">
        <f>IFERROR('Cash Flow Data'!E13,0)</f>
        <v>78098</v>
      </c>
      <c r="F81" s="15">
        <f>IFERROR('Cash Flow Data'!F13,0)</f>
        <v>38861</v>
      </c>
      <c r="G81" s="15">
        <f>IFERROR('Cash Flow Data'!G13,0)</f>
        <v>40381</v>
      </c>
      <c r="H81" s="15">
        <f>IFERROR('Cash Flow Data'!H13,0)</f>
        <v>57356</v>
      </c>
      <c r="I81" s="15">
        <f>IFERROR('Cash Flow Data'!I13,0)</f>
        <v>76722</v>
      </c>
      <c r="J81" s="15">
        <f>IFERROR('Cash Flow Data'!J13,0)</f>
        <v>72930</v>
      </c>
      <c r="K81" s="15">
        <f>IFERROR('Cash Flow Data'!K13,0)</f>
        <v>84877</v>
      </c>
      <c r="L81" s="15">
        <f>IFERROR('Cash Flow Data'!L13,0)</f>
        <v>89699</v>
      </c>
    </row>
    <row r="82" spans="2:12">
      <c r="B82" s="105" t="s">
        <v>153</v>
      </c>
      <c r="C82" s="15">
        <f>IFERROR('Cash Flow Data'!C14,0)</f>
        <v>0</v>
      </c>
      <c r="D82" s="15">
        <f>IFERROR('Cash Flow Data'!D14,0)</f>
        <v>0</v>
      </c>
      <c r="E82" s="15">
        <f>IFERROR('Cash Flow Data'!E14,0)</f>
        <v>0</v>
      </c>
      <c r="F82" s="15">
        <f>IFERROR('Cash Flow Data'!F14,0)</f>
        <v>0</v>
      </c>
      <c r="G82" s="15">
        <f>IFERROR('Cash Flow Data'!G14,0)</f>
        <v>0</v>
      </c>
      <c r="H82" s="15">
        <f>IFERROR('Cash Flow Data'!H14,0)</f>
        <v>0</v>
      </c>
      <c r="I82" s="15">
        <f>IFERROR('Cash Flow Data'!I14,0)</f>
        <v>0</v>
      </c>
      <c r="J82" s="15">
        <f>IFERROR('Cash Flow Data'!J14,0)</f>
        <v>0</v>
      </c>
      <c r="K82" s="15">
        <f>IFERROR('Cash Flow Data'!K14,0)</f>
        <v>0</v>
      </c>
      <c r="L82" s="15">
        <f>IFERROR('Cash Flow Data'!L14,0)</f>
        <v>0</v>
      </c>
    </row>
    <row r="83" spans="2:12">
      <c r="B83" s="105" t="s">
        <v>154</v>
      </c>
      <c r="C83" s="15">
        <f>IFERROR('Cash Flow Data'!C15,0)</f>
        <v>2753</v>
      </c>
      <c r="D83" s="15">
        <f>IFERROR('Cash Flow Data'!D15,0)</f>
        <v>1768</v>
      </c>
      <c r="E83" s="15">
        <f>IFERROR('Cash Flow Data'!E15,0)</f>
        <v>1557</v>
      </c>
      <c r="F83" s="15">
        <f>IFERROR('Cash Flow Data'!F15,0)</f>
        <v>1929</v>
      </c>
      <c r="G83" s="15">
        <f>IFERROR('Cash Flow Data'!G15,0)</f>
        <v>1418</v>
      </c>
      <c r="H83" s="15">
        <f>IFERROR('Cash Flow Data'!H15,0)</f>
        <v>1898</v>
      </c>
      <c r="I83" s="15">
        <f>IFERROR('Cash Flow Data'!I15,0)</f>
        <v>1525</v>
      </c>
      <c r="J83" s="15">
        <f>IFERROR('Cash Flow Data'!J15,0)</f>
        <v>1768</v>
      </c>
      <c r="K83" s="15">
        <f>IFERROR('Cash Flow Data'!K15,0)</f>
        <v>2040</v>
      </c>
      <c r="L83" s="15">
        <f>IFERROR('Cash Flow Data'!L15,0)</f>
        <v>2713</v>
      </c>
    </row>
    <row r="84" spans="2:12">
      <c r="B84" s="105" t="s">
        <v>155</v>
      </c>
      <c r="C84" s="15">
        <f>IFERROR('Cash Flow Data'!C16,0)</f>
        <v>0</v>
      </c>
      <c r="D84" s="15">
        <f>IFERROR('Cash Flow Data'!D16,0)</f>
        <v>0</v>
      </c>
      <c r="E84" s="15">
        <f>IFERROR('Cash Flow Data'!E16,0)</f>
        <v>0</v>
      </c>
      <c r="F84" s="15">
        <f>IFERROR('Cash Flow Data'!F16,0)</f>
        <v>0</v>
      </c>
      <c r="G84" s="15">
        <f>IFERROR('Cash Flow Data'!G16,0)</f>
        <v>0</v>
      </c>
      <c r="H84" s="15">
        <f>IFERROR('Cash Flow Data'!H16,0)</f>
        <v>0</v>
      </c>
      <c r="I84" s="15">
        <f>IFERROR('Cash Flow Data'!I16,0)</f>
        <v>0</v>
      </c>
      <c r="J84" s="15">
        <f>IFERROR('Cash Flow Data'!J16,0)</f>
        <v>0</v>
      </c>
      <c r="K84" s="15">
        <f>IFERROR('Cash Flow Data'!K16,0)</f>
        <v>0</v>
      </c>
      <c r="L84" s="15">
        <f>IFERROR('Cash Flow Data'!L16,0)</f>
        <v>0</v>
      </c>
    </row>
    <row r="85" spans="2:12">
      <c r="B85" s="105" t="s">
        <v>156</v>
      </c>
      <c r="C85" s="15">
        <f>IFERROR('Cash Flow Data'!C17,0)</f>
        <v>-164</v>
      </c>
      <c r="D85" s="15">
        <f>IFERROR('Cash Flow Data'!D17,0)</f>
        <v>-130</v>
      </c>
      <c r="E85" s="15">
        <f>IFERROR('Cash Flow Data'!E17,0)</f>
        <v>-24</v>
      </c>
      <c r="F85" s="15">
        <f>IFERROR('Cash Flow Data'!F17,0)</f>
        <v>-108</v>
      </c>
      <c r="G85" s="15">
        <f>IFERROR('Cash Flow Data'!G17,0)</f>
        <v>0</v>
      </c>
      <c r="H85" s="15">
        <f>IFERROR('Cash Flow Data'!H17,0)</f>
        <v>0</v>
      </c>
      <c r="I85" s="15">
        <f>IFERROR('Cash Flow Data'!I17,0)</f>
        <v>0</v>
      </c>
      <c r="J85" s="15">
        <f>IFERROR('Cash Flow Data'!J17,0)</f>
        <v>0</v>
      </c>
      <c r="K85" s="15">
        <f>IFERROR('Cash Flow Data'!K17,0)</f>
        <v>0</v>
      </c>
      <c r="L85" s="15">
        <f>IFERROR('Cash Flow Data'!L17,0)</f>
        <v>0</v>
      </c>
    </row>
    <row r="86" spans="2:12">
      <c r="B86" s="105" t="s">
        <v>157</v>
      </c>
      <c r="C86" s="15">
        <f>IFERROR('Cash Flow Data'!C18,0)</f>
        <v>-131</v>
      </c>
      <c r="D86" s="15">
        <f>IFERROR('Cash Flow Data'!D18,0)</f>
        <v>49</v>
      </c>
      <c r="E86" s="15">
        <f>IFERROR('Cash Flow Data'!E18,0)</f>
        <v>1592</v>
      </c>
      <c r="F86" s="15">
        <f>IFERROR('Cash Flow Data'!F18,0)</f>
        <v>-224</v>
      </c>
      <c r="G86" s="15">
        <f>IFERROR('Cash Flow Data'!G18,0)</f>
        <v>-327</v>
      </c>
      <c r="H86" s="15">
        <f>IFERROR('Cash Flow Data'!H18,0)</f>
        <v>-3627</v>
      </c>
      <c r="I86" s="15">
        <f>IFERROR('Cash Flow Data'!I18,0)</f>
        <v>-939</v>
      </c>
      <c r="J86" s="15">
        <f>IFERROR('Cash Flow Data'!J18,0)</f>
        <v>502</v>
      </c>
      <c r="K86" s="15">
        <f>IFERROR('Cash Flow Data'!K18,0)</f>
        <v>-3802</v>
      </c>
      <c r="L86" s="15">
        <f>IFERROR('Cash Flow Data'!L18,0)</f>
        <v>-3522</v>
      </c>
    </row>
    <row r="87" spans="2:12">
      <c r="B87" s="94" t="s">
        <v>198</v>
      </c>
      <c r="C87" s="15">
        <f>SUM(C79:C86)</f>
        <v>-14664</v>
      </c>
      <c r="D87" s="15">
        <f>SUM(D79:D86)</f>
        <v>4533</v>
      </c>
      <c r="E87" s="15">
        <f>SUM(E79:E86)</f>
        <v>-632</v>
      </c>
      <c r="F87" s="15">
        <f>SUM(F79:F86)</f>
        <v>-331</v>
      </c>
      <c r="G87" s="15">
        <f>SUM(G79:G86)</f>
        <v>-7373</v>
      </c>
      <c r="H87" s="15">
        <f>SUM(H79:H86)</f>
        <v>-6485</v>
      </c>
      <c r="I87" s="15">
        <f>SUM(I79:I86)</f>
        <v>-1071</v>
      </c>
      <c r="J87" s="15">
        <f>SUM(J79:J86)</f>
        <v>-5093</v>
      </c>
      <c r="K87" s="15">
        <f>SUM(K79:K86)</f>
        <v>-1864</v>
      </c>
      <c r="L87" s="15">
        <f>SUM(L79:L86)</f>
        <v>3546</v>
      </c>
    </row>
    <row r="89" spans="2:12">
      <c r="B89" s="94" t="s">
        <v>199</v>
      </c>
    </row>
    <row r="90" spans="2:12">
      <c r="B90" s="105" t="s">
        <v>159</v>
      </c>
      <c r="C90" s="15">
        <f>IFERROR('Cash Flow Data'!C20,0)</f>
        <v>0</v>
      </c>
      <c r="D90" s="15">
        <f>IFERROR('Cash Flow Data'!D20,0)</f>
        <v>5</v>
      </c>
      <c r="E90" s="15">
        <f>IFERROR('Cash Flow Data'!E20,0)</f>
        <v>6</v>
      </c>
      <c r="F90" s="15">
        <f>IFERROR('Cash Flow Data'!F20,0)</f>
        <v>6</v>
      </c>
      <c r="G90" s="15">
        <f>IFERROR('Cash Flow Data'!G20,0)</f>
        <v>15</v>
      </c>
      <c r="H90" s="15">
        <f>IFERROR('Cash Flow Data'!H20,0)</f>
        <v>21</v>
      </c>
      <c r="I90" s="15">
        <f>IFERROR('Cash Flow Data'!I20,0)</f>
        <v>35</v>
      </c>
      <c r="J90" s="15">
        <f>IFERROR('Cash Flow Data'!J20,0)</f>
        <v>5</v>
      </c>
      <c r="K90" s="15">
        <f>IFERROR('Cash Flow Data'!K20,0)</f>
        <v>6</v>
      </c>
      <c r="L90" s="15">
        <f>IFERROR('Cash Flow Data'!L20,0)</f>
        <v>2</v>
      </c>
    </row>
    <row r="91" spans="2:12">
      <c r="B91" s="105" t="s">
        <v>160</v>
      </c>
      <c r="C91" s="15">
        <f>IFERROR('Cash Flow Data'!C21,0)</f>
        <v>0</v>
      </c>
      <c r="D91" s="15">
        <f>IFERROR('Cash Flow Data'!D21,0)</f>
        <v>0</v>
      </c>
      <c r="E91" s="15">
        <f>IFERROR('Cash Flow Data'!E21,0)</f>
        <v>0</v>
      </c>
      <c r="F91" s="15">
        <f>IFERROR('Cash Flow Data'!F21,0)</f>
        <v>0</v>
      </c>
      <c r="G91" s="15">
        <f>IFERROR('Cash Flow Data'!G21,0)</f>
        <v>0</v>
      </c>
      <c r="H91" s="15">
        <f>IFERROR('Cash Flow Data'!H21,0)</f>
        <v>0</v>
      </c>
      <c r="I91" s="15">
        <f>IFERROR('Cash Flow Data'!I21,0)</f>
        <v>0</v>
      </c>
      <c r="J91" s="15">
        <f>IFERROR('Cash Flow Data'!J21,0)</f>
        <v>0</v>
      </c>
      <c r="K91" s="15">
        <f>IFERROR('Cash Flow Data'!K21,0)</f>
        <v>-985</v>
      </c>
      <c r="L91" s="15">
        <f>IFERROR('Cash Flow Data'!L21,0)</f>
        <v>0</v>
      </c>
    </row>
    <row r="92" spans="2:12">
      <c r="B92" s="105" t="s">
        <v>161</v>
      </c>
      <c r="C92" s="15">
        <f>IFERROR('Cash Flow Data'!C22,0)</f>
        <v>-6939</v>
      </c>
      <c r="D92" s="15">
        <f>IFERROR('Cash Flow Data'!D22,0)</f>
        <v>-7464</v>
      </c>
      <c r="E92" s="15">
        <f>IFERROR('Cash Flow Data'!E22,0)</f>
        <v>-13705</v>
      </c>
      <c r="F92" s="15">
        <f>IFERROR('Cash Flow Data'!F22,0)</f>
        <v>-9548</v>
      </c>
      <c r="G92" s="15">
        <f>IFERROR('Cash Flow Data'!G22,0)</f>
        <v>-9137</v>
      </c>
      <c r="H92" s="15">
        <f>IFERROR('Cash Flow Data'!H22,0)</f>
        <v>-12731</v>
      </c>
      <c r="I92" s="15">
        <f>IFERROR('Cash Flow Data'!I22,0)</f>
        <v>-13653</v>
      </c>
      <c r="J92" s="15">
        <f>IFERROR('Cash Flow Data'!J22,0)</f>
        <v>-14731</v>
      </c>
      <c r="K92" s="15">
        <f>IFERROR('Cash Flow Data'!K22,0)</f>
        <v>-20289</v>
      </c>
      <c r="L92" s="15">
        <f>IFERROR('Cash Flow Data'!L22,0)</f>
        <v>-18656</v>
      </c>
    </row>
    <row r="93" spans="2:12">
      <c r="B93" s="105" t="s">
        <v>162</v>
      </c>
      <c r="C93" s="15">
        <f>IFERROR('Cash Flow Data'!C23,0)</f>
        <v>0</v>
      </c>
      <c r="D93" s="15">
        <f>IFERROR('Cash Flow Data'!D23,0)</f>
        <v>0</v>
      </c>
      <c r="E93" s="15">
        <f>IFERROR('Cash Flow Data'!E23,0)</f>
        <v>0</v>
      </c>
      <c r="F93" s="15">
        <f>IFERROR('Cash Flow Data'!F23,0)</f>
        <v>-571</v>
      </c>
      <c r="G93" s="15">
        <f>IFERROR('Cash Flow Data'!G23,0)</f>
        <v>-698</v>
      </c>
      <c r="H93" s="15">
        <f>IFERROR('Cash Flow Data'!H23,0)</f>
        <v>-915</v>
      </c>
      <c r="I93" s="15">
        <f>IFERROR('Cash Flow Data'!I23,0)</f>
        <v>-1231</v>
      </c>
      <c r="J93" s="15">
        <f>IFERROR('Cash Flow Data'!J23,0)</f>
        <v>-2024</v>
      </c>
      <c r="K93" s="15">
        <f>IFERROR('Cash Flow Data'!K23,0)</f>
        <v>-2355</v>
      </c>
      <c r="L93" s="15">
        <f>IFERROR('Cash Flow Data'!L23,0)</f>
        <v>-2824</v>
      </c>
    </row>
    <row r="94" spans="2:12">
      <c r="B94" s="105" t="s">
        <v>163</v>
      </c>
      <c r="C94" s="15">
        <f>IFERROR('Cash Flow Data'!C24,0)</f>
        <v>0</v>
      </c>
      <c r="D94" s="15">
        <f>IFERROR('Cash Flow Data'!D24,0)</f>
        <v>-13046</v>
      </c>
      <c r="E94" s="15">
        <f>IFERROR('Cash Flow Data'!E24,0)</f>
        <v>-813</v>
      </c>
      <c r="F94" s="15">
        <f>IFERROR('Cash Flow Data'!F24,0)</f>
        <v>-7478</v>
      </c>
      <c r="G94" s="15">
        <f>IFERROR('Cash Flow Data'!G24,0)</f>
        <v>34</v>
      </c>
      <c r="H94" s="15">
        <f>IFERROR('Cash Flow Data'!H24,0)</f>
        <v>-11017</v>
      </c>
      <c r="I94" s="15">
        <f>IFERROR('Cash Flow Data'!I24,0)</f>
        <v>-11846</v>
      </c>
      <c r="J94" s="15">
        <f>IFERROR('Cash Flow Data'!J24,0)</f>
        <v>-754</v>
      </c>
      <c r="K94" s="15">
        <f>IFERROR('Cash Flow Data'!K24,0)</f>
        <v>-538</v>
      </c>
      <c r="L94" s="15">
        <f>IFERROR('Cash Flow Data'!L24,0)</f>
        <v>-18308</v>
      </c>
    </row>
    <row r="95" spans="2:12">
      <c r="B95" s="94" t="s">
        <v>200</v>
      </c>
      <c r="C95" s="27">
        <f>SUM(C90:C94)</f>
        <v>-6939</v>
      </c>
      <c r="D95" s="27">
        <f>SUM(D90:D94)</f>
        <v>-20505</v>
      </c>
      <c r="E95" s="27">
        <f>SUM(E90:E94)</f>
        <v>-14512</v>
      </c>
      <c r="F95" s="27">
        <f>SUM(F90:F94)</f>
        <v>-17591</v>
      </c>
      <c r="G95" s="27">
        <f>SUM(G90:G94)</f>
        <v>-9786</v>
      </c>
      <c r="H95" s="27">
        <f>SUM(H90:H94)</f>
        <v>-24642</v>
      </c>
      <c r="I95" s="27">
        <f>SUM(I90:I94)</f>
        <v>-26695</v>
      </c>
      <c r="J95" s="27">
        <f>SUM(J90:J94)</f>
        <v>-17504</v>
      </c>
      <c r="K95" s="27">
        <f>SUM(K90:K94)</f>
        <v>-24161</v>
      </c>
      <c r="L95" s="27">
        <f>SUM(L90:L94)</f>
        <v>-39786</v>
      </c>
    </row>
    <row r="97" spans="2:12">
      <c r="B97" s="94" t="s">
        <v>110</v>
      </c>
      <c r="C97" s="27">
        <f>IFERROR(C76+C87+C95,0)</f>
        <v>-10072</v>
      </c>
      <c r="D97" s="27">
        <f>IFERROR(D76+D87+D95,0)</f>
        <v>-2754</v>
      </c>
      <c r="E97" s="27">
        <f>IFERROR(E76+E87+E95,0)</f>
        <v>-303</v>
      </c>
      <c r="F97" s="27">
        <f>IFERROR(F76+F87+F95,0)</f>
        <v>-919</v>
      </c>
      <c r="G97" s="27">
        <f>IFERROR(G76+G87+G95,0)</f>
        <v>6065</v>
      </c>
      <c r="H97" s="27">
        <f>IFERROR(H76+H87+H95,0)</f>
        <v>-7242</v>
      </c>
      <c r="I97" s="27">
        <f>IFERROR(I76+I87+I95,0)</f>
        <v>-5299</v>
      </c>
      <c r="J97" s="27">
        <f>IFERROR(J76+J87+J95,0)</f>
        <v>2613</v>
      </c>
      <c r="K97" s="27">
        <f>IFERROR(K76+K87+K95,0)</f>
        <v>9669</v>
      </c>
      <c r="L97" s="27">
        <f>IFERROR(L76+L87+L95,0)</f>
        <v>-2254</v>
      </c>
    </row>
  </sheetData>
  <mergeCells count="1">
    <mergeCell ref="B2:M2"/>
  </mergeCells>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P41"/>
  <sheetViews>
    <sheetView showGridLines="0" topLeftCell="A23" workbookViewId="0">
      <selection activeCell="B24" sqref="B24"/>
    </sheetView>
  </sheetViews>
  <sheetFormatPr defaultRowHeight="15"/>
  <cols>
    <col min="1" max="1" width="1.85546875" style="105" customWidth="1"/>
    <col min="2" max="2" width="26" style="105" bestFit="1" customWidth="1"/>
    <col min="4" max="5" width="10.42578125" style="105" bestFit="1" customWidth="1"/>
    <col min="6" max="8" width="9.28515625" style="105" bestFit="1" customWidth="1"/>
    <col min="9" max="10" width="10.42578125" style="105" bestFit="1" customWidth="1"/>
    <col min="11" max="12" width="9.28515625" style="105" bestFit="1" customWidth="1"/>
    <col min="13" max="13" width="10.42578125" style="105" bestFit="1" customWidth="1"/>
  </cols>
  <sheetData>
    <row r="2" spans="2:16">
      <c r="B2" s="30"/>
      <c r="C2" s="30"/>
      <c r="D2" s="30"/>
      <c r="E2" s="30"/>
      <c r="F2" s="30"/>
      <c r="G2" s="31" t="str">
        <f>"Ratio Analysis - "&amp; 'Data Sheet'!B1</f>
        <v>Ratio Analysis - INFOSYS LTD</v>
      </c>
      <c r="H2" s="30"/>
      <c r="I2" s="30"/>
      <c r="J2" s="30"/>
      <c r="K2" s="30"/>
      <c r="L2" s="30"/>
      <c r="M2" s="30"/>
      <c r="N2" s="30"/>
      <c r="O2" s="30"/>
      <c r="P2" s="30"/>
    </row>
    <row r="3" spans="2:16">
      <c r="B3" s="30" t="s">
        <v>164</v>
      </c>
      <c r="C3" s="30"/>
      <c r="D3" s="32">
        <v>42811</v>
      </c>
      <c r="E3" s="32">
        <v>43177</v>
      </c>
      <c r="F3" s="32">
        <v>43543</v>
      </c>
      <c r="G3" s="32">
        <v>43909</v>
      </c>
      <c r="H3" s="32">
        <v>44275</v>
      </c>
      <c r="I3" s="32">
        <v>44641</v>
      </c>
      <c r="J3" s="32">
        <v>45007</v>
      </c>
      <c r="K3" s="32">
        <v>45373</v>
      </c>
      <c r="L3" s="32">
        <v>45739</v>
      </c>
      <c r="M3" s="32">
        <v>46105</v>
      </c>
      <c r="N3" s="32"/>
      <c r="O3" s="32" t="s">
        <v>201</v>
      </c>
      <c r="P3" s="32" t="s">
        <v>202</v>
      </c>
    </row>
    <row r="5" spans="2:16">
      <c r="B5" s="34" t="s">
        <v>203</v>
      </c>
      <c r="C5" s="34"/>
      <c r="D5" s="35"/>
      <c r="E5" s="36">
        <f>IFERROR(HistoricalFS!D7,0)</f>
        <v>2.9758775772443125E-2</v>
      </c>
      <c r="F5" s="36">
        <f>IFERROR(HistoricalFS!E7,0)</f>
        <v>0.17232920223476356</v>
      </c>
      <c r="G5" s="36">
        <f>IFERROR(HistoricalFS!F7,0)</f>
        <v>9.8167523435137571E-2</v>
      </c>
      <c r="H5" s="36">
        <f>IFERROR(HistoricalFS!G7,0)</f>
        <v>0.10662951173574475</v>
      </c>
      <c r="I5" s="36">
        <f>IFERROR(HistoricalFS!H7,0)</f>
        <v>0.21069551715900947</v>
      </c>
      <c r="J5" s="36">
        <f>IFERROR(HistoricalFS!I7,0)</f>
        <v>0.20655864387829759</v>
      </c>
      <c r="K5" s="36">
        <f>IFERROR(HistoricalFS!J7,0)</f>
        <v>4.7033733741236095E-2</v>
      </c>
      <c r="L5" s="36">
        <f>IFERROR(HistoricalFS!K7,0)</f>
        <v>6.0649443612936782E-2</v>
      </c>
      <c r="M5" s="36">
        <f>IFERROR(HistoricalFS!L7,0)</f>
        <v>9.6079514080618544E-2</v>
      </c>
      <c r="N5" s="34"/>
      <c r="O5" s="36">
        <f>IFERROR(AVERAGE(E5:M5),0)</f>
        <v>0.11421131840557638</v>
      </c>
      <c r="P5" s="36">
        <f>IFERROR(MEDIAN(E5:M5),0)</f>
        <v>9.8167523435137571E-2</v>
      </c>
    </row>
    <row r="6" spans="2:16">
      <c r="B6" s="105" t="s">
        <v>204</v>
      </c>
      <c r="C6" s="105"/>
      <c r="E6" s="65">
        <f>IFERROR(HistoricalFS!D18/HistoricalFS!C18-1,0)</f>
        <v>1.1717910126854525E-2</v>
      </c>
      <c r="F6" s="65">
        <f>IFERROR(HistoricalFS!E18/HistoricalFS!D18-1,0)</f>
        <v>7.1618318988417862E-2</v>
      </c>
      <c r="G6" s="65">
        <f>IFERROR(HistoricalFS!F18/HistoricalFS!E18-1,0)</f>
        <v>0.10396628656420437</v>
      </c>
      <c r="H6" s="65">
        <f>IFERROR(HistoricalFS!G18/HistoricalFS!F18-1,0)</f>
        <v>0.25248125028068436</v>
      </c>
      <c r="I6" s="65">
        <f>IFERROR(HistoricalFS!H18/HistoricalFS!G18-1,0)</f>
        <v>0.12915486392484499</v>
      </c>
      <c r="J6" s="65">
        <f>IFERROR(HistoricalFS!I18/HistoricalFS!H18-1,0)</f>
        <v>0.1155568257597408</v>
      </c>
      <c r="K6" s="65">
        <f>IFERROR(HistoricalFS!J18/HistoricalFS!I18-1,0)</f>
        <v>3.6863079988613823E-2</v>
      </c>
      <c r="L6" s="65">
        <f>IFERROR(HistoricalFS!K18/HistoricalFS!J18-1,0)</f>
        <v>7.7172271791352109E-2</v>
      </c>
      <c r="M6" s="65">
        <f>IFERROR(HistoricalFS!L18/HistoricalFS!K18-1,0)</f>
        <v>7.758181262106234E-2</v>
      </c>
      <c r="N6" s="105"/>
      <c r="O6" s="65">
        <f>IFERROR(AVERAGE(E6:M6),0)</f>
        <v>9.7345846671752792E-2</v>
      </c>
      <c r="P6" s="65">
        <f>IFERROR(MEDIAN(E6:M6),0)</f>
        <v>7.758181262106234E-2</v>
      </c>
    </row>
    <row r="7" spans="2:16">
      <c r="B7" s="105" t="s">
        <v>205</v>
      </c>
      <c r="C7" s="105"/>
      <c r="E7" s="65">
        <f>IFERROR(HistoricalFS!D27/HistoricalFS!C27-1,0)</f>
        <v>3.4317496006153192E-3</v>
      </c>
      <c r="F7" s="65">
        <f>IFERROR(HistoricalFS!E27/HistoricalFS!D27-1,0)</f>
        <v>7.0758889085441368E-2</v>
      </c>
      <c r="G7" s="65">
        <f>IFERROR(HistoricalFS!F27/HistoricalFS!E27-1,0)</f>
        <v>5.7547221763313061E-2</v>
      </c>
      <c r="H7" s="65">
        <f>IFERROR(HistoricalFS!G27/HistoricalFS!F27-1,0)</f>
        <v>0.27197458862736923</v>
      </c>
      <c r="I7" s="65">
        <f>IFERROR(HistoricalFS!H27/HistoricalFS!G27-1,0)</f>
        <v>0.13869898063618136</v>
      </c>
      <c r="J7" s="65">
        <f>IFERROR(HistoricalFS!I27/HistoricalFS!H27-1,0)</f>
        <v>0.10088081970159979</v>
      </c>
      <c r="K7" s="65">
        <f>IFERROR(HistoricalFS!J27/HistoricalFS!I27-1,0)</f>
        <v>2.1423206296332653E-2</v>
      </c>
      <c r="L7" s="65">
        <f>IFERROR(HistoricalFS!K27/HistoricalFS!J27-1,0)</f>
        <v>8.7316558493461649E-2</v>
      </c>
      <c r="M7" s="65">
        <f>IFERROR(HistoricalFS!L27/HistoricalFS!K27-1,0)</f>
        <v>8.6861914843566312E-2</v>
      </c>
      <c r="N7" s="105"/>
      <c r="O7" s="65">
        <f>IFERROR(AVERAGE(E7:M7),0)</f>
        <v>9.3210436560875631E-2</v>
      </c>
      <c r="P7" s="65">
        <f>IFERROR(MEDIAN(E7:M7),0)</f>
        <v>8.6861914843566312E-2</v>
      </c>
    </row>
    <row r="8" spans="2:16">
      <c r="B8" s="105" t="s">
        <v>206</v>
      </c>
      <c r="C8" s="105"/>
      <c r="E8" s="65">
        <f>IFERROR(HistoricalFS!D33/HistoricalFS!C33-1,0)</f>
        <v>0.12518800318499523</v>
      </c>
      <c r="F8" s="65">
        <f>IFERROR(HistoricalFS!E33/HistoricalFS!D33-1,0)</f>
        <v>-1.4939455889290798E-2</v>
      </c>
      <c r="G8" s="65">
        <f>IFERROR(HistoricalFS!F33/HistoricalFS!E33-1,0)</f>
        <v>0.10440613026819934</v>
      </c>
      <c r="H8" s="65">
        <f>IFERROR(HistoricalFS!G33/HistoricalFS!F33-1,0)</f>
        <v>0.24472390864411686</v>
      </c>
      <c r="I8" s="65">
        <f>IFERROR(HistoricalFS!H33/HistoricalFS!G33-1,0)</f>
        <v>0.15265358262687267</v>
      </c>
      <c r="J8" s="65">
        <f>IFERROR(HistoricalFS!I33/HistoricalFS!H33-1,0)</f>
        <v>7.8383960505767902E-2</v>
      </c>
      <c r="K8" s="65">
        <f>IFERROR(HistoricalFS!J33/HistoricalFS!I33-1,0)</f>
        <v>6.0727799317981113E-3</v>
      </c>
      <c r="L8" s="65">
        <f>IFERROR(HistoricalFS!K33/HistoricalFS!J33-1,0)</f>
        <v>7.4894367832102793E-2</v>
      </c>
      <c r="M8" s="65">
        <f>IFERROR(HistoricalFS!L33/HistoricalFS!K33-1,0)</f>
        <v>0.14215982721382292</v>
      </c>
      <c r="N8" s="105"/>
      <c r="O8" s="65">
        <f>IFERROR(AVERAGE(E8:M8),0)</f>
        <v>0.10150478936870945</v>
      </c>
      <c r="P8" s="65">
        <f>IFERROR(MEDIAN(E8:M8),0)</f>
        <v>0.10440613026819934</v>
      </c>
    </row>
    <row r="9" spans="2:16">
      <c r="B9" s="37" t="s">
        <v>207</v>
      </c>
      <c r="C9" s="37"/>
      <c r="D9" s="37"/>
      <c r="E9" s="38">
        <f>IFERROR(HistoricalFS!D41/HistoricalFS!C41-1,0)</f>
        <v>0.68963896853592144</v>
      </c>
      <c r="F9" s="38">
        <f>IFERROR(HistoricalFS!E41/HistoricalFS!D41-1,0)</f>
        <v>-2.5838579728767352E-2</v>
      </c>
      <c r="G9" s="38">
        <f>IFERROR(HistoricalFS!F41/HistoricalFS!E41-1,0)</f>
        <v>-0.17390646350868544</v>
      </c>
      <c r="H9" s="38">
        <f>IFERROR(HistoricalFS!G41/HistoricalFS!F41-1,0)</f>
        <v>0.54369512340846549</v>
      </c>
      <c r="I9" s="38">
        <f>IFERROR(HistoricalFS!H41/HistoricalFS!G41-1,0)</f>
        <v>0.14865158399694378</v>
      </c>
      <c r="J9" s="38">
        <f>IFERROR(HistoricalFS!I41/HistoricalFS!H41-1,0)</f>
        <v>9.6761529392781709E-2</v>
      </c>
      <c r="K9" s="38">
        <f>IFERROR(HistoricalFS!J41/HistoricalFS!I41-1,0)</f>
        <v>0.35349861290755547</v>
      </c>
      <c r="L9" s="38">
        <f>IFERROR(HistoricalFS!K41/HistoricalFS!J41-1,0)</f>
        <v>-6.4855345095345629E-2</v>
      </c>
      <c r="M9" s="38">
        <f>IFERROR(HistoricalFS!L41/HistoricalFS!K41-1,0)</f>
        <v>0.11614900276192253</v>
      </c>
      <c r="N9" s="37"/>
      <c r="O9" s="38">
        <f>IFERROR(AVERAGE(E9:M9),0)</f>
        <v>0.18708827029675468</v>
      </c>
      <c r="P9" s="38">
        <f>IFERROR(MEDIAN(E9:M9),0)</f>
        <v>0.11614900276192253</v>
      </c>
    </row>
    <row r="11" spans="2:16">
      <c r="B11" s="34" t="s">
        <v>208</v>
      </c>
      <c r="C11" s="34"/>
      <c r="D11" s="36">
        <f>IFERROR(HistoricalFS!C13,0)</f>
        <v>0.34862157584253256</v>
      </c>
      <c r="E11" s="36">
        <f>IFERROR(HistoricalFS!D13,0)</f>
        <v>0.34212018944442868</v>
      </c>
      <c r="F11" s="36">
        <f>IFERROR(HistoricalFS!E13,0)</f>
        <v>0.32934986392500754</v>
      </c>
      <c r="G11" s="36">
        <f>IFERROR(HistoricalFS!F13,0)</f>
        <v>0.31479992510270843</v>
      </c>
      <c r="H11" s="36">
        <f>IFERROR(HistoricalFS!G13,0)</f>
        <v>0.31831754120550998</v>
      </c>
      <c r="I11" s="36">
        <f>IFERROR(HistoricalFS!H13,0)</f>
        <v>0.30271043480405457</v>
      </c>
      <c r="J11" s="36">
        <f>IFERROR(HistoricalFS!I13,0)</f>
        <v>0.28539794367943749</v>
      </c>
      <c r="K11" s="36">
        <f>IFERROR(HistoricalFS!J13,0)</f>
        <v>0.28398516301164833</v>
      </c>
      <c r="L11" s="36">
        <f>IFERROR(HistoricalFS!K13,0)</f>
        <v>0.2847107184489846</v>
      </c>
      <c r="M11" s="36">
        <f>IFERROR(HistoricalFS!L13,0)</f>
        <v>0.28207668625804644</v>
      </c>
      <c r="N11" s="34"/>
      <c r="O11" s="36">
        <f>IFERROR(AVERAGE(D11:M11),0)</f>
        <v>0.30920900417223585</v>
      </c>
      <c r="P11" s="36">
        <f>IFERROR(MEDIAN(D11:M11),0)</f>
        <v>0.30875517995338153</v>
      </c>
    </row>
    <row r="12" spans="2:16">
      <c r="B12" s="105" t="s">
        <v>209</v>
      </c>
      <c r="C12" s="105"/>
      <c r="D12" s="65">
        <f>IFERROR(HistoricalFS!C19,0)</f>
        <v>0.27165469306699375</v>
      </c>
      <c r="E12" s="65">
        <f>IFERROR(HistoricalFS!D19,0)</f>
        <v>0.26689543688494372</v>
      </c>
      <c r="F12" s="65">
        <f>IFERROR(HistoricalFS!E19,0)</f>
        <v>0.24396734200181433</v>
      </c>
      <c r="G12" s="65">
        <f>IFERROR(HistoricalFS!F19,0)</f>
        <v>0.24525558700752279</v>
      </c>
      <c r="H12" s="65">
        <f>IFERROR(HistoricalFS!G19,0)</f>
        <v>0.27757982323433394</v>
      </c>
      <c r="I12" s="65">
        <f>IFERROR(HistoricalFS!H19,0)</f>
        <v>0.25888475102966929</v>
      </c>
      <c r="J12" s="65">
        <f>IFERROR(HistoricalFS!I19,0)</f>
        <v>0.23935898396778568</v>
      </c>
      <c r="K12" s="65">
        <f>IFERROR(HistoricalFS!J19,0)</f>
        <v>0.23703390381987374</v>
      </c>
      <c r="L12" s="65">
        <f>IFERROR(HistoricalFS!K19,0)</f>
        <v>0.24072642493404503</v>
      </c>
      <c r="M12" s="65">
        <f>IFERROR(HistoricalFS!L19,0)</f>
        <v>0.23666386789812482</v>
      </c>
      <c r="N12" s="105"/>
      <c r="O12" s="65">
        <f>IFERROR(AVERAGE(D12:M12),0)</f>
        <v>0.25180208138451071</v>
      </c>
      <c r="P12" s="65">
        <f>IFERROR(MEDIAN(D12:M12),0)</f>
        <v>0.24461146450466856</v>
      </c>
    </row>
    <row r="13" spans="2:16">
      <c r="B13" s="105" t="s">
        <v>210</v>
      </c>
      <c r="C13" s="105"/>
      <c r="D13" s="65">
        <f>IFERROR((HistoricalFS!C18-HistoricalFS!C24)/HistoricalFS!C6,0)</f>
        <v>0.24678757081946148</v>
      </c>
      <c r="E13" s="65">
        <f>IFERROR((HistoricalFS!D18-HistoricalFS!D24)/HistoricalFS!D6,0)</f>
        <v>0.24047814866282863</v>
      </c>
      <c r="F13" s="65">
        <f>IFERROR((HistoricalFS!E18-HistoricalFS!E24)/HistoricalFS!E6,0)</f>
        <v>0.2196431811309344</v>
      </c>
      <c r="G13" s="65">
        <f>IFERROR((HistoricalFS!F18-HistoricalFS!F24)/HistoricalFS!F6,0)</f>
        <v>0.21339119516251612</v>
      </c>
      <c r="H13" s="65">
        <f>IFERROR((HistoricalFS!G18-HistoricalFS!G24)/HistoricalFS!G6,0)</f>
        <v>0.24506330121824987</v>
      </c>
      <c r="I13" s="65">
        <f>IFERROR((HistoricalFS!H18-HistoricalFS!H24)/HistoricalFS!H6,0)</f>
        <v>0.23030885967724699</v>
      </c>
      <c r="J13" s="65">
        <f>IFERROR((HistoricalFS!I18-HistoricalFS!I24)/HistoricalFS!I6,0)</f>
        <v>0.21057185879659596</v>
      </c>
      <c r="K13" s="65">
        <f>IFERROR((HistoricalFS!J18-HistoricalFS!J24)/HistoricalFS!J6,0)</f>
        <v>0.20659204789483959</v>
      </c>
      <c r="L13" s="65">
        <f>IFERROR((HistoricalFS!K18-HistoricalFS!K24)/HistoricalFS!K6,0)</f>
        <v>0.21120314129701209</v>
      </c>
      <c r="M13" s="65">
        <f>IFERROR((HistoricalFS!L18-HistoricalFS!L24)/HistoricalFS!L6,0)</f>
        <v>0.20922474111390987</v>
      </c>
      <c r="N13" s="105"/>
      <c r="O13" s="65">
        <f>IFERROR(AVERAGE(D13:M13),0)</f>
        <v>0.22332640457735947</v>
      </c>
      <c r="P13" s="65">
        <f>IFERROR(MEDIAN(D13:M13),0)</f>
        <v>0.21651718814672527</v>
      </c>
    </row>
    <row r="14" spans="2:16">
      <c r="B14" s="105" t="s">
        <v>211</v>
      </c>
      <c r="C14" s="105"/>
      <c r="D14" s="65">
        <f>IFERROR(HistoricalFS!C28,0)</f>
        <v>0.24678757081946148</v>
      </c>
      <c r="E14" s="65">
        <f>IFERROR(HistoricalFS!D28,0)</f>
        <v>0.24047814866282863</v>
      </c>
      <c r="F14" s="65">
        <f>IFERROR(HistoricalFS!E28,0)</f>
        <v>0.2196431811309344</v>
      </c>
      <c r="G14" s="65">
        <f>IFERROR(HistoricalFS!F28,0)</f>
        <v>0.211518762872972</v>
      </c>
      <c r="H14" s="65">
        <f>IFERROR(HistoricalFS!G28,0)</f>
        <v>0.24312246197945697</v>
      </c>
      <c r="I14" s="65">
        <f>IFERROR(HistoricalFS!H28,0)</f>
        <v>0.2286646772058763</v>
      </c>
      <c r="J14" s="65">
        <f>IFERROR(HistoricalFS!I28,0)</f>
        <v>0.20863681890343197</v>
      </c>
      <c r="K14" s="65">
        <f>IFERROR(HistoricalFS!J28,0)</f>
        <v>0.20353354591006703</v>
      </c>
      <c r="L14" s="65">
        <f>IFERROR(HistoricalFS!K28,0)</f>
        <v>0.20865083747469171</v>
      </c>
      <c r="M14" s="65">
        <f>IFERROR(HistoricalFS!L28,0)</f>
        <v>0.20689616568709768</v>
      </c>
      <c r="N14" s="105"/>
      <c r="O14" s="65">
        <f>IFERROR(AVERAGE(D14:M14),0)</f>
        <v>0.22179321706468183</v>
      </c>
      <c r="P14" s="65">
        <f>IFERROR(MEDIAN(D14:M14),0)</f>
        <v>0.2155809720019532</v>
      </c>
    </row>
    <row r="15" spans="2:16">
      <c r="B15" s="37" t="s">
        <v>212</v>
      </c>
      <c r="C15" s="37"/>
      <c r="D15" s="38">
        <f>IFERROR(HistoricalFS!C34,0)</f>
        <v>0.16504585012557677</v>
      </c>
      <c r="E15" s="38">
        <f>IFERROR(HistoricalFS!D34,0)</f>
        <v>0.18034088653186239</v>
      </c>
      <c r="F15" s="38">
        <f>IFERROR(HistoricalFS!E34,0)</f>
        <v>0.1515331115814938</v>
      </c>
      <c r="G15" s="38">
        <f>IFERROR(HistoricalFS!F34,0)</f>
        <v>0.15239395975372008</v>
      </c>
      <c r="H15" s="38">
        <f>IFERROR(HistoricalFS!G34,0)</f>
        <v>0.17141094036149376</v>
      </c>
      <c r="I15" s="38">
        <f>IFERROR(HistoricalFS!H34,0)</f>
        <v>0.16319333119589613</v>
      </c>
      <c r="J15" s="38">
        <f>IFERROR(HistoricalFS!I34,0)</f>
        <v>0.14585703870761138</v>
      </c>
      <c r="K15" s="38">
        <f>IFERROR(HistoricalFS!J34,0)</f>
        <v>0.14015097286392919</v>
      </c>
      <c r="L15" s="38">
        <f>IFERROR(HistoricalFS!K34,0)</f>
        <v>0.14203325357383889</v>
      </c>
      <c r="M15" s="38">
        <f>IFERROR(HistoricalFS!L34,0)</f>
        <v>0.14800447802966696</v>
      </c>
      <c r="N15" s="37"/>
      <c r="O15" s="38">
        <f>IFERROR(AVERAGE(D15:M15),0)</f>
        <v>0.15599638227250895</v>
      </c>
      <c r="P15" s="38">
        <f>IFERROR(MEDIAN(D15:M15),0)</f>
        <v>0.15196353566760695</v>
      </c>
    </row>
    <row r="16" spans="2:16">
      <c r="C16" s="105"/>
      <c r="N16" s="105"/>
      <c r="O16" s="65"/>
      <c r="P16" s="65"/>
    </row>
    <row r="17" spans="2:16">
      <c r="B17" s="34" t="s">
        <v>213</v>
      </c>
      <c r="C17" s="34"/>
      <c r="D17" s="36">
        <f>IFERROR(HistoricalFS!C10,0)</f>
        <v>0.65137842415746738</v>
      </c>
      <c r="E17" s="36">
        <f>IFERROR(HistoricalFS!D10,0)</f>
        <v>0.65787981055557132</v>
      </c>
      <c r="F17" s="36">
        <f>IFERROR(HistoricalFS!E10,0)</f>
        <v>0.67065013607499246</v>
      </c>
      <c r="G17" s="36">
        <f>IFERROR(HistoricalFS!F10,0)</f>
        <v>0.68520007489729162</v>
      </c>
      <c r="H17" s="36">
        <f>IFERROR(HistoricalFS!G10,0)</f>
        <v>0.68168245879448996</v>
      </c>
      <c r="I17" s="36">
        <f>IFERROR(HistoricalFS!H10,0)</f>
        <v>0.69728956519594543</v>
      </c>
      <c r="J17" s="36">
        <f>IFERROR(HistoricalFS!I10,0)</f>
        <v>0.71460205632056251</v>
      </c>
      <c r="K17" s="36">
        <f>IFERROR(HistoricalFS!J10,0)</f>
        <v>0.71601483698835167</v>
      </c>
      <c r="L17" s="36">
        <f>IFERROR(HistoricalFS!K10,0)</f>
        <v>0.71528928155101545</v>
      </c>
      <c r="M17" s="36">
        <f>IFERROR(HistoricalFS!L10,0)</f>
        <v>0.71792331374195351</v>
      </c>
      <c r="N17" s="34"/>
      <c r="O17" s="36">
        <f>IFERROR(AVERAGE(D17:M17),0)</f>
        <v>0.69079099582776415</v>
      </c>
      <c r="P17" s="36">
        <f>IFERROR(MEDIAN(D17:M17),0)</f>
        <v>0.69124482004661858</v>
      </c>
    </row>
    <row r="18" spans="2:16">
      <c r="B18" s="105" t="s">
        <v>178</v>
      </c>
      <c r="C18" s="105"/>
      <c r="D18" s="65">
        <f>IFERROR(HistoricalFS!C25,0)</f>
        <v>2.4867122247532271E-2</v>
      </c>
      <c r="E18" s="65">
        <f>IFERROR(HistoricalFS!D25,0)</f>
        <v>2.6417288222115084E-2</v>
      </c>
      <c r="F18" s="65">
        <f>IFERROR(HistoricalFS!E25,0)</f>
        <v>2.4324160870879952E-2</v>
      </c>
      <c r="G18" s="65">
        <f>IFERROR(HistoricalFS!F25,0)</f>
        <v>3.1864391845006661E-2</v>
      </c>
      <c r="H18" s="65">
        <f>IFERROR(HistoricalFS!G25,0)</f>
        <v>3.2516522016084085E-2</v>
      </c>
      <c r="I18" s="65">
        <f>IFERROR(HistoricalFS!H25,0)</f>
        <v>2.8575891352422292E-2</v>
      </c>
      <c r="J18" s="65">
        <f>IFERROR(HistoricalFS!I25,0)</f>
        <v>2.8787125171189708E-2</v>
      </c>
      <c r="K18" s="65">
        <f>IFERROR(HistoricalFS!J25,0)</f>
        <v>3.0441855925034164E-2</v>
      </c>
      <c r="L18" s="65">
        <f>IFERROR(HistoricalFS!K25,0)</f>
        <v>2.9523283637032948E-2</v>
      </c>
      <c r="M18" s="65">
        <f>IFERROR(HistoricalFS!L25,0)</f>
        <v>2.7439126784214944E-2</v>
      </c>
      <c r="N18" s="105"/>
      <c r="O18" s="65">
        <f>IFERROR(AVERAGE(D18:M18),0)</f>
        <v>2.8475676807151205E-2</v>
      </c>
      <c r="P18" s="65">
        <f>IFERROR(MEDIAN(D18:M18),0)</f>
        <v>2.8681508261806002E-2</v>
      </c>
    </row>
    <row r="19" spans="2:16">
      <c r="B19" s="37" t="s">
        <v>214</v>
      </c>
      <c r="C19" s="37"/>
      <c r="D19" s="38">
        <f>IFERROR('Ratio Analysis'!D13,0)</f>
        <v>0.24678757081946148</v>
      </c>
      <c r="E19" s="38">
        <f>IFERROR('Ratio Analysis'!E13,0)</f>
        <v>0.24047814866282863</v>
      </c>
      <c r="F19" s="38">
        <f>IFERROR('Ratio Analysis'!F13,0)</f>
        <v>0.2196431811309344</v>
      </c>
      <c r="G19" s="38">
        <f>IFERROR('Ratio Analysis'!G13,0)</f>
        <v>0.21339119516251612</v>
      </c>
      <c r="H19" s="38">
        <f>IFERROR('Ratio Analysis'!H13,0)</f>
        <v>0.24506330121824987</v>
      </c>
      <c r="I19" s="38">
        <f>IFERROR('Ratio Analysis'!I13,0)</f>
        <v>0.23030885967724699</v>
      </c>
      <c r="J19" s="38">
        <f>IFERROR('Ratio Analysis'!J13,0)</f>
        <v>0.21057185879659596</v>
      </c>
      <c r="K19" s="38">
        <f>IFERROR('Ratio Analysis'!K13,0)</f>
        <v>0.20659204789483959</v>
      </c>
      <c r="L19" s="38">
        <f>IFERROR('Ratio Analysis'!L13,0)</f>
        <v>0.21120314129701209</v>
      </c>
      <c r="M19" s="38">
        <f>IFERROR('Ratio Analysis'!M13,0)</f>
        <v>0.20922474111390987</v>
      </c>
      <c r="N19" s="37"/>
      <c r="O19" s="38">
        <f>IFERROR(AVERAGE(D19:M19),0)</f>
        <v>0.22332640457735947</v>
      </c>
      <c r="P19" s="38">
        <f>IFERROR(MEDIAN(D19:M19),0)</f>
        <v>0.21651718814672527</v>
      </c>
    </row>
    <row r="20" spans="2:16">
      <c r="C20" s="105"/>
      <c r="N20" s="105"/>
      <c r="O20" s="65"/>
      <c r="P20" s="65"/>
    </row>
    <row r="21" spans="2:16">
      <c r="B21" s="34" t="s">
        <v>215</v>
      </c>
      <c r="C21" s="34"/>
      <c r="D21" s="36">
        <f>IFERROR((HistoricalFS!C18-HistoricalFS!C24)/SUM(HistoricalFS!C47:C49),0)</f>
        <v>0.24500594357948449</v>
      </c>
      <c r="E21" s="36">
        <f>IFERROR((HistoricalFS!D18-HistoricalFS!D24)/SUM(HistoricalFS!D47:D49),0)</f>
        <v>0.26121713414352388</v>
      </c>
      <c r="F21" s="36">
        <f>IFERROR((HistoricalFS!E18-HistoricalFS!E24)/SUM(HistoricalFS!E47:E49),0)</f>
        <v>0.27959290509330542</v>
      </c>
      <c r="G21" s="36">
        <f>IFERROR((HistoricalFS!F18-HistoricalFS!F24)/SUM(HistoricalFS!F47:F49),0)</f>
        <v>0.27644364539189248</v>
      </c>
      <c r="H21" s="36">
        <f>IFERROR((HistoricalFS!G18-HistoricalFS!G24)/SUM(HistoricalFS!G47:G49),0)</f>
        <v>0.30145942504530093</v>
      </c>
      <c r="I21" s="36">
        <f>IFERROR((HistoricalFS!H18-HistoricalFS!H24)/SUM(HistoricalFS!H47:H49),0)</f>
        <v>0.34661734138374739</v>
      </c>
      <c r="J21" s="36">
        <f>IFERROR((HistoricalFS!I18-HistoricalFS!I24)/SUM(HistoricalFS!I47:I49),0)</f>
        <v>0.36920889780899818</v>
      </c>
      <c r="K21" s="36">
        <f>IFERROR((HistoricalFS!J18-HistoricalFS!J24)/SUM(HistoricalFS!J47:J49),0)</f>
        <v>0.32906970717802542</v>
      </c>
      <c r="L21" s="36">
        <f>IFERROR((HistoricalFS!K18-HistoricalFS!K24)/SUM(HistoricalFS!K47:K49),0)</f>
        <v>0.33085684079004279</v>
      </c>
      <c r="M21" s="36">
        <f>IFERROR((HistoricalFS!L18-HistoricalFS!L24)/SUM(HistoricalFS!L47:L49),0)</f>
        <v>0.36635041361194964</v>
      </c>
      <c r="N21" s="34"/>
      <c r="O21" s="36">
        <f>IFERROR(AVERAGE(D21:M21),0)</f>
        <v>0.31058222540262709</v>
      </c>
      <c r="P21" s="36">
        <f>IFERROR(MEDIAN(D21:M21),0)</f>
        <v>0.3152645661116632</v>
      </c>
    </row>
    <row r="22" spans="2:16">
      <c r="B22" s="105" t="s">
        <v>216</v>
      </c>
      <c r="C22" s="105"/>
      <c r="D22" s="65">
        <f>IFERROR(HistoricalFS!C44,0)</f>
        <v>0.47875785189772624</v>
      </c>
      <c r="E22" s="65">
        <f>IFERROR(HistoricalFS!D44,0)</f>
        <v>0.25573203333857519</v>
      </c>
      <c r="F22" s="65">
        <f>IFERROR(HistoricalFS!E44,0)</f>
        <v>0.26384897828863341</v>
      </c>
      <c r="G22" s="65">
        <f>IFERROR(HistoricalFS!F44,0)</f>
        <v>0.46321191095692393</v>
      </c>
      <c r="H22" s="65">
        <f>IFERROR(HistoricalFS!G44,0)</f>
        <v>0.33401463244687024</v>
      </c>
      <c r="I22" s="65">
        <f>IFERROR(HistoricalFS!H44,0)</f>
        <v>0.3447383003375144</v>
      </c>
      <c r="J22" s="65">
        <f>IFERROR(HistoricalFS!I44,0)</f>
        <v>0.34277572756574948</v>
      </c>
      <c r="K22" s="65">
        <f>IFERROR(HistoricalFS!J44,0)</f>
        <v>0.1153271114825648</v>
      </c>
      <c r="L22" s="65">
        <f>IFERROR(HistoricalFS!K44,0)</f>
        <v>0.22990064794816423</v>
      </c>
      <c r="M22" s="65">
        <f>IFERROR(HistoricalFS!L44,0)</f>
        <v>0.26514125789493581</v>
      </c>
      <c r="N22" s="105"/>
      <c r="O22" s="65">
        <f>IFERROR(AVERAGE(D22:M22),0)</f>
        <v>0.30934484521576577</v>
      </c>
      <c r="P22" s="65">
        <f>IFERROR(MEDIAN(D22:M22),0)</f>
        <v>0.29957794517090303</v>
      </c>
    </row>
    <row r="23" spans="2:16">
      <c r="B23" s="105" t="s">
        <v>217</v>
      </c>
      <c r="C23" s="105"/>
      <c r="D23" s="65">
        <f>IFERROR(HistoricalFS!C33/SUM(HistoricalFS!C47:C48),0)</f>
        <v>0.16385433881302369</v>
      </c>
      <c r="E23" s="65">
        <f>IFERROR(HistoricalFS!D33/SUM(HistoricalFS!D47:D48),0)</f>
        <v>0.19589359703032824</v>
      </c>
      <c r="F23" s="65">
        <f>IFERROR(HistoricalFS!E33/SUM(HistoricalFS!E47:E48),0)</f>
        <v>0.1928927757590688</v>
      </c>
      <c r="G23" s="65">
        <f>IFERROR(HistoricalFS!F33/SUM(HistoricalFS!F47:F48),0)</f>
        <v>0.21139801375095493</v>
      </c>
      <c r="H23" s="65">
        <f>IFERROR(HistoricalFS!G33/SUM(HistoricalFS!G47:G48),0)</f>
        <v>0.22556351586750664</v>
      </c>
      <c r="I23" s="65">
        <f>IFERROR(HistoricalFS!H33/SUM(HistoricalFS!H47:H48),0)</f>
        <v>0.26345056403450562</v>
      </c>
      <c r="J23" s="65">
        <f>IFERROR(HistoricalFS!I33/SUM(HistoricalFS!I47:I48),0)</f>
        <v>0.28388611136897107</v>
      </c>
      <c r="K23" s="65">
        <f>IFERROR(HistoricalFS!J33/SUM(HistoricalFS!J47:J48),0)</f>
        <v>0.24441645104180854</v>
      </c>
      <c r="L23" s="65">
        <f>IFERROR(HistoricalFS!K33/SUM(HistoricalFS!K47:K48),0)</f>
        <v>0.24160387401114614</v>
      </c>
      <c r="M23" s="65">
        <f>IFERROR(HistoricalFS!L33/SUM(HistoricalFS!L47:L48),0)</f>
        <v>0.28476500236936197</v>
      </c>
      <c r="N23" s="105"/>
      <c r="O23" s="65">
        <f>IFERROR(AVERAGE(D23:M23),0)</f>
        <v>0.23077242440466755</v>
      </c>
      <c r="P23" s="65">
        <f>IFERROR(MEDIAN(D23:M23),0)</f>
        <v>0.2335836949393264</v>
      </c>
    </row>
    <row r="24" spans="2:16">
      <c r="B24" s="105" t="s">
        <v>45</v>
      </c>
      <c r="C24" s="105"/>
      <c r="D24" s="65">
        <f>IFERROR(D22*D23,0)</f>
        <v>7.8446551274245449E-2</v>
      </c>
      <c r="E24" s="65">
        <f>IFERROR(E22*E23,0)</f>
        <v>5.0096267886573315E-2</v>
      </c>
      <c r="F24" s="65">
        <f>IFERROR(F22*F23,0)</f>
        <v>5.0894561803288774E-2</v>
      </c>
      <c r="G24" s="65">
        <f>IFERROR(G22*G23,0)</f>
        <v>9.7922077922077924E-2</v>
      </c>
      <c r="H24" s="65">
        <f>IFERROR(H22*H23,0)</f>
        <v>7.5341514845909008E-2</v>
      </c>
      <c r="I24" s="65">
        <f>IFERROR(I22*I23,0)</f>
        <v>9.0821499668214969E-2</v>
      </c>
      <c r="J24" s="65">
        <f>IFERROR(J22*J23,0)</f>
        <v>9.7309268370310439E-2</v>
      </c>
      <c r="K24" s="65">
        <f>IFERROR(K22*K23,0)</f>
        <v>2.8187843297471496E-2</v>
      </c>
      <c r="L24" s="65">
        <f>IFERROR(L22*L23,0)</f>
        <v>5.554488718194913E-2</v>
      </c>
      <c r="M24" s="65">
        <f>IFERROR(M22*M23,0)</f>
        <v>7.5502950932667012E-2</v>
      </c>
      <c r="N24" s="105"/>
      <c r="O24" s="65">
        <f>IFERROR(AVERAGE(D24:M24),0)</f>
        <v>7.0006742318270754E-2</v>
      </c>
      <c r="P24" s="65">
        <f>IFERROR(MEDIAN(D24:M24),0)</f>
        <v>7.542223288928801E-2</v>
      </c>
    </row>
    <row r="25" spans="2:16">
      <c r="B25" s="37" t="s">
        <v>218</v>
      </c>
      <c r="C25" s="37"/>
      <c r="D25" s="39">
        <f>IFERROR((HistoricalFS!C18-HistoricalFS!C24)/HistoricalFS!C21,0)</f>
        <v>0</v>
      </c>
      <c r="E25" s="39">
        <f>IFERROR((HistoricalFS!D18-HistoricalFS!D24)/HistoricalFS!D21,0)</f>
        <v>0</v>
      </c>
      <c r="F25" s="39">
        <f>IFERROR((HistoricalFS!E18-HistoricalFS!E24)/HistoricalFS!E21,0)</f>
        <v>0</v>
      </c>
      <c r="G25" s="39">
        <f>IFERROR((HistoricalFS!F18-HistoricalFS!F24)/HistoricalFS!F21,0)</f>
        <v>113.96470588235294</v>
      </c>
      <c r="H25" s="39">
        <f>IFERROR((HistoricalFS!G18-HistoricalFS!G24)/HistoricalFS!G21,0)</f>
        <v>126.26666666666667</v>
      </c>
      <c r="I25" s="39">
        <f>IFERROR((HistoricalFS!H18-HistoricalFS!H24)/HistoricalFS!H21,0)</f>
        <v>140.07499999999999</v>
      </c>
      <c r="J25" s="39">
        <f>IFERROR((HistoricalFS!I18-HistoricalFS!I24)/HistoricalFS!I21,0)</f>
        <v>108.82042253521126</v>
      </c>
      <c r="K25" s="39">
        <f>IFERROR((HistoricalFS!J18-HistoricalFS!J24)/HistoricalFS!J21,0)</f>
        <v>67.5468085106383</v>
      </c>
      <c r="L25" s="39">
        <f>IFERROR((HistoricalFS!K18-HistoricalFS!K24)/HistoricalFS!K21,0)</f>
        <v>82.75</v>
      </c>
      <c r="M25" s="39">
        <f>IFERROR((HistoricalFS!L18-HistoricalFS!L24)/HistoricalFS!L21,0)</f>
        <v>89.850961538461533</v>
      </c>
      <c r="N25" s="37"/>
      <c r="O25" s="39">
        <f>IFERROR(AVERAGE(D25:M25),0)</f>
        <v>72.92745651333307</v>
      </c>
      <c r="P25" s="39">
        <f>IFERROR(MEDIAN(D25:M25),0)</f>
        <v>86.300480769230774</v>
      </c>
    </row>
    <row r="26" spans="2:16">
      <c r="C26" s="105"/>
      <c r="N26" s="105"/>
      <c r="O26" s="41"/>
      <c r="P26" s="41"/>
    </row>
    <row r="27" spans="2:16">
      <c r="B27" s="34" t="s">
        <v>219</v>
      </c>
      <c r="C27" s="34"/>
      <c r="D27" s="40">
        <f>IFERROR(HistoricalFS!C6/HistoricalFS!C59,0)</f>
        <v>5.5578639831196233</v>
      </c>
      <c r="E27" s="40">
        <f>IFERROR(HistoricalFS!D6/HistoricalFS!D59,0)</f>
        <v>5.3661543144118093</v>
      </c>
      <c r="F27" s="40">
        <f>IFERROR(HistoricalFS!E6/HistoricalFS!E59,0)</f>
        <v>5.5759762595265396</v>
      </c>
      <c r="G27" s="40">
        <f>IFERROR(HistoricalFS!F6/HistoricalFS!F59,0)</f>
        <v>4.9110726456428839</v>
      </c>
      <c r="H27" s="40">
        <f>IFERROR(HistoricalFS!G6/HistoricalFS!G59,0)</f>
        <v>5.2074219964755883</v>
      </c>
      <c r="I27" s="40">
        <f>IFERROR(HistoricalFS!H6/HistoricalFS!H59,0)</f>
        <v>5.3591065292096216</v>
      </c>
      <c r="J27" s="40">
        <f>IFERROR(HistoricalFS!I6/HistoricalFS!I59,0)</f>
        <v>5.7727737570799249</v>
      </c>
      <c r="K27" s="40">
        <f>IFERROR(HistoricalFS!J6/HistoricalFS!J59,0)</f>
        <v>5.0895903023879709</v>
      </c>
      <c r="L27" s="40">
        <f>IFERROR(HistoricalFS!K6/HistoricalFS!K59,0)</f>
        <v>5.2310803004043906</v>
      </c>
      <c r="M27" s="40">
        <f>IFERROR(HistoricalFS!L6/HistoricalFS!L59,0)</f>
        <v>5.0703865584378729</v>
      </c>
      <c r="N27" s="34"/>
      <c r="O27" s="40">
        <f>IFERROR(AVERAGE(D27:M27),0)</f>
        <v>5.3141426646696228</v>
      </c>
      <c r="P27" s="40">
        <f>IFERROR(MEDIAN(D27:M27),0)</f>
        <v>5.2950934148070061</v>
      </c>
    </row>
    <row r="28" spans="2:16">
      <c r="B28" s="105" t="s">
        <v>220</v>
      </c>
      <c r="C28" s="105"/>
      <c r="D28" s="41">
        <f>IFERROR(HistoricalFS!C6/HistoricalFS!C50,0)</f>
        <v>4.8343922066920797</v>
      </c>
      <c r="E28" s="41">
        <f>IFERROR(HistoricalFS!D6/HistoricalFS!D50,0)</f>
        <v>4.8885345903230277</v>
      </c>
      <c r="F28" s="41">
        <f>IFERROR(HistoricalFS!E6/HistoricalFS!E50,0)</f>
        <v>4.3244586253792239</v>
      </c>
      <c r="G28" s="41">
        <f>IFERROR(HistoricalFS!F6/HistoricalFS!F50,0)</f>
        <v>4.1806418934475298</v>
      </c>
      <c r="H28" s="41">
        <f>IFERROR(HistoricalFS!G6/HistoricalFS!G50,0)</f>
        <v>3.8889878072382427</v>
      </c>
      <c r="I28" s="41">
        <f>IFERROR(HistoricalFS!H6/HistoricalFS!H50,0)</f>
        <v>3.3878568444506336</v>
      </c>
      <c r="J28" s="41">
        <f>IFERROR(HistoricalFS!I6/HistoricalFS!I50,0)</f>
        <v>3.5893127904133042</v>
      </c>
      <c r="K28" s="41">
        <f>IFERROR(HistoricalFS!J6/HistoricalFS!J50,0)</f>
        <v>3.8859527121001389</v>
      </c>
      <c r="L28" s="41">
        <f>IFERROR(HistoricalFS!K6/HistoricalFS!K50,0)</f>
        <v>3.7254857142857141</v>
      </c>
      <c r="M28" s="41">
        <f>IFERROR(HistoricalFS!L6/HistoricalFS!L50,0)</f>
        <v>3.4184845005740527</v>
      </c>
      <c r="N28" s="105"/>
      <c r="O28" s="41">
        <f>IFERROR(AVERAGE(D28:M28),0)</f>
        <v>4.0124107684903949</v>
      </c>
      <c r="P28" s="41">
        <f>IFERROR(MEDIAN(D28:M28),0)</f>
        <v>3.8874702596691906</v>
      </c>
    </row>
    <row r="29" spans="2:16">
      <c r="B29" s="105" t="s">
        <v>221</v>
      </c>
      <c r="C29" s="105"/>
      <c r="D29" s="41">
        <f>IFERROR(HistoricalFS!C6/HistoricalFS!C60,0)</f>
        <v>0</v>
      </c>
      <c r="E29" s="41">
        <f>IFERROR(HistoricalFS!D6/HistoricalFS!D60,0)</f>
        <v>0</v>
      </c>
      <c r="F29" s="41">
        <f>IFERROR(HistoricalFS!E6/HistoricalFS!E60,0)</f>
        <v>0</v>
      </c>
      <c r="G29" s="41">
        <f>IFERROR(HistoricalFS!F6/HistoricalFS!F60,0)</f>
        <v>0</v>
      </c>
      <c r="H29" s="41">
        <f>IFERROR(HistoricalFS!G6/HistoricalFS!G60,0)</f>
        <v>0</v>
      </c>
      <c r="I29" s="41">
        <f>IFERROR(HistoricalFS!H6/HistoricalFS!H60,0)</f>
        <v>0</v>
      </c>
      <c r="J29" s="41">
        <f>IFERROR(HistoricalFS!I6/HistoricalFS!I60,0)</f>
        <v>0</v>
      </c>
      <c r="K29" s="41">
        <f>IFERROR(HistoricalFS!J6/HistoricalFS!J60,0)</f>
        <v>0</v>
      </c>
      <c r="L29" s="41">
        <f>IFERROR(HistoricalFS!K6/HistoricalFS!K60,0)</f>
        <v>0</v>
      </c>
      <c r="M29" s="41">
        <f>IFERROR(HistoricalFS!L6/HistoricalFS!L60,0)</f>
        <v>0</v>
      </c>
      <c r="N29" s="105"/>
      <c r="O29" s="41">
        <f>IFERROR(AVERAGE(D29:M29),0)</f>
        <v>0</v>
      </c>
      <c r="P29" s="41">
        <f>IFERROR(MEDIAN(D29:M29),0)</f>
        <v>0</v>
      </c>
    </row>
    <row r="30" spans="2:16">
      <c r="B30" s="105" t="s">
        <v>222</v>
      </c>
      <c r="C30" s="105"/>
      <c r="D30" s="41">
        <f>IFERROR(HistoricalFS!C6/HistoricalFS!C53,0)</f>
        <v>4.8299597997037873</v>
      </c>
      <c r="E30" s="41">
        <f>IFERROR(HistoricalFS!D6/HistoricalFS!D53,0)</f>
        <v>5.6085573405439799</v>
      </c>
      <c r="F30" s="41">
        <f>IFERROR(HistoricalFS!E6/HistoricalFS!E53,0)</f>
        <v>5.2625716104392106</v>
      </c>
      <c r="G30" s="41">
        <f>IFERROR(HistoricalFS!F6/HistoricalFS!F53,0)</f>
        <v>3.8165118332002188</v>
      </c>
      <c r="H30" s="41">
        <f>IFERROR(HistoricalFS!G6/HistoricalFS!G53,0)</f>
        <v>3.9393060184277591</v>
      </c>
      <c r="I30" s="41">
        <f>IFERROR(HistoricalFS!H6/HistoricalFS!H53,0)</f>
        <v>4.7147674418604648</v>
      </c>
      <c r="J30" s="41">
        <f>IFERROR(HistoricalFS!I6/HistoricalFS!I53,0)</f>
        <v>5.0219674935842598</v>
      </c>
      <c r="K30" s="41">
        <f>IFERROR(HistoricalFS!J6/HistoricalFS!J53,0)</f>
        <v>5.5633190934762142</v>
      </c>
      <c r="L30" s="41">
        <f>IFERROR(HistoricalFS!K6/HistoricalFS!K53,0)</f>
        <v>5.2643648460967025</v>
      </c>
      <c r="M30" s="41">
        <f>IFERROR(HistoricalFS!L6/HistoricalFS!L53,0)</f>
        <v>5.2901984009475864</v>
      </c>
      <c r="N30" s="105"/>
      <c r="O30" s="41">
        <f>IFERROR(AVERAGE(D30:M30),0)</f>
        <v>4.9311523878280195</v>
      </c>
      <c r="P30" s="41">
        <f>IFERROR(MEDIAN(D30:M30),0)</f>
        <v>5.1422695520117347</v>
      </c>
    </row>
    <row r="31" spans="2:16">
      <c r="B31" s="37" t="s">
        <v>223</v>
      </c>
      <c r="C31" s="37"/>
      <c r="D31" s="39">
        <f>IFERROR(HistoricalFS!C6/SUM(HistoricalFS!C47:C48),0)</f>
        <v>0.99278072540662776</v>
      </c>
      <c r="E31" s="39">
        <f>IFERROR(HistoricalFS!D6/SUM(HistoricalFS!D47:D48),0)</f>
        <v>1.0862406235078477</v>
      </c>
      <c r="F31" s="39">
        <f>IFERROR(HistoricalFS!E6/SUM(HistoricalFS!E47:E48),0)</f>
        <v>1.2729414300671307</v>
      </c>
      <c r="G31" s="39">
        <f>IFERROR(HistoricalFS!F6/SUM(HistoricalFS!F47:F48),0)</f>
        <v>1.3871810542398777</v>
      </c>
      <c r="H31" s="39">
        <f>IFERROR(HistoricalFS!G6/SUM(HistoricalFS!G47:G48),0)</f>
        <v>1.3159225157496299</v>
      </c>
      <c r="I31" s="39">
        <f>IFERROR(HistoricalFS!H6/SUM(HistoricalFS!H47:H48),0)</f>
        <v>1.6143463835434639</v>
      </c>
      <c r="J31" s="39">
        <f>IFERROR(HistoricalFS!I6/SUM(HistoricalFS!I47:I48),0)</f>
        <v>1.9463312424575967</v>
      </c>
      <c r="K31" s="39">
        <f>IFERROR(HistoricalFS!J6/SUM(HistoricalFS!J47:J48),0)</f>
        <v>1.7439511552952927</v>
      </c>
      <c r="L31" s="39">
        <f>IFERROR(HistoricalFS!K6/SUM(HistoricalFS!K47:K48),0)</f>
        <v>1.701037383372644</v>
      </c>
      <c r="M31" s="39">
        <f>IFERROR(HistoricalFS!L6/SUM(HistoricalFS!L47:L48),0)</f>
        <v>1.9240296385645974</v>
      </c>
      <c r="N31" s="37"/>
      <c r="O31" s="39">
        <f>IFERROR(AVERAGE(D31:M31),0)</f>
        <v>1.4984762152204707</v>
      </c>
      <c r="P31" s="39">
        <f>IFERROR(MEDIAN(D31:M31),0)</f>
        <v>1.5007637188916707</v>
      </c>
    </row>
    <row r="32" spans="2:16">
      <c r="C32" s="105"/>
      <c r="N32" s="105"/>
      <c r="O32" s="41"/>
      <c r="P32" s="41"/>
    </row>
    <row r="33" spans="2:16">
      <c r="C33" s="105"/>
      <c r="N33" s="105"/>
      <c r="O33" s="41"/>
      <c r="P33" s="41"/>
    </row>
    <row r="34" spans="2:16">
      <c r="B34" s="34" t="s">
        <v>224</v>
      </c>
      <c r="C34" s="34"/>
      <c r="D34" s="42">
        <f>IFERROR(365/D27,0)</f>
        <v>65.672711874306415</v>
      </c>
      <c r="E34" s="42">
        <f>IFERROR(365/E27,0)</f>
        <v>68.018916082924477</v>
      </c>
      <c r="F34" s="42">
        <f>IFERROR(365/F27,0)</f>
        <v>65.459389174478375</v>
      </c>
      <c r="G34" s="42">
        <f>IFERROR(365/G27,0)</f>
        <v>74.321849081957467</v>
      </c>
      <c r="H34" s="42">
        <f>IFERROR(365/H27,0)</f>
        <v>70.092264511505689</v>
      </c>
      <c r="I34" s="42">
        <f>IFERROR(365/I27,0)</f>
        <v>68.108368066688044</v>
      </c>
      <c r="J34" s="42">
        <f>IFERROR(365/J27,0)</f>
        <v>63.227837320378555</v>
      </c>
      <c r="K34" s="42">
        <f>IFERROR(365/K27,0)</f>
        <v>71.715006182078483</v>
      </c>
      <c r="L34" s="42">
        <f>IFERROR(365/L27,0)</f>
        <v>69.775262286029815</v>
      </c>
      <c r="M34" s="42">
        <f>IFERROR(365/M27,0)</f>
        <v>71.986621886369988</v>
      </c>
      <c r="N34" s="34"/>
      <c r="O34" s="42">
        <f>IFERROR(AVERAGE(D34:M34),0)</f>
        <v>68.837822646671739</v>
      </c>
      <c r="P34" s="42">
        <f>IFERROR(MEDIAN(D34:M34),0)</f>
        <v>68.941815176358929</v>
      </c>
    </row>
    <row r="35" spans="2:16">
      <c r="B35" s="105" t="s">
        <v>225</v>
      </c>
      <c r="C35" s="105"/>
      <c r="D35" s="104">
        <f>IFERROR(365/D28,0)</f>
        <v>75.50070089363939</v>
      </c>
      <c r="E35" s="104">
        <f>IFERROR(365/E28,0)</f>
        <v>74.664501857576354</v>
      </c>
      <c r="F35" s="104">
        <f>IFERROR(365/F28,0)</f>
        <v>84.403628666465067</v>
      </c>
      <c r="G35" s="104">
        <f>IFERROR(365/G28,0)</f>
        <v>87.307167009945914</v>
      </c>
      <c r="H35" s="104">
        <f>IFERROR(365/H28,0)</f>
        <v>93.854755553786134</v>
      </c>
      <c r="I35" s="104">
        <f>IFERROR(365/I28,0)</f>
        <v>107.73772823307931</v>
      </c>
      <c r="J35" s="104">
        <f>IFERROR(365/J28,0)</f>
        <v>101.69077517425579</v>
      </c>
      <c r="K35" s="104">
        <f>IFERROR(365/K28,0)</f>
        <v>93.928060128847534</v>
      </c>
      <c r="L35" s="104">
        <f>IFERROR(365/L28,0)</f>
        <v>97.973802073746867</v>
      </c>
      <c r="M35" s="104">
        <f>IFERROR(365/M28,0)</f>
        <v>106.77246011754828</v>
      </c>
      <c r="N35" s="105"/>
      <c r="O35" s="104">
        <f>IFERROR(AVERAGE(D35:M35),0)</f>
        <v>92.38335797088908</v>
      </c>
      <c r="P35" s="104">
        <f>IFERROR(MEDIAN(D35:M35),0)</f>
        <v>93.891407841316834</v>
      </c>
    </row>
    <row r="36" spans="2:16">
      <c r="B36" s="105" t="s">
        <v>226</v>
      </c>
      <c r="C36" s="105"/>
      <c r="D36" s="104">
        <f>IFERROR(365/D29,0)</f>
        <v>0</v>
      </c>
      <c r="E36" s="104">
        <f>IFERROR(365/E29,0)</f>
        <v>0</v>
      </c>
      <c r="F36" s="104">
        <f>IFERROR(365/F29,0)</f>
        <v>0</v>
      </c>
      <c r="G36" s="104">
        <f>IFERROR(365/G29,0)</f>
        <v>0</v>
      </c>
      <c r="H36" s="104">
        <f>IFERROR(365/H29,0)</f>
        <v>0</v>
      </c>
      <c r="I36" s="104">
        <f>IFERROR(365/I29,0)</f>
        <v>0</v>
      </c>
      <c r="J36" s="104">
        <f>IFERROR(365/J29,0)</f>
        <v>0</v>
      </c>
      <c r="K36" s="104">
        <f>IFERROR(365/K29,0)</f>
        <v>0</v>
      </c>
      <c r="L36" s="104">
        <f>IFERROR(365/L29,0)</f>
        <v>0</v>
      </c>
      <c r="M36" s="104">
        <f>IFERROR(365/M29,0)</f>
        <v>0</v>
      </c>
      <c r="N36" s="105"/>
      <c r="O36" s="104">
        <f>IFERROR(AVERAGE(D36:M36),0)</f>
        <v>0</v>
      </c>
      <c r="P36" s="104">
        <f>IFERROR(MEDIAN(D36:M36),0)</f>
        <v>0</v>
      </c>
    </row>
    <row r="37" spans="2:16">
      <c r="B37" s="37" t="s">
        <v>227</v>
      </c>
      <c r="C37" s="37"/>
      <c r="D37" s="43">
        <f>D34+D36-D35</f>
        <v>-9.8279890193329749</v>
      </c>
      <c r="E37" s="43">
        <f>E34+E36-E35</f>
        <v>-6.6455857746518774</v>
      </c>
      <c r="F37" s="43">
        <f>F34+F36-F35</f>
        <v>-18.944239491986693</v>
      </c>
      <c r="G37" s="43">
        <f>G34+G36-G35</f>
        <v>-12.985317927988447</v>
      </c>
      <c r="H37" s="43">
        <f>H34+H36-H35</f>
        <v>-23.762491042280445</v>
      </c>
      <c r="I37" s="43">
        <f>I34+I36-I35</f>
        <v>-39.629360166391265</v>
      </c>
      <c r="J37" s="43">
        <f>J34+J36-J35</f>
        <v>-38.462937853877236</v>
      </c>
      <c r="K37" s="43">
        <f>K34+K36-K35</f>
        <v>-22.213053946769051</v>
      </c>
      <c r="L37" s="43">
        <f>L34+L36-L35</f>
        <v>-28.198539787717053</v>
      </c>
      <c r="M37" s="43">
        <f>M34+M36-M35</f>
        <v>-34.785838231178289</v>
      </c>
      <c r="N37" s="37"/>
      <c r="O37" s="43">
        <f>IFERROR(AVERAGE(D37:M37),0)</f>
        <v>-23.545535324217333</v>
      </c>
      <c r="P37" s="43">
        <f>IFERROR(MEDIAN(D37:M37),0)</f>
        <v>-22.987772494524748</v>
      </c>
    </row>
    <row r="38" spans="2:16">
      <c r="C38" s="105"/>
      <c r="N38" s="105"/>
      <c r="O38" s="41"/>
      <c r="P38" s="41"/>
    </row>
    <row r="39" spans="2:16">
      <c r="B39" s="34" t="s">
        <v>228</v>
      </c>
      <c r="C39" s="34"/>
      <c r="D39" s="36">
        <f>IFERROR(HistoricalFS!C76/HistoricalFS!C6,0)</f>
        <v>0.16837509491268032</v>
      </c>
      <c r="E39" s="36">
        <f>IFERROR(HistoricalFS!D76/HistoricalFS!D6,0)</f>
        <v>0.18743087263548963</v>
      </c>
      <c r="F39" s="36">
        <f>IFERROR(HistoricalFS!E76/HistoricalFS!E6,0)</f>
        <v>0.179510130027215</v>
      </c>
      <c r="G39" s="36">
        <f>IFERROR(HistoricalFS!F76/HistoricalFS!F6,0)</f>
        <v>0.18727627187716844</v>
      </c>
      <c r="H39" s="36">
        <f>IFERROR(HistoricalFS!G76/HistoricalFS!G6,0)</f>
        <v>0.23114897682936539</v>
      </c>
      <c r="I39" s="36">
        <f>IFERROR(HistoricalFS!H76/HistoricalFS!H6,0)</f>
        <v>0.1963564916434426</v>
      </c>
      <c r="J39" s="36">
        <f>IFERROR(HistoricalFS!I76/HistoricalFS!I6,0)</f>
        <v>0.15307937070322347</v>
      </c>
      <c r="K39" s="36">
        <f>IFERROR(HistoricalFS!J76/HistoricalFS!J6,0)</f>
        <v>0.16405284050237523</v>
      </c>
      <c r="L39" s="36">
        <f>IFERROR(HistoricalFS!K76/HistoricalFS!K6,0)</f>
        <v>0.21899503036996135</v>
      </c>
      <c r="M39" s="36">
        <f>IFERROR(HistoricalFS!L76/HistoricalFS!L6,0)</f>
        <v>0.19023789532605653</v>
      </c>
      <c r="N39" s="34"/>
      <c r="O39" s="36">
        <f>IFERROR(AVERAGE(D39:M39),0)</f>
        <v>0.18764629748269779</v>
      </c>
      <c r="P39" s="36">
        <f>IFERROR(MEDIAN(D39:M39),0)</f>
        <v>0.18735357225632904</v>
      </c>
    </row>
    <row r="40" spans="2:16">
      <c r="B40" s="105" t="s">
        <v>229</v>
      </c>
      <c r="C40" s="105"/>
      <c r="D40" s="65">
        <f>IFERROR(HistoricalFS!C76/HistoricalFS!C64,0)</f>
        <v>0.13868042526579111</v>
      </c>
      <c r="E40" s="65">
        <f>IFERROR(HistoricalFS!D76/HistoricalFS!D64,0)</f>
        <v>0.16658054921927182</v>
      </c>
      <c r="F40" s="65">
        <f>IFERROR(HistoricalFS!E76/HistoricalFS!E64,0)</f>
        <v>0.17653986153736351</v>
      </c>
      <c r="G40" s="65">
        <f>IFERROR(HistoricalFS!F76/HistoricalFS!F64,0)</f>
        <v>0.18521786492374728</v>
      </c>
      <c r="H40" s="65">
        <f>IFERROR(HistoricalFS!G76/HistoricalFS!G64,0)</f>
        <v>0.21601510543107216</v>
      </c>
      <c r="I40" s="65">
        <f>IFERROR(HistoricalFS!H76/HistoricalFS!H64,0)</f>
        <v>0.20461924628841163</v>
      </c>
      <c r="J40" s="65">
        <f>IFERROR(HistoricalFS!I76/HistoricalFS!I64,0)</f>
        <v>0.18031879033034767</v>
      </c>
      <c r="K40" s="65">
        <f>IFERROR(HistoricalFS!J76/HistoricalFS!J64,0)</f>
        <v>0.18534039111895309</v>
      </c>
      <c r="L40" s="65">
        <f>IFERROR(HistoricalFS!K76/HistoricalFS!K64,0)</f>
        <v>0.24151019993910483</v>
      </c>
      <c r="M40" s="65">
        <f>IFERROR(HistoricalFS!L76/HistoricalFS!L64,0)</f>
        <v>0.22027636627605518</v>
      </c>
      <c r="N40" s="105"/>
      <c r="O40" s="65">
        <f>IFERROR(AVERAGE(D40:M40),0)</f>
        <v>0.19150988003301184</v>
      </c>
      <c r="P40" s="65">
        <f>IFERROR(MEDIAN(D40:M40),0)</f>
        <v>0.18527912802135019</v>
      </c>
    </row>
    <row r="41" spans="2:16">
      <c r="B41" s="37" t="s">
        <v>230</v>
      </c>
      <c r="C41" s="37"/>
      <c r="D41" s="38">
        <f>IFERROR(HistoricalFS!C76/HistoricalFS!C49,0)</f>
        <v>0</v>
      </c>
      <c r="E41" s="38">
        <f>IFERROR(HistoricalFS!D76/HistoricalFS!D49,0)</f>
        <v>0</v>
      </c>
      <c r="F41" s="38">
        <f>IFERROR(HistoricalFS!E76/HistoricalFS!E49,0)</f>
        <v>0</v>
      </c>
      <c r="G41" s="38">
        <f>IFERROR(HistoricalFS!F76/HistoricalFS!F49,0)</f>
        <v>3.6699762572846968</v>
      </c>
      <c r="H41" s="38">
        <f>IFERROR(HistoricalFS!G76/HistoricalFS!G49,0)</f>
        <v>4.36131455399061</v>
      </c>
      <c r="I41" s="38">
        <f>IFERROR(HistoricalFS!H76/HistoricalFS!H49,0)</f>
        <v>4.3633540372670812</v>
      </c>
      <c r="J41" s="38">
        <f>IFERROR(HistoricalFS!I76/HistoricalFS!I49,0)</f>
        <v>2.7071936377876851</v>
      </c>
      <c r="K41" s="38">
        <f>IFERROR(HistoricalFS!J76/HistoricalFS!J49,0)</f>
        <v>3.0159109941380549</v>
      </c>
      <c r="L41" s="38">
        <f>IFERROR(HistoricalFS!K76/HistoricalFS!K49,0)</f>
        <v>4.3386410599246386</v>
      </c>
      <c r="M41" s="38">
        <f>IFERROR(HistoricalFS!L76/HistoricalFS!L49,0)</f>
        <v>3.7037925021795988</v>
      </c>
      <c r="N41" s="37"/>
      <c r="O41" s="38">
        <f>IFERROR(AVERAGE(D41:M41),0)</f>
        <v>2.6160183042572367</v>
      </c>
      <c r="P41" s="38">
        <f>IFERROR(MEDIAN(D41:M41),0)</f>
        <v>3.342943625711376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94CDE-7792-4BA9-8345-351C556736A4}">
  <dimension ref="A3:XEW136"/>
  <sheetViews>
    <sheetView showGridLines="0" topLeftCell="A94" workbookViewId="0">
      <selection activeCell="C99" sqref="C99"/>
    </sheetView>
  </sheetViews>
  <sheetFormatPr defaultRowHeight="15"/>
  <cols>
    <col min="2" max="2" width="38.7109375" customWidth="1"/>
    <col min="3" max="3" width="12.5703125" customWidth="1"/>
    <col min="4" max="9" width="11.5703125" bestFit="1" customWidth="1"/>
  </cols>
  <sheetData>
    <row r="3" spans="2:10">
      <c r="B3" s="174" t="s">
        <v>231</v>
      </c>
      <c r="C3" s="182" t="s">
        <v>232</v>
      </c>
      <c r="D3" s="183" t="s">
        <v>233</v>
      </c>
      <c r="E3" s="183" t="s">
        <v>234</v>
      </c>
      <c r="F3" s="183" t="s">
        <v>235</v>
      </c>
      <c r="G3" s="183" t="s">
        <v>236</v>
      </c>
      <c r="H3" s="183" t="s">
        <v>237</v>
      </c>
      <c r="I3" s="183" t="s">
        <v>238</v>
      </c>
      <c r="J3" s="105"/>
    </row>
    <row r="4" spans="2:10">
      <c r="B4" s="168" t="s">
        <v>239</v>
      </c>
      <c r="C4" s="178">
        <f>HistoricalFS!K7</f>
        <v>6.0649443612936782E-2</v>
      </c>
      <c r="D4" s="178">
        <f>HistoricalFS!L7</f>
        <v>9.6079514080618544E-2</v>
      </c>
      <c r="E4" s="169">
        <f>AVERAGE(C4:D4)</f>
        <v>7.8364478846777663E-2</v>
      </c>
      <c r="F4" s="169">
        <f t="shared" ref="F4:I4" si="0">AVERAGE(D4:E4)</f>
        <v>8.7221996463698104E-2</v>
      </c>
      <c r="G4" s="169">
        <f t="shared" si="0"/>
        <v>8.2793237655237883E-2</v>
      </c>
      <c r="H4" s="169">
        <f t="shared" si="0"/>
        <v>8.5007617059467994E-2</v>
      </c>
      <c r="I4" s="169">
        <f t="shared" si="0"/>
        <v>8.3900427357352939E-2</v>
      </c>
      <c r="J4" s="105"/>
    </row>
    <row r="5" spans="2:10">
      <c r="B5" s="168" t="s">
        <v>240</v>
      </c>
      <c r="C5" s="178">
        <f>HistoricalFS!K10</f>
        <v>0.71528928155101545</v>
      </c>
      <c r="D5" s="178">
        <f>HistoricalFS!L10</f>
        <v>0.71792331374195351</v>
      </c>
      <c r="E5" s="169">
        <v>0.71499999999999997</v>
      </c>
      <c r="F5" s="169">
        <v>0.71299999999999997</v>
      </c>
      <c r="G5" s="169">
        <v>0.71099999999999997</v>
      </c>
      <c r="H5" s="169">
        <v>0.70899999999999996</v>
      </c>
      <c r="I5" s="169">
        <v>0.70699999999999996</v>
      </c>
      <c r="J5" s="105"/>
    </row>
    <row r="6" spans="2:10">
      <c r="B6" s="168" t="s">
        <v>241</v>
      </c>
      <c r="C6" s="178">
        <f>HistoricalFS!K16</f>
        <v>4.3984293514939564E-2</v>
      </c>
      <c r="D6" s="178">
        <f>HistoricalFS!L16</f>
        <v>4.5412818359921635E-2</v>
      </c>
      <c r="E6" s="169">
        <v>4.5400000000000003E-2</v>
      </c>
      <c r="F6" s="169">
        <v>4.5400000000000003E-2</v>
      </c>
      <c r="G6" s="169">
        <v>4.5400000000000003E-2</v>
      </c>
      <c r="H6" s="169">
        <v>4.5400000000000003E-2</v>
      </c>
      <c r="I6" s="169">
        <v>4.5400000000000003E-2</v>
      </c>
      <c r="J6" s="105"/>
    </row>
    <row r="7" spans="2:10">
      <c r="B7" s="168" t="s">
        <v>242</v>
      </c>
      <c r="C7" s="178">
        <f>HistoricalFS!K25</f>
        <v>2.9523283637032948E-2</v>
      </c>
      <c r="D7" s="178">
        <f>HistoricalFS!L25</f>
        <v>2.7439126784214944E-2</v>
      </c>
      <c r="E7" s="169">
        <v>2.75E-2</v>
      </c>
      <c r="F7" s="169">
        <v>2.75E-2</v>
      </c>
      <c r="G7" s="169">
        <v>2.75E-2</v>
      </c>
      <c r="H7" s="169">
        <v>2.75E-2</v>
      </c>
      <c r="I7" s="169">
        <v>2.75E-2</v>
      </c>
      <c r="J7" s="105"/>
    </row>
    <row r="8" spans="2:10">
      <c r="B8" s="168" t="s">
        <v>243</v>
      </c>
      <c r="C8" s="178">
        <f>HistoricalFS!K31</f>
        <v>0.31927781698423902</v>
      </c>
      <c r="D8" s="178">
        <f>HistoricalFS!L31</f>
        <v>0.28464368811211516</v>
      </c>
      <c r="E8" s="169">
        <v>0.27500000000000002</v>
      </c>
      <c r="F8" s="169">
        <v>0.27500000000000002</v>
      </c>
      <c r="G8" s="169">
        <v>0.27500000000000002</v>
      </c>
      <c r="H8" s="169">
        <v>0.27500000000000002</v>
      </c>
      <c r="I8" s="169">
        <v>0.27500000000000002</v>
      </c>
      <c r="J8" s="105"/>
    </row>
    <row r="9" spans="2:10">
      <c r="B9" s="168" t="s">
        <v>244</v>
      </c>
      <c r="C9" s="178">
        <f>HistoricalFS!K21/AVERAGE(HistoricalFS!J49:K49)</f>
        <v>5.0162787893404073E-2</v>
      </c>
      <c r="D9" s="178">
        <f>HistoricalFS!L21/AVERAGE(HistoricalFS!K49:L49)</f>
        <v>4.7807849221398607E-2</v>
      </c>
      <c r="E9" s="169">
        <v>0.05</v>
      </c>
      <c r="F9" s="169">
        <v>0.05</v>
      </c>
      <c r="G9" s="169">
        <v>0.05</v>
      </c>
      <c r="H9" s="169">
        <v>0.05</v>
      </c>
      <c r="I9" s="169">
        <v>0.05</v>
      </c>
      <c r="J9" s="105"/>
    </row>
    <row r="10" spans="2:10">
      <c r="B10" s="168" t="s">
        <v>245</v>
      </c>
      <c r="C10" s="178">
        <f>-(HistoricalFS!K79/HistoricalFS!K6)</f>
        <v>1.3724768390698815E-2</v>
      </c>
      <c r="D10" s="178">
        <f>-(HistoricalFS!L79/HistoricalFS!L6)</f>
        <v>1.5264483627204031E-2</v>
      </c>
      <c r="E10" s="169">
        <v>1.7999999999999999E-2</v>
      </c>
      <c r="F10" s="169">
        <v>1.7999999999999999E-2</v>
      </c>
      <c r="G10" s="169">
        <v>1.7999999999999999E-2</v>
      </c>
      <c r="H10" s="169">
        <v>1.7999999999999999E-2</v>
      </c>
      <c r="I10" s="169">
        <v>1.7999999999999999E-2</v>
      </c>
      <c r="J10" s="105"/>
    </row>
    <row r="11" spans="2:10">
      <c r="B11" s="168" t="s">
        <v>246</v>
      </c>
      <c r="C11" s="184">
        <f>'Ratio Analysis'!L34</f>
        <v>69.775262286029815</v>
      </c>
      <c r="D11" s="184">
        <f>'Ratio Analysis'!M34</f>
        <v>71.986621886369988</v>
      </c>
      <c r="E11" s="170">
        <v>71</v>
      </c>
      <c r="F11" s="170">
        <v>70</v>
      </c>
      <c r="G11" s="170">
        <v>70</v>
      </c>
      <c r="H11" s="170">
        <v>69</v>
      </c>
      <c r="I11" s="170">
        <v>69</v>
      </c>
      <c r="J11" s="105"/>
    </row>
    <row r="12" spans="2:10">
      <c r="B12" s="168" t="s">
        <v>247</v>
      </c>
      <c r="C12" s="178">
        <f>HistoricalFS!K50/HistoricalFS!K6</f>
        <v>0.26842137554451195</v>
      </c>
      <c r="D12" s="178">
        <f>HistoricalFS!L50/HistoricalFS!L6</f>
        <v>0.29252728799328298</v>
      </c>
      <c r="E12" s="169">
        <v>0.28999999999999998</v>
      </c>
      <c r="F12" s="169">
        <v>0.28999999999999998</v>
      </c>
      <c r="G12" s="169">
        <v>0.28999999999999998</v>
      </c>
      <c r="H12" s="169">
        <v>0.28999999999999998</v>
      </c>
      <c r="I12" s="169">
        <v>0.28999999999999998</v>
      </c>
      <c r="J12" s="105"/>
    </row>
    <row r="13" spans="2:10">
      <c r="B13" s="168" t="s">
        <v>248</v>
      </c>
      <c r="C13" s="178">
        <f>HistoricalFS!K54/HistoricalFS!K6</f>
        <v>4.9941714215596053E-3</v>
      </c>
      <c r="D13" s="178">
        <f>HistoricalFS!L54/HistoricalFS!L6</f>
        <v>2.9443045060173522E-3</v>
      </c>
      <c r="E13" s="169">
        <v>3.0000000000000001E-3</v>
      </c>
      <c r="F13" s="169">
        <v>3.0000000000000001E-3</v>
      </c>
      <c r="G13" s="169">
        <v>3.0000000000000001E-3</v>
      </c>
      <c r="H13" s="169">
        <v>3.0000000000000001E-3</v>
      </c>
      <c r="I13" s="169">
        <v>3.0000000000000001E-3</v>
      </c>
      <c r="J13" s="105"/>
    </row>
    <row r="14" spans="2:10">
      <c r="B14" s="168" t="s">
        <v>249</v>
      </c>
      <c r="C14" s="178">
        <f>HistoricalFS!K55/HistoricalFS!K6</f>
        <v>0.14443217375299097</v>
      </c>
      <c r="D14" s="178">
        <f>HistoricalFS!L55/HistoricalFS!L6</f>
        <v>0.12247411139098796</v>
      </c>
      <c r="E14" s="169">
        <v>0.122</v>
      </c>
      <c r="F14" s="169">
        <v>0.122</v>
      </c>
      <c r="G14" s="169">
        <v>0.122</v>
      </c>
      <c r="H14" s="169">
        <v>0.122</v>
      </c>
      <c r="I14" s="169">
        <v>0.122</v>
      </c>
      <c r="J14" s="105"/>
    </row>
    <row r="15" spans="2:10">
      <c r="B15" s="168" t="s">
        <v>250</v>
      </c>
      <c r="C15" s="178">
        <f>HistoricalFS!K56/HistoricalFS!K6</f>
        <v>0.2261856555616909</v>
      </c>
      <c r="D15" s="178">
        <f>HistoricalFS!L56/HistoricalFS!L6</f>
        <v>0.22769101595298069</v>
      </c>
      <c r="E15" s="169">
        <v>0.22800000000000001</v>
      </c>
      <c r="F15" s="169">
        <v>0.22800000000000001</v>
      </c>
      <c r="G15" s="169">
        <v>0.22800000000000001</v>
      </c>
      <c r="H15" s="169">
        <v>0.22800000000000001</v>
      </c>
      <c r="I15" s="169">
        <v>0.22800000000000001</v>
      </c>
      <c r="J15" s="105"/>
    </row>
    <row r="16" spans="2:10">
      <c r="B16" s="168" t="s">
        <v>251</v>
      </c>
      <c r="C16" s="178">
        <f>HistoricalFS!K42</f>
        <v>0.77009935205183577</v>
      </c>
      <c r="D16" s="178">
        <f>HistoricalFS!L42</f>
        <v>0.73485874210506419</v>
      </c>
      <c r="E16" s="169">
        <v>0.73</v>
      </c>
      <c r="F16" s="169">
        <v>0.73</v>
      </c>
      <c r="G16" s="169">
        <v>0.73</v>
      </c>
      <c r="H16" s="169">
        <v>0.73</v>
      </c>
      <c r="I16" s="169">
        <v>0.73</v>
      </c>
      <c r="J16" s="105"/>
    </row>
    <row r="17" spans="2:10">
      <c r="B17" s="168" t="s">
        <v>252</v>
      </c>
      <c r="C17" s="171">
        <f>'Data Sheet'!$B$6</f>
        <v>405.80564302140459</v>
      </c>
      <c r="D17" s="171">
        <f>'Data Sheet'!$B$6</f>
        <v>405.80564302140459</v>
      </c>
      <c r="E17" s="173">
        <f>'Data Sheet'!$B$6</f>
        <v>405.80564302140459</v>
      </c>
      <c r="F17" s="173">
        <f>'Data Sheet'!$B$6</f>
        <v>405.80564302140459</v>
      </c>
      <c r="G17" s="173">
        <f>'Data Sheet'!$B$6</f>
        <v>405.80564302140459</v>
      </c>
      <c r="H17" s="173">
        <f>'Data Sheet'!$B$6</f>
        <v>405.80564302140459</v>
      </c>
      <c r="I17" s="173">
        <f>'Data Sheet'!$B$6</f>
        <v>405.80564302140459</v>
      </c>
      <c r="J17" s="105"/>
    </row>
    <row r="18" spans="2:10">
      <c r="B18" s="168" t="s">
        <v>253</v>
      </c>
      <c r="C18" s="179">
        <f>HistoricalFS!K49-HistoricalFS!J49</f>
        <v>-132</v>
      </c>
      <c r="D18" s="179">
        <f>HistoricalFS!L49-HistoricalFS!K49</f>
        <v>949</v>
      </c>
      <c r="E18" s="172">
        <v>0</v>
      </c>
      <c r="F18" s="172">
        <v>0</v>
      </c>
      <c r="G18" s="172">
        <v>0</v>
      </c>
      <c r="H18" s="172">
        <v>0</v>
      </c>
      <c r="I18" s="172">
        <v>0</v>
      </c>
      <c r="J18" s="105"/>
    </row>
    <row r="19" spans="2:10">
      <c r="B19" s="105"/>
      <c r="C19" s="185"/>
      <c r="D19" s="185"/>
      <c r="E19" s="105"/>
      <c r="F19" s="105"/>
      <c r="G19" s="105"/>
      <c r="H19" s="105"/>
      <c r="I19" s="105"/>
      <c r="J19" s="105"/>
    </row>
    <row r="21" spans="2:10">
      <c r="B21" s="174" t="s">
        <v>254</v>
      </c>
      <c r="C21" s="182" t="str">
        <f>C3</f>
        <v>FY2025A</v>
      </c>
      <c r="D21" s="182" t="str">
        <f t="shared" ref="D21:I21" si="1">D3</f>
        <v>FY2026A</v>
      </c>
      <c r="E21" s="182" t="str">
        <f t="shared" si="1"/>
        <v>FY2027F</v>
      </c>
      <c r="F21" s="182" t="str">
        <f t="shared" si="1"/>
        <v>FY2028F</v>
      </c>
      <c r="G21" s="182" t="str">
        <f t="shared" si="1"/>
        <v>FY2029F</v>
      </c>
      <c r="H21" s="182" t="str">
        <f t="shared" si="1"/>
        <v>FY2030F</v>
      </c>
      <c r="I21" s="182" t="str">
        <f t="shared" si="1"/>
        <v>FY2031F</v>
      </c>
      <c r="J21" s="105"/>
    </row>
    <row r="22" spans="2:10" ht="4.5" customHeight="1">
      <c r="B22" s="105"/>
      <c r="C22" s="105"/>
      <c r="D22" s="105"/>
      <c r="E22" s="105"/>
      <c r="F22" s="105"/>
      <c r="G22" s="105"/>
      <c r="H22" s="105"/>
      <c r="I22" s="105"/>
      <c r="J22" s="105"/>
    </row>
    <row r="23" spans="2:10">
      <c r="B23" s="168" t="s">
        <v>70</v>
      </c>
      <c r="C23" s="176">
        <f>HistoricalFS!K6</f>
        <v>162990</v>
      </c>
      <c r="D23" s="176">
        <f>HistoricalFS!L6</f>
        <v>178650</v>
      </c>
      <c r="E23" s="176">
        <f>D23*(1+E4)</f>
        <v>192649.81414597682</v>
      </c>
      <c r="F23" s="176">
        <f t="shared" ref="F23:I23" si="2">E23*(1+F4)</f>
        <v>209453.11555414932</v>
      </c>
      <c r="G23" s="176">
        <f t="shared" si="2"/>
        <v>226794.41712785399</v>
      </c>
      <c r="H23" s="176">
        <f t="shared" si="2"/>
        <v>246073.67009028385</v>
      </c>
      <c r="I23" s="176">
        <f t="shared" si="2"/>
        <v>266719.35617225093</v>
      </c>
      <c r="J23" s="105"/>
    </row>
    <row r="24" spans="2:10">
      <c r="B24" s="168" t="s">
        <v>255</v>
      </c>
      <c r="C24" s="179">
        <f>HistoricalFS!K9</f>
        <v>116585</v>
      </c>
      <c r="D24" s="179">
        <f>HistoricalFS!L9</f>
        <v>128257</v>
      </c>
      <c r="E24" s="179">
        <f>E23*E5</f>
        <v>137744.61711437342</v>
      </c>
      <c r="F24" s="179">
        <f t="shared" ref="F24:I24" si="3">F23*F5</f>
        <v>149340.07139010847</v>
      </c>
      <c r="G24" s="179">
        <f t="shared" si="3"/>
        <v>161250.83057790418</v>
      </c>
      <c r="H24" s="179">
        <f t="shared" si="3"/>
        <v>174466.23209401124</v>
      </c>
      <c r="I24" s="179">
        <f t="shared" si="3"/>
        <v>188570.5848137814</v>
      </c>
      <c r="J24" s="105"/>
    </row>
    <row r="25" spans="2:10">
      <c r="B25" s="168" t="s">
        <v>172</v>
      </c>
      <c r="C25" s="176">
        <f>HistoricalFS!K12</f>
        <v>46405</v>
      </c>
      <c r="D25" s="176">
        <f>HistoricalFS!L12</f>
        <v>50393</v>
      </c>
      <c r="E25" s="176">
        <f>E23-E24</f>
        <v>54905.197031603399</v>
      </c>
      <c r="F25" s="176">
        <f>F23-F24</f>
        <v>60113.044164040854</v>
      </c>
      <c r="G25" s="176">
        <f>G23-G24</f>
        <v>65543.586549949803</v>
      </c>
      <c r="H25" s="176">
        <f>H23-H24</f>
        <v>71607.437996272609</v>
      </c>
      <c r="I25" s="176">
        <f>I23-I24</f>
        <v>78148.77135846953</v>
      </c>
      <c r="J25" s="105"/>
    </row>
    <row r="26" spans="2:10">
      <c r="B26" s="168" t="s">
        <v>256</v>
      </c>
      <c r="C26" s="179">
        <f>HistoricalFS!K15</f>
        <v>7169</v>
      </c>
      <c r="D26" s="179">
        <f>HistoricalFS!L15</f>
        <v>8113</v>
      </c>
      <c r="E26" s="179">
        <f>E23*E6</f>
        <v>8746.3015622273488</v>
      </c>
      <c r="F26" s="179">
        <f t="shared" ref="F26:I26" si="4">F23*F6</f>
        <v>9509.1714461583797</v>
      </c>
      <c r="G26" s="179">
        <f t="shared" si="4"/>
        <v>10296.466537604572</v>
      </c>
      <c r="H26" s="179">
        <f t="shared" si="4"/>
        <v>11171.744622098888</v>
      </c>
      <c r="I26" s="179">
        <f t="shared" si="4"/>
        <v>12109.058770220194</v>
      </c>
      <c r="J26" s="105"/>
    </row>
    <row r="27" spans="2:10">
      <c r="B27" s="168" t="s">
        <v>86</v>
      </c>
      <c r="C27" s="179">
        <f>C25-C26</f>
        <v>39236</v>
      </c>
      <c r="D27" s="179">
        <f>D25-D26</f>
        <v>42280</v>
      </c>
      <c r="E27" s="179">
        <f>E25-E26</f>
        <v>46158.895469376046</v>
      </c>
      <c r="F27" s="179">
        <f>F25-F26</f>
        <v>50603.872717882477</v>
      </c>
      <c r="G27" s="179">
        <f>G25-G26</f>
        <v>55247.120012345229</v>
      </c>
      <c r="H27" s="179">
        <f>H25-H26</f>
        <v>60435.693374173723</v>
      </c>
      <c r="I27" s="179">
        <f>I25-I26</f>
        <v>66039.712588249342</v>
      </c>
      <c r="J27" s="105"/>
    </row>
    <row r="28" spans="2:10">
      <c r="B28" s="168" t="s">
        <v>257</v>
      </c>
      <c r="C28" s="179">
        <f>HistoricalFS!K24</f>
        <v>4812</v>
      </c>
      <c r="D28" s="179">
        <f>HistoricalFS!L24</f>
        <v>4902</v>
      </c>
      <c r="E28" s="179">
        <f>E23*E7</f>
        <v>5297.8698890143623</v>
      </c>
      <c r="F28" s="179">
        <f t="shared" ref="F28:I28" si="5">F23*F7</f>
        <v>5759.9606777391064</v>
      </c>
      <c r="G28" s="179">
        <f t="shared" si="5"/>
        <v>6236.8464710159851</v>
      </c>
      <c r="H28" s="179">
        <f t="shared" si="5"/>
        <v>6767.0259274828059</v>
      </c>
      <c r="I28" s="179">
        <f t="shared" si="5"/>
        <v>7334.7822947369004</v>
      </c>
      <c r="J28" s="105"/>
    </row>
    <row r="29" spans="2:10">
      <c r="B29" s="168" t="s">
        <v>258</v>
      </c>
      <c r="C29" s="176">
        <f>C27-C28</f>
        <v>34424</v>
      </c>
      <c r="D29" s="176">
        <f t="shared" ref="D29:I29" si="6">D27-D28</f>
        <v>37378</v>
      </c>
      <c r="E29" s="176">
        <f t="shared" si="6"/>
        <v>40861.025580361682</v>
      </c>
      <c r="F29" s="176">
        <f t="shared" si="6"/>
        <v>44843.912040143368</v>
      </c>
      <c r="G29" s="176">
        <f t="shared" si="6"/>
        <v>49010.273541329247</v>
      </c>
      <c r="H29" s="176">
        <f t="shared" si="6"/>
        <v>53668.667446690917</v>
      </c>
      <c r="I29" s="176">
        <f t="shared" si="6"/>
        <v>58704.930293512443</v>
      </c>
      <c r="J29" s="105"/>
    </row>
    <row r="30" spans="2:10">
      <c r="B30" s="168" t="s">
        <v>259</v>
      </c>
      <c r="C30" s="179">
        <f>HistoricalFS!K21</f>
        <v>416</v>
      </c>
      <c r="D30" s="179">
        <f>HistoricalFS!L21</f>
        <v>416</v>
      </c>
      <c r="E30" s="179">
        <f>E110</f>
        <v>458.8</v>
      </c>
      <c r="F30" s="179">
        <f t="shared" ref="F30:I30" si="7">F110</f>
        <v>458.8</v>
      </c>
      <c r="G30" s="179">
        <f t="shared" si="7"/>
        <v>458.8</v>
      </c>
      <c r="H30" s="179">
        <f t="shared" si="7"/>
        <v>458.8</v>
      </c>
      <c r="I30" s="179">
        <f t="shared" si="7"/>
        <v>458.8</v>
      </c>
      <c r="J30" s="105"/>
    </row>
    <row r="31" spans="2:10">
      <c r="B31" s="168" t="s">
        <v>260</v>
      </c>
      <c r="C31" s="176">
        <f>C29-C30</f>
        <v>34008</v>
      </c>
      <c r="D31" s="176">
        <f t="shared" ref="D31:I31" si="8">D29-D30</f>
        <v>36962</v>
      </c>
      <c r="E31" s="176">
        <f t="shared" si="8"/>
        <v>40402.225580361679</v>
      </c>
      <c r="F31" s="176">
        <f t="shared" si="8"/>
        <v>44385.112040143365</v>
      </c>
      <c r="G31" s="176">
        <f t="shared" si="8"/>
        <v>48551.473541329244</v>
      </c>
      <c r="H31" s="176">
        <f t="shared" si="8"/>
        <v>53209.867446690914</v>
      </c>
      <c r="I31" s="176">
        <f t="shared" si="8"/>
        <v>58246.13029351244</v>
      </c>
      <c r="J31" s="105"/>
    </row>
    <row r="32" spans="2:10">
      <c r="B32" s="168" t="s">
        <v>261</v>
      </c>
      <c r="C32" s="179">
        <f>C31*C8</f>
        <v>10858</v>
      </c>
      <c r="D32" s="179">
        <f t="shared" ref="D32:I32" si="9">D31*D8</f>
        <v>10521</v>
      </c>
      <c r="E32" s="179">
        <f t="shared" si="9"/>
        <v>11110.612034599462</v>
      </c>
      <c r="F32" s="179">
        <f t="shared" si="9"/>
        <v>12205.905811039427</v>
      </c>
      <c r="G32" s="179">
        <f t="shared" si="9"/>
        <v>13351.655223865542</v>
      </c>
      <c r="H32" s="179">
        <f t="shared" si="9"/>
        <v>14632.713547840003</v>
      </c>
      <c r="I32" s="179">
        <f t="shared" si="9"/>
        <v>16017.685830715922</v>
      </c>
      <c r="J32" s="105"/>
    </row>
    <row r="33" spans="1:1017 1025:2041 2049:3065 3073:4089 4097:5113 5121:6137 6145:7161 7169:8185 8193:9209 9217:10233 10241:11257 11265:12281 12289:13305 13313:14329 14337:15353 15361:16377" s="105" customFormat="1">
      <c r="B33" s="168" t="s">
        <v>262</v>
      </c>
      <c r="C33" s="176">
        <f>C31-C32</f>
        <v>23150</v>
      </c>
      <c r="D33" s="176">
        <f t="shared" ref="D33:I33" si="10">D31-D32</f>
        <v>26441</v>
      </c>
      <c r="E33" s="176">
        <f t="shared" si="10"/>
        <v>29291.613545762215</v>
      </c>
      <c r="F33" s="176">
        <f t="shared" si="10"/>
        <v>32179.20622910394</v>
      </c>
      <c r="G33" s="176">
        <f t="shared" si="10"/>
        <v>35199.818317463702</v>
      </c>
      <c r="H33" s="176">
        <f t="shared" si="10"/>
        <v>38577.153898850913</v>
      </c>
      <c r="I33" s="176">
        <f t="shared" si="10"/>
        <v>42228.44446279652</v>
      </c>
    </row>
    <row r="34" spans="1:1017 1025:2041 2049:3065 3073:4089 4097:5113 5121:6137 6145:7161 7169:8185 8193:9209 9217:10233 10241:11257 11265:12281 12289:13305 13313:14329 14337:15353 15361:16377" s="105" customFormat="1">
      <c r="B34" s="168" t="s">
        <v>263</v>
      </c>
      <c r="C34" s="186">
        <f>HistoricalFS!K92</f>
        <v>-20289</v>
      </c>
      <c r="D34" s="186">
        <f>HistoricalFS!L92</f>
        <v>-18656</v>
      </c>
      <c r="E34" s="186">
        <f>-E33*E16</f>
        <v>-21382.877888406416</v>
      </c>
      <c r="F34" s="186">
        <f t="shared" ref="F34:I34" si="11">-F33*F16</f>
        <v>-23490.820547245876</v>
      </c>
      <c r="G34" s="186">
        <f t="shared" si="11"/>
        <v>-25695.8673717485</v>
      </c>
      <c r="H34" s="186">
        <f t="shared" si="11"/>
        <v>-28161.322346161167</v>
      </c>
      <c r="I34" s="186">
        <f t="shared" si="11"/>
        <v>-30826.764457841458</v>
      </c>
    </row>
    <row r="35" spans="1:1017 1025:2041 2049:3065 3073:4089 4097:5113 5121:6137 6145:7161 7169:8185 8193:9209 9217:10233 10241:11257 11265:12281 12289:13305 13313:14329 14337:15353 15361:16377" s="105" customFormat="1">
      <c r="B35" s="177" t="s">
        <v>264</v>
      </c>
      <c r="C35" s="179">
        <f>SUM(C33:C34)</f>
        <v>2861</v>
      </c>
      <c r="D35" s="179">
        <f>SUM(D33:D34)</f>
        <v>7785</v>
      </c>
      <c r="E35" s="179">
        <f t="shared" ref="E35:I35" si="12">SUM(E33:E34)</f>
        <v>7908.735657355799</v>
      </c>
      <c r="F35" s="179">
        <f t="shared" si="12"/>
        <v>8688.3856818580643</v>
      </c>
      <c r="G35" s="179">
        <f t="shared" si="12"/>
        <v>9503.9509457152017</v>
      </c>
      <c r="H35" s="179">
        <f t="shared" si="12"/>
        <v>10415.831552689746</v>
      </c>
      <c r="I35" s="179">
        <f t="shared" si="12"/>
        <v>11401.680004955062</v>
      </c>
    </row>
    <row r="36" spans="1:1017 1025:2041 2049:3065 3073:4089 4097:5113 5121:6137 6145:7161 7169:8185 8193:9209 9217:10233 10241:11257 11265:12281 12289:13305 13313:14329 14337:15353 15361:16377" s="105" customFormat="1">
      <c r="B36" s="177"/>
      <c r="C36" s="179"/>
      <c r="D36" s="179"/>
      <c r="E36" s="179"/>
      <c r="F36" s="179"/>
      <c r="G36" s="179"/>
      <c r="H36" s="179"/>
      <c r="I36" s="179"/>
    </row>
    <row r="37" spans="1:1017 1025:2041 2049:3065 3073:4089 4097:5113 5121:6137 6145:7161 7169:8185 8193:9209 9217:10233 10241:11257 11265:12281 12289:13305 13313:14329 14337:15353 15361:16377" s="179" customFormat="1">
      <c r="A37" s="177"/>
      <c r="I37" s="177"/>
      <c r="Q37" s="177"/>
      <c r="Y37" s="177"/>
      <c r="AG37" s="177"/>
      <c r="AO37" s="177"/>
      <c r="AW37" s="177"/>
      <c r="BE37" s="177"/>
      <c r="BM37" s="177"/>
      <c r="BU37" s="177"/>
      <c r="CC37" s="177"/>
      <c r="CK37" s="177"/>
      <c r="CS37" s="177"/>
      <c r="DA37" s="177"/>
      <c r="DI37" s="177"/>
      <c r="DQ37" s="177"/>
      <c r="DY37" s="177"/>
      <c r="EG37" s="177"/>
      <c r="EO37" s="177"/>
      <c r="EW37" s="177"/>
      <c r="FE37" s="177"/>
      <c r="FM37" s="177"/>
      <c r="FU37" s="177"/>
      <c r="GC37" s="177"/>
      <c r="GK37" s="177"/>
      <c r="GS37" s="177"/>
      <c r="HA37" s="177"/>
      <c r="HI37" s="177"/>
      <c r="HQ37" s="177"/>
      <c r="HY37" s="177"/>
      <c r="IG37" s="177"/>
      <c r="IO37" s="177"/>
      <c r="IW37" s="177"/>
      <c r="JE37" s="177"/>
      <c r="JM37" s="177"/>
      <c r="JU37" s="177"/>
      <c r="KC37" s="177"/>
      <c r="KK37" s="177"/>
      <c r="KS37" s="177"/>
      <c r="LA37" s="177"/>
      <c r="LI37" s="177"/>
      <c r="LQ37" s="177"/>
      <c r="LY37" s="177"/>
      <c r="MG37" s="177"/>
      <c r="MO37" s="177"/>
      <c r="MW37" s="177"/>
      <c r="NE37" s="177"/>
      <c r="NM37" s="177"/>
      <c r="NU37" s="177"/>
      <c r="OC37" s="177"/>
      <c r="OK37" s="177"/>
      <c r="OS37" s="177"/>
      <c r="PA37" s="177"/>
      <c r="PI37" s="177"/>
      <c r="PQ37" s="177"/>
      <c r="PY37" s="177"/>
      <c r="QG37" s="177"/>
      <c r="QO37" s="177"/>
      <c r="QW37" s="177"/>
      <c r="RE37" s="177"/>
      <c r="RM37" s="177"/>
      <c r="RU37" s="177"/>
      <c r="SC37" s="177"/>
      <c r="SK37" s="177"/>
      <c r="SS37" s="177"/>
      <c r="TA37" s="177"/>
      <c r="TI37" s="177"/>
      <c r="TQ37" s="177"/>
      <c r="TY37" s="177"/>
      <c r="UG37" s="177"/>
      <c r="UO37" s="177"/>
      <c r="UW37" s="177"/>
      <c r="VE37" s="177"/>
      <c r="VM37" s="177"/>
      <c r="VU37" s="177"/>
      <c r="WC37" s="177"/>
      <c r="WK37" s="177"/>
      <c r="WS37" s="177"/>
      <c r="XA37" s="177"/>
      <c r="XI37" s="177"/>
      <c r="XQ37" s="177"/>
      <c r="XY37" s="177"/>
      <c r="YG37" s="177"/>
      <c r="YO37" s="177"/>
      <c r="YW37" s="177"/>
      <c r="ZE37" s="177"/>
      <c r="ZM37" s="177"/>
      <c r="ZU37" s="177"/>
      <c r="AAC37" s="177"/>
      <c r="AAK37" s="177"/>
      <c r="AAS37" s="177"/>
      <c r="ABA37" s="177"/>
      <c r="ABI37" s="177"/>
      <c r="ABQ37" s="177"/>
      <c r="ABY37" s="177"/>
      <c r="ACG37" s="177"/>
      <c r="ACO37" s="177"/>
      <c r="ACW37" s="177"/>
      <c r="ADE37" s="177"/>
      <c r="ADM37" s="177"/>
      <c r="ADU37" s="177"/>
      <c r="AEC37" s="177"/>
      <c r="AEK37" s="177"/>
      <c r="AES37" s="177"/>
      <c r="AFA37" s="177"/>
      <c r="AFI37" s="177"/>
      <c r="AFQ37" s="177"/>
      <c r="AFY37" s="177"/>
      <c r="AGG37" s="177"/>
      <c r="AGO37" s="177"/>
      <c r="AGW37" s="177"/>
      <c r="AHE37" s="177"/>
      <c r="AHM37" s="177"/>
      <c r="AHU37" s="177"/>
      <c r="AIC37" s="177"/>
      <c r="AIK37" s="177"/>
      <c r="AIS37" s="177"/>
      <c r="AJA37" s="177"/>
      <c r="AJI37" s="177"/>
      <c r="AJQ37" s="177"/>
      <c r="AJY37" s="177"/>
      <c r="AKG37" s="177"/>
      <c r="AKO37" s="177"/>
      <c r="AKW37" s="177"/>
      <c r="ALE37" s="177"/>
      <c r="ALM37" s="177"/>
      <c r="ALU37" s="177"/>
      <c r="AMC37" s="177"/>
      <c r="AMK37" s="177"/>
      <c r="AMS37" s="177"/>
      <c r="ANA37" s="177"/>
      <c r="ANI37" s="177"/>
      <c r="ANQ37" s="177"/>
      <c r="ANY37" s="177"/>
      <c r="AOG37" s="177"/>
      <c r="AOO37" s="177"/>
      <c r="AOW37" s="177"/>
      <c r="APE37" s="177"/>
      <c r="APM37" s="177"/>
      <c r="APU37" s="177"/>
      <c r="AQC37" s="177"/>
      <c r="AQK37" s="177"/>
      <c r="AQS37" s="177"/>
      <c r="ARA37" s="177"/>
      <c r="ARI37" s="177"/>
      <c r="ARQ37" s="177"/>
      <c r="ARY37" s="177"/>
      <c r="ASG37" s="177"/>
      <c r="ASO37" s="177"/>
      <c r="ASW37" s="177"/>
      <c r="ATE37" s="177"/>
      <c r="ATM37" s="177"/>
      <c r="ATU37" s="177"/>
      <c r="AUC37" s="177"/>
      <c r="AUK37" s="177"/>
      <c r="AUS37" s="177"/>
      <c r="AVA37" s="177"/>
      <c r="AVI37" s="177"/>
      <c r="AVQ37" s="177"/>
      <c r="AVY37" s="177"/>
      <c r="AWG37" s="177"/>
      <c r="AWO37" s="177"/>
      <c r="AWW37" s="177"/>
      <c r="AXE37" s="177"/>
      <c r="AXM37" s="177"/>
      <c r="AXU37" s="177"/>
      <c r="AYC37" s="177"/>
      <c r="AYK37" s="177"/>
      <c r="AYS37" s="177"/>
      <c r="AZA37" s="177"/>
      <c r="AZI37" s="177"/>
      <c r="AZQ37" s="177"/>
      <c r="AZY37" s="177"/>
      <c r="BAG37" s="177"/>
      <c r="BAO37" s="177"/>
      <c r="BAW37" s="177"/>
      <c r="BBE37" s="177"/>
      <c r="BBM37" s="177"/>
      <c r="BBU37" s="177"/>
      <c r="BCC37" s="177"/>
      <c r="BCK37" s="177"/>
      <c r="BCS37" s="177"/>
      <c r="BDA37" s="177"/>
      <c r="BDI37" s="177"/>
      <c r="BDQ37" s="177"/>
      <c r="BDY37" s="177"/>
      <c r="BEG37" s="177"/>
      <c r="BEO37" s="177"/>
      <c r="BEW37" s="177"/>
      <c r="BFE37" s="177"/>
      <c r="BFM37" s="177"/>
      <c r="BFU37" s="177"/>
      <c r="BGC37" s="177"/>
      <c r="BGK37" s="177"/>
      <c r="BGS37" s="177"/>
      <c r="BHA37" s="177"/>
      <c r="BHI37" s="177"/>
      <c r="BHQ37" s="177"/>
      <c r="BHY37" s="177"/>
      <c r="BIG37" s="177"/>
      <c r="BIO37" s="177"/>
      <c r="BIW37" s="177"/>
      <c r="BJE37" s="177"/>
      <c r="BJM37" s="177"/>
      <c r="BJU37" s="177"/>
      <c r="BKC37" s="177"/>
      <c r="BKK37" s="177"/>
      <c r="BKS37" s="177"/>
      <c r="BLA37" s="177"/>
      <c r="BLI37" s="177"/>
      <c r="BLQ37" s="177"/>
      <c r="BLY37" s="177"/>
      <c r="BMG37" s="177"/>
      <c r="BMO37" s="177"/>
      <c r="BMW37" s="177"/>
      <c r="BNE37" s="177"/>
      <c r="BNM37" s="177"/>
      <c r="BNU37" s="177"/>
      <c r="BOC37" s="177"/>
      <c r="BOK37" s="177"/>
      <c r="BOS37" s="177"/>
      <c r="BPA37" s="177"/>
      <c r="BPI37" s="177"/>
      <c r="BPQ37" s="177"/>
      <c r="BPY37" s="177"/>
      <c r="BQG37" s="177"/>
      <c r="BQO37" s="177"/>
      <c r="BQW37" s="177"/>
      <c r="BRE37" s="177"/>
      <c r="BRM37" s="177"/>
      <c r="BRU37" s="177"/>
      <c r="BSC37" s="177"/>
      <c r="BSK37" s="177"/>
      <c r="BSS37" s="177"/>
      <c r="BTA37" s="177"/>
      <c r="BTI37" s="177"/>
      <c r="BTQ37" s="177"/>
      <c r="BTY37" s="177"/>
      <c r="BUG37" s="177"/>
      <c r="BUO37" s="177"/>
      <c r="BUW37" s="177"/>
      <c r="BVE37" s="177"/>
      <c r="BVM37" s="177"/>
      <c r="BVU37" s="177"/>
      <c r="BWC37" s="177"/>
      <c r="BWK37" s="177"/>
      <c r="BWS37" s="177"/>
      <c r="BXA37" s="177"/>
      <c r="BXI37" s="177"/>
      <c r="BXQ37" s="177"/>
      <c r="BXY37" s="177"/>
      <c r="BYG37" s="177"/>
      <c r="BYO37" s="177"/>
      <c r="BYW37" s="177"/>
      <c r="BZE37" s="177"/>
      <c r="BZM37" s="177"/>
      <c r="BZU37" s="177"/>
      <c r="CAC37" s="177"/>
      <c r="CAK37" s="177"/>
      <c r="CAS37" s="177"/>
      <c r="CBA37" s="177"/>
      <c r="CBI37" s="177"/>
      <c r="CBQ37" s="177"/>
      <c r="CBY37" s="177"/>
      <c r="CCG37" s="177"/>
      <c r="CCO37" s="177"/>
      <c r="CCW37" s="177"/>
      <c r="CDE37" s="177"/>
      <c r="CDM37" s="177"/>
      <c r="CDU37" s="177"/>
      <c r="CEC37" s="177"/>
      <c r="CEK37" s="177"/>
      <c r="CES37" s="177"/>
      <c r="CFA37" s="177"/>
      <c r="CFI37" s="177"/>
      <c r="CFQ37" s="177"/>
      <c r="CFY37" s="177"/>
      <c r="CGG37" s="177"/>
      <c r="CGO37" s="177"/>
      <c r="CGW37" s="177"/>
      <c r="CHE37" s="177"/>
      <c r="CHM37" s="177"/>
      <c r="CHU37" s="177"/>
      <c r="CIC37" s="177"/>
      <c r="CIK37" s="177"/>
      <c r="CIS37" s="177"/>
      <c r="CJA37" s="177"/>
      <c r="CJI37" s="177"/>
      <c r="CJQ37" s="177"/>
      <c r="CJY37" s="177"/>
      <c r="CKG37" s="177"/>
      <c r="CKO37" s="177"/>
      <c r="CKW37" s="177"/>
      <c r="CLE37" s="177"/>
      <c r="CLM37" s="177"/>
      <c r="CLU37" s="177"/>
      <c r="CMC37" s="177"/>
      <c r="CMK37" s="177"/>
      <c r="CMS37" s="177"/>
      <c r="CNA37" s="177"/>
      <c r="CNI37" s="177"/>
      <c r="CNQ37" s="177"/>
      <c r="CNY37" s="177"/>
      <c r="COG37" s="177"/>
      <c r="COO37" s="177"/>
      <c r="COW37" s="177"/>
      <c r="CPE37" s="177"/>
      <c r="CPM37" s="177"/>
      <c r="CPU37" s="177"/>
      <c r="CQC37" s="177"/>
      <c r="CQK37" s="177"/>
      <c r="CQS37" s="177"/>
      <c r="CRA37" s="177"/>
      <c r="CRI37" s="177"/>
      <c r="CRQ37" s="177"/>
      <c r="CRY37" s="177"/>
      <c r="CSG37" s="177"/>
      <c r="CSO37" s="177"/>
      <c r="CSW37" s="177"/>
      <c r="CTE37" s="177"/>
      <c r="CTM37" s="177"/>
      <c r="CTU37" s="177"/>
      <c r="CUC37" s="177"/>
      <c r="CUK37" s="177"/>
      <c r="CUS37" s="177"/>
      <c r="CVA37" s="177"/>
      <c r="CVI37" s="177"/>
      <c r="CVQ37" s="177"/>
      <c r="CVY37" s="177"/>
      <c r="CWG37" s="177"/>
      <c r="CWO37" s="177"/>
      <c r="CWW37" s="177"/>
      <c r="CXE37" s="177"/>
      <c r="CXM37" s="177"/>
      <c r="CXU37" s="177"/>
      <c r="CYC37" s="177"/>
      <c r="CYK37" s="177"/>
      <c r="CYS37" s="177"/>
      <c r="CZA37" s="177"/>
      <c r="CZI37" s="177"/>
      <c r="CZQ37" s="177"/>
      <c r="CZY37" s="177"/>
      <c r="DAG37" s="177"/>
      <c r="DAO37" s="177"/>
      <c r="DAW37" s="177"/>
      <c r="DBE37" s="177"/>
      <c r="DBM37" s="177"/>
      <c r="DBU37" s="177"/>
      <c r="DCC37" s="177"/>
      <c r="DCK37" s="177"/>
      <c r="DCS37" s="177"/>
      <c r="DDA37" s="177"/>
      <c r="DDI37" s="177"/>
      <c r="DDQ37" s="177"/>
      <c r="DDY37" s="177"/>
      <c r="DEG37" s="177"/>
      <c r="DEO37" s="177"/>
      <c r="DEW37" s="177"/>
      <c r="DFE37" s="177"/>
      <c r="DFM37" s="177"/>
      <c r="DFU37" s="177"/>
      <c r="DGC37" s="177"/>
      <c r="DGK37" s="177"/>
      <c r="DGS37" s="177"/>
      <c r="DHA37" s="177"/>
      <c r="DHI37" s="177"/>
      <c r="DHQ37" s="177"/>
      <c r="DHY37" s="177"/>
      <c r="DIG37" s="177"/>
      <c r="DIO37" s="177"/>
      <c r="DIW37" s="177"/>
      <c r="DJE37" s="177"/>
      <c r="DJM37" s="177"/>
      <c r="DJU37" s="177"/>
      <c r="DKC37" s="177"/>
      <c r="DKK37" s="177"/>
      <c r="DKS37" s="177"/>
      <c r="DLA37" s="177"/>
      <c r="DLI37" s="177"/>
      <c r="DLQ37" s="177"/>
      <c r="DLY37" s="177"/>
      <c r="DMG37" s="177"/>
      <c r="DMO37" s="177"/>
      <c r="DMW37" s="177"/>
      <c r="DNE37" s="177"/>
      <c r="DNM37" s="177"/>
      <c r="DNU37" s="177"/>
      <c r="DOC37" s="177"/>
      <c r="DOK37" s="177"/>
      <c r="DOS37" s="177"/>
      <c r="DPA37" s="177"/>
      <c r="DPI37" s="177"/>
      <c r="DPQ37" s="177"/>
      <c r="DPY37" s="177"/>
      <c r="DQG37" s="177"/>
      <c r="DQO37" s="177"/>
      <c r="DQW37" s="177"/>
      <c r="DRE37" s="177"/>
      <c r="DRM37" s="177"/>
      <c r="DRU37" s="177"/>
      <c r="DSC37" s="177"/>
      <c r="DSK37" s="177"/>
      <c r="DSS37" s="177"/>
      <c r="DTA37" s="177"/>
      <c r="DTI37" s="177"/>
      <c r="DTQ37" s="177"/>
      <c r="DTY37" s="177"/>
      <c r="DUG37" s="177"/>
      <c r="DUO37" s="177"/>
      <c r="DUW37" s="177"/>
      <c r="DVE37" s="177"/>
      <c r="DVM37" s="177"/>
      <c r="DVU37" s="177"/>
      <c r="DWC37" s="177"/>
      <c r="DWK37" s="177"/>
      <c r="DWS37" s="177"/>
      <c r="DXA37" s="177"/>
      <c r="DXI37" s="177"/>
      <c r="DXQ37" s="177"/>
      <c r="DXY37" s="177"/>
      <c r="DYG37" s="177"/>
      <c r="DYO37" s="177"/>
      <c r="DYW37" s="177"/>
      <c r="DZE37" s="177"/>
      <c r="DZM37" s="177"/>
      <c r="DZU37" s="177"/>
      <c r="EAC37" s="177"/>
      <c r="EAK37" s="177"/>
      <c r="EAS37" s="177"/>
      <c r="EBA37" s="177"/>
      <c r="EBI37" s="177"/>
      <c r="EBQ37" s="177"/>
      <c r="EBY37" s="177"/>
      <c r="ECG37" s="177"/>
      <c r="ECO37" s="177"/>
      <c r="ECW37" s="177"/>
      <c r="EDE37" s="177"/>
      <c r="EDM37" s="177"/>
      <c r="EDU37" s="177"/>
      <c r="EEC37" s="177"/>
      <c r="EEK37" s="177"/>
      <c r="EES37" s="177"/>
      <c r="EFA37" s="177"/>
      <c r="EFI37" s="177"/>
      <c r="EFQ37" s="177"/>
      <c r="EFY37" s="177"/>
      <c r="EGG37" s="177"/>
      <c r="EGO37" s="177"/>
      <c r="EGW37" s="177"/>
      <c r="EHE37" s="177"/>
      <c r="EHM37" s="177"/>
      <c r="EHU37" s="177"/>
      <c r="EIC37" s="177"/>
      <c r="EIK37" s="177"/>
      <c r="EIS37" s="177"/>
      <c r="EJA37" s="177"/>
      <c r="EJI37" s="177"/>
      <c r="EJQ37" s="177"/>
      <c r="EJY37" s="177"/>
      <c r="EKG37" s="177"/>
      <c r="EKO37" s="177"/>
      <c r="EKW37" s="177"/>
      <c r="ELE37" s="177"/>
      <c r="ELM37" s="177"/>
      <c r="ELU37" s="177"/>
      <c r="EMC37" s="177"/>
      <c r="EMK37" s="177"/>
      <c r="EMS37" s="177"/>
      <c r="ENA37" s="177"/>
      <c r="ENI37" s="177"/>
      <c r="ENQ37" s="177"/>
      <c r="ENY37" s="177"/>
      <c r="EOG37" s="177"/>
      <c r="EOO37" s="177"/>
      <c r="EOW37" s="177"/>
      <c r="EPE37" s="177"/>
      <c r="EPM37" s="177"/>
      <c r="EPU37" s="177"/>
      <c r="EQC37" s="177"/>
      <c r="EQK37" s="177"/>
      <c r="EQS37" s="177"/>
      <c r="ERA37" s="177"/>
      <c r="ERI37" s="177"/>
      <c r="ERQ37" s="177"/>
      <c r="ERY37" s="177"/>
      <c r="ESG37" s="177"/>
      <c r="ESO37" s="177"/>
      <c r="ESW37" s="177"/>
      <c r="ETE37" s="177"/>
      <c r="ETM37" s="177"/>
      <c r="ETU37" s="177"/>
      <c r="EUC37" s="177"/>
      <c r="EUK37" s="177"/>
      <c r="EUS37" s="177"/>
      <c r="EVA37" s="177"/>
      <c r="EVI37" s="177"/>
      <c r="EVQ37" s="177"/>
      <c r="EVY37" s="177"/>
      <c r="EWG37" s="177"/>
      <c r="EWO37" s="177"/>
      <c r="EWW37" s="177"/>
      <c r="EXE37" s="177"/>
      <c r="EXM37" s="177"/>
      <c r="EXU37" s="177"/>
      <c r="EYC37" s="177"/>
      <c r="EYK37" s="177"/>
      <c r="EYS37" s="177"/>
      <c r="EZA37" s="177"/>
      <c r="EZI37" s="177"/>
      <c r="EZQ37" s="177"/>
      <c r="EZY37" s="177"/>
      <c r="FAG37" s="177"/>
      <c r="FAO37" s="177"/>
      <c r="FAW37" s="177"/>
      <c r="FBE37" s="177"/>
      <c r="FBM37" s="177"/>
      <c r="FBU37" s="177"/>
      <c r="FCC37" s="177"/>
      <c r="FCK37" s="177"/>
      <c r="FCS37" s="177"/>
      <c r="FDA37" s="177"/>
      <c r="FDI37" s="177"/>
      <c r="FDQ37" s="177"/>
      <c r="FDY37" s="177"/>
      <c r="FEG37" s="177"/>
      <c r="FEO37" s="177"/>
      <c r="FEW37" s="177"/>
      <c r="FFE37" s="177"/>
      <c r="FFM37" s="177"/>
      <c r="FFU37" s="177"/>
      <c r="FGC37" s="177"/>
      <c r="FGK37" s="177"/>
      <c r="FGS37" s="177"/>
      <c r="FHA37" s="177"/>
      <c r="FHI37" s="177"/>
      <c r="FHQ37" s="177"/>
      <c r="FHY37" s="177"/>
      <c r="FIG37" s="177"/>
      <c r="FIO37" s="177"/>
      <c r="FIW37" s="177"/>
      <c r="FJE37" s="177"/>
      <c r="FJM37" s="177"/>
      <c r="FJU37" s="177"/>
      <c r="FKC37" s="177"/>
      <c r="FKK37" s="177"/>
      <c r="FKS37" s="177"/>
      <c r="FLA37" s="177"/>
      <c r="FLI37" s="177"/>
      <c r="FLQ37" s="177"/>
      <c r="FLY37" s="177"/>
      <c r="FMG37" s="177"/>
      <c r="FMO37" s="177"/>
      <c r="FMW37" s="177"/>
      <c r="FNE37" s="177"/>
      <c r="FNM37" s="177"/>
      <c r="FNU37" s="177"/>
      <c r="FOC37" s="177"/>
      <c r="FOK37" s="177"/>
      <c r="FOS37" s="177"/>
      <c r="FPA37" s="177"/>
      <c r="FPI37" s="177"/>
      <c r="FPQ37" s="177"/>
      <c r="FPY37" s="177"/>
      <c r="FQG37" s="177"/>
      <c r="FQO37" s="177"/>
      <c r="FQW37" s="177"/>
      <c r="FRE37" s="177"/>
      <c r="FRM37" s="177"/>
      <c r="FRU37" s="177"/>
      <c r="FSC37" s="177"/>
      <c r="FSK37" s="177"/>
      <c r="FSS37" s="177"/>
      <c r="FTA37" s="177"/>
      <c r="FTI37" s="177"/>
      <c r="FTQ37" s="177"/>
      <c r="FTY37" s="177"/>
      <c r="FUG37" s="177"/>
      <c r="FUO37" s="177"/>
      <c r="FUW37" s="177"/>
      <c r="FVE37" s="177"/>
      <c r="FVM37" s="177"/>
      <c r="FVU37" s="177"/>
      <c r="FWC37" s="177"/>
      <c r="FWK37" s="177"/>
      <c r="FWS37" s="177"/>
      <c r="FXA37" s="177"/>
      <c r="FXI37" s="177"/>
      <c r="FXQ37" s="177"/>
      <c r="FXY37" s="177"/>
      <c r="FYG37" s="177"/>
      <c r="FYO37" s="177"/>
      <c r="FYW37" s="177"/>
      <c r="FZE37" s="177"/>
      <c r="FZM37" s="177"/>
      <c r="FZU37" s="177"/>
      <c r="GAC37" s="177"/>
      <c r="GAK37" s="177"/>
      <c r="GAS37" s="177"/>
      <c r="GBA37" s="177"/>
      <c r="GBI37" s="177"/>
      <c r="GBQ37" s="177"/>
      <c r="GBY37" s="177"/>
      <c r="GCG37" s="177"/>
      <c r="GCO37" s="177"/>
      <c r="GCW37" s="177"/>
      <c r="GDE37" s="177"/>
      <c r="GDM37" s="177"/>
      <c r="GDU37" s="177"/>
      <c r="GEC37" s="177"/>
      <c r="GEK37" s="177"/>
      <c r="GES37" s="177"/>
      <c r="GFA37" s="177"/>
      <c r="GFI37" s="177"/>
      <c r="GFQ37" s="177"/>
      <c r="GFY37" s="177"/>
      <c r="GGG37" s="177"/>
      <c r="GGO37" s="177"/>
      <c r="GGW37" s="177"/>
      <c r="GHE37" s="177"/>
      <c r="GHM37" s="177"/>
      <c r="GHU37" s="177"/>
      <c r="GIC37" s="177"/>
      <c r="GIK37" s="177"/>
      <c r="GIS37" s="177"/>
      <c r="GJA37" s="177"/>
      <c r="GJI37" s="177"/>
      <c r="GJQ37" s="177"/>
      <c r="GJY37" s="177"/>
      <c r="GKG37" s="177"/>
      <c r="GKO37" s="177"/>
      <c r="GKW37" s="177"/>
      <c r="GLE37" s="177"/>
      <c r="GLM37" s="177"/>
      <c r="GLU37" s="177"/>
      <c r="GMC37" s="177"/>
      <c r="GMK37" s="177"/>
      <c r="GMS37" s="177"/>
      <c r="GNA37" s="177"/>
      <c r="GNI37" s="177"/>
      <c r="GNQ37" s="177"/>
      <c r="GNY37" s="177"/>
      <c r="GOG37" s="177"/>
      <c r="GOO37" s="177"/>
      <c r="GOW37" s="177"/>
      <c r="GPE37" s="177"/>
      <c r="GPM37" s="177"/>
      <c r="GPU37" s="177"/>
      <c r="GQC37" s="177"/>
      <c r="GQK37" s="177"/>
      <c r="GQS37" s="177"/>
      <c r="GRA37" s="177"/>
      <c r="GRI37" s="177"/>
      <c r="GRQ37" s="177"/>
      <c r="GRY37" s="177"/>
      <c r="GSG37" s="177"/>
      <c r="GSO37" s="177"/>
      <c r="GSW37" s="177"/>
      <c r="GTE37" s="177"/>
      <c r="GTM37" s="177"/>
      <c r="GTU37" s="177"/>
      <c r="GUC37" s="177"/>
      <c r="GUK37" s="177"/>
      <c r="GUS37" s="177"/>
      <c r="GVA37" s="177"/>
      <c r="GVI37" s="177"/>
      <c r="GVQ37" s="177"/>
      <c r="GVY37" s="177"/>
      <c r="GWG37" s="177"/>
      <c r="GWO37" s="177"/>
      <c r="GWW37" s="177"/>
      <c r="GXE37" s="177"/>
      <c r="GXM37" s="177"/>
      <c r="GXU37" s="177"/>
      <c r="GYC37" s="177"/>
      <c r="GYK37" s="177"/>
      <c r="GYS37" s="177"/>
      <c r="GZA37" s="177"/>
      <c r="GZI37" s="177"/>
      <c r="GZQ37" s="177"/>
      <c r="GZY37" s="177"/>
      <c r="HAG37" s="177"/>
      <c r="HAO37" s="177"/>
      <c r="HAW37" s="177"/>
      <c r="HBE37" s="177"/>
      <c r="HBM37" s="177"/>
      <c r="HBU37" s="177"/>
      <c r="HCC37" s="177"/>
      <c r="HCK37" s="177"/>
      <c r="HCS37" s="177"/>
      <c r="HDA37" s="177"/>
      <c r="HDI37" s="177"/>
      <c r="HDQ37" s="177"/>
      <c r="HDY37" s="177"/>
      <c r="HEG37" s="177"/>
      <c r="HEO37" s="177"/>
      <c r="HEW37" s="177"/>
      <c r="HFE37" s="177"/>
      <c r="HFM37" s="177"/>
      <c r="HFU37" s="177"/>
      <c r="HGC37" s="177"/>
      <c r="HGK37" s="177"/>
      <c r="HGS37" s="177"/>
      <c r="HHA37" s="177"/>
      <c r="HHI37" s="177"/>
      <c r="HHQ37" s="177"/>
      <c r="HHY37" s="177"/>
      <c r="HIG37" s="177"/>
      <c r="HIO37" s="177"/>
      <c r="HIW37" s="177"/>
      <c r="HJE37" s="177"/>
      <c r="HJM37" s="177"/>
      <c r="HJU37" s="177"/>
      <c r="HKC37" s="177"/>
      <c r="HKK37" s="177"/>
      <c r="HKS37" s="177"/>
      <c r="HLA37" s="177"/>
      <c r="HLI37" s="177"/>
      <c r="HLQ37" s="177"/>
      <c r="HLY37" s="177"/>
      <c r="HMG37" s="177"/>
      <c r="HMO37" s="177"/>
      <c r="HMW37" s="177"/>
      <c r="HNE37" s="177"/>
      <c r="HNM37" s="177"/>
      <c r="HNU37" s="177"/>
      <c r="HOC37" s="177"/>
      <c r="HOK37" s="177"/>
      <c r="HOS37" s="177"/>
      <c r="HPA37" s="177"/>
      <c r="HPI37" s="177"/>
      <c r="HPQ37" s="177"/>
      <c r="HPY37" s="177"/>
      <c r="HQG37" s="177"/>
      <c r="HQO37" s="177"/>
      <c r="HQW37" s="177"/>
      <c r="HRE37" s="177"/>
      <c r="HRM37" s="177"/>
      <c r="HRU37" s="177"/>
      <c r="HSC37" s="177"/>
      <c r="HSK37" s="177"/>
      <c r="HSS37" s="177"/>
      <c r="HTA37" s="177"/>
      <c r="HTI37" s="177"/>
      <c r="HTQ37" s="177"/>
      <c r="HTY37" s="177"/>
      <c r="HUG37" s="177"/>
      <c r="HUO37" s="177"/>
      <c r="HUW37" s="177"/>
      <c r="HVE37" s="177"/>
      <c r="HVM37" s="177"/>
      <c r="HVU37" s="177"/>
      <c r="HWC37" s="177"/>
      <c r="HWK37" s="177"/>
      <c r="HWS37" s="177"/>
      <c r="HXA37" s="177"/>
      <c r="HXI37" s="177"/>
      <c r="HXQ37" s="177"/>
      <c r="HXY37" s="177"/>
      <c r="HYG37" s="177"/>
      <c r="HYO37" s="177"/>
      <c r="HYW37" s="177"/>
      <c r="HZE37" s="177"/>
      <c r="HZM37" s="177"/>
      <c r="HZU37" s="177"/>
      <c r="IAC37" s="177"/>
      <c r="IAK37" s="177"/>
      <c r="IAS37" s="177"/>
      <c r="IBA37" s="177"/>
      <c r="IBI37" s="177"/>
      <c r="IBQ37" s="177"/>
      <c r="IBY37" s="177"/>
      <c r="ICG37" s="177"/>
      <c r="ICO37" s="177"/>
      <c r="ICW37" s="177"/>
      <c r="IDE37" s="177"/>
      <c r="IDM37" s="177"/>
      <c r="IDU37" s="177"/>
      <c r="IEC37" s="177"/>
      <c r="IEK37" s="177"/>
      <c r="IES37" s="177"/>
      <c r="IFA37" s="177"/>
      <c r="IFI37" s="177"/>
      <c r="IFQ37" s="177"/>
      <c r="IFY37" s="177"/>
      <c r="IGG37" s="177"/>
      <c r="IGO37" s="177"/>
      <c r="IGW37" s="177"/>
      <c r="IHE37" s="177"/>
      <c r="IHM37" s="177"/>
      <c r="IHU37" s="177"/>
      <c r="IIC37" s="177"/>
      <c r="IIK37" s="177"/>
      <c r="IIS37" s="177"/>
      <c r="IJA37" s="177"/>
      <c r="IJI37" s="177"/>
      <c r="IJQ37" s="177"/>
      <c r="IJY37" s="177"/>
      <c r="IKG37" s="177"/>
      <c r="IKO37" s="177"/>
      <c r="IKW37" s="177"/>
      <c r="ILE37" s="177"/>
      <c r="ILM37" s="177"/>
      <c r="ILU37" s="177"/>
      <c r="IMC37" s="177"/>
      <c r="IMK37" s="177"/>
      <c r="IMS37" s="177"/>
      <c r="INA37" s="177"/>
      <c r="INI37" s="177"/>
      <c r="INQ37" s="177"/>
      <c r="INY37" s="177"/>
      <c r="IOG37" s="177"/>
      <c r="IOO37" s="177"/>
      <c r="IOW37" s="177"/>
      <c r="IPE37" s="177"/>
      <c r="IPM37" s="177"/>
      <c r="IPU37" s="177"/>
      <c r="IQC37" s="177"/>
      <c r="IQK37" s="177"/>
      <c r="IQS37" s="177"/>
      <c r="IRA37" s="177"/>
      <c r="IRI37" s="177"/>
      <c r="IRQ37" s="177"/>
      <c r="IRY37" s="177"/>
      <c r="ISG37" s="177"/>
      <c r="ISO37" s="177"/>
      <c r="ISW37" s="177"/>
      <c r="ITE37" s="177"/>
      <c r="ITM37" s="177"/>
      <c r="ITU37" s="177"/>
      <c r="IUC37" s="177"/>
      <c r="IUK37" s="177"/>
      <c r="IUS37" s="177"/>
      <c r="IVA37" s="177"/>
      <c r="IVI37" s="177"/>
      <c r="IVQ37" s="177"/>
      <c r="IVY37" s="177"/>
      <c r="IWG37" s="177"/>
      <c r="IWO37" s="177"/>
      <c r="IWW37" s="177"/>
      <c r="IXE37" s="177"/>
      <c r="IXM37" s="177"/>
      <c r="IXU37" s="177"/>
      <c r="IYC37" s="177"/>
      <c r="IYK37" s="177"/>
      <c r="IYS37" s="177"/>
      <c r="IZA37" s="177"/>
      <c r="IZI37" s="177"/>
      <c r="IZQ37" s="177"/>
      <c r="IZY37" s="177"/>
      <c r="JAG37" s="177"/>
      <c r="JAO37" s="177"/>
      <c r="JAW37" s="177"/>
      <c r="JBE37" s="177"/>
      <c r="JBM37" s="177"/>
      <c r="JBU37" s="177"/>
      <c r="JCC37" s="177"/>
      <c r="JCK37" s="177"/>
      <c r="JCS37" s="177"/>
      <c r="JDA37" s="177"/>
      <c r="JDI37" s="177"/>
      <c r="JDQ37" s="177"/>
      <c r="JDY37" s="177"/>
      <c r="JEG37" s="177"/>
      <c r="JEO37" s="177"/>
      <c r="JEW37" s="177"/>
      <c r="JFE37" s="177"/>
      <c r="JFM37" s="177"/>
      <c r="JFU37" s="177"/>
      <c r="JGC37" s="177"/>
      <c r="JGK37" s="177"/>
      <c r="JGS37" s="177"/>
      <c r="JHA37" s="177"/>
      <c r="JHI37" s="177"/>
      <c r="JHQ37" s="177"/>
      <c r="JHY37" s="177"/>
      <c r="JIG37" s="177"/>
      <c r="JIO37" s="177"/>
      <c r="JIW37" s="177"/>
      <c r="JJE37" s="177"/>
      <c r="JJM37" s="177"/>
      <c r="JJU37" s="177"/>
      <c r="JKC37" s="177"/>
      <c r="JKK37" s="177"/>
      <c r="JKS37" s="177"/>
      <c r="JLA37" s="177"/>
      <c r="JLI37" s="177"/>
      <c r="JLQ37" s="177"/>
      <c r="JLY37" s="177"/>
      <c r="JMG37" s="177"/>
      <c r="JMO37" s="177"/>
      <c r="JMW37" s="177"/>
      <c r="JNE37" s="177"/>
      <c r="JNM37" s="177"/>
      <c r="JNU37" s="177"/>
      <c r="JOC37" s="177"/>
      <c r="JOK37" s="177"/>
      <c r="JOS37" s="177"/>
      <c r="JPA37" s="177"/>
      <c r="JPI37" s="177"/>
      <c r="JPQ37" s="177"/>
      <c r="JPY37" s="177"/>
      <c r="JQG37" s="177"/>
      <c r="JQO37" s="177"/>
      <c r="JQW37" s="177"/>
      <c r="JRE37" s="177"/>
      <c r="JRM37" s="177"/>
      <c r="JRU37" s="177"/>
      <c r="JSC37" s="177"/>
      <c r="JSK37" s="177"/>
      <c r="JSS37" s="177"/>
      <c r="JTA37" s="177"/>
      <c r="JTI37" s="177"/>
      <c r="JTQ37" s="177"/>
      <c r="JTY37" s="177"/>
      <c r="JUG37" s="177"/>
      <c r="JUO37" s="177"/>
      <c r="JUW37" s="177"/>
      <c r="JVE37" s="177"/>
      <c r="JVM37" s="177"/>
      <c r="JVU37" s="177"/>
      <c r="JWC37" s="177"/>
      <c r="JWK37" s="177"/>
      <c r="JWS37" s="177"/>
      <c r="JXA37" s="177"/>
      <c r="JXI37" s="177"/>
      <c r="JXQ37" s="177"/>
      <c r="JXY37" s="177"/>
      <c r="JYG37" s="177"/>
      <c r="JYO37" s="177"/>
      <c r="JYW37" s="177"/>
      <c r="JZE37" s="177"/>
      <c r="JZM37" s="177"/>
      <c r="JZU37" s="177"/>
      <c r="KAC37" s="177"/>
      <c r="KAK37" s="177"/>
      <c r="KAS37" s="177"/>
      <c r="KBA37" s="177"/>
      <c r="KBI37" s="177"/>
      <c r="KBQ37" s="177"/>
      <c r="KBY37" s="177"/>
      <c r="KCG37" s="177"/>
      <c r="KCO37" s="177"/>
      <c r="KCW37" s="177"/>
      <c r="KDE37" s="177"/>
      <c r="KDM37" s="177"/>
      <c r="KDU37" s="177"/>
      <c r="KEC37" s="177"/>
      <c r="KEK37" s="177"/>
      <c r="KES37" s="177"/>
      <c r="KFA37" s="177"/>
      <c r="KFI37" s="177"/>
      <c r="KFQ37" s="177"/>
      <c r="KFY37" s="177"/>
      <c r="KGG37" s="177"/>
      <c r="KGO37" s="177"/>
      <c r="KGW37" s="177"/>
      <c r="KHE37" s="177"/>
      <c r="KHM37" s="177"/>
      <c r="KHU37" s="177"/>
      <c r="KIC37" s="177"/>
      <c r="KIK37" s="177"/>
      <c r="KIS37" s="177"/>
      <c r="KJA37" s="177"/>
      <c r="KJI37" s="177"/>
      <c r="KJQ37" s="177"/>
      <c r="KJY37" s="177"/>
      <c r="KKG37" s="177"/>
      <c r="KKO37" s="177"/>
      <c r="KKW37" s="177"/>
      <c r="KLE37" s="177"/>
      <c r="KLM37" s="177"/>
      <c r="KLU37" s="177"/>
      <c r="KMC37" s="177"/>
      <c r="KMK37" s="177"/>
      <c r="KMS37" s="177"/>
      <c r="KNA37" s="177"/>
      <c r="KNI37" s="177"/>
      <c r="KNQ37" s="177"/>
      <c r="KNY37" s="177"/>
      <c r="KOG37" s="177"/>
      <c r="KOO37" s="177"/>
      <c r="KOW37" s="177"/>
      <c r="KPE37" s="177"/>
      <c r="KPM37" s="177"/>
      <c r="KPU37" s="177"/>
      <c r="KQC37" s="177"/>
      <c r="KQK37" s="177"/>
      <c r="KQS37" s="177"/>
      <c r="KRA37" s="177"/>
      <c r="KRI37" s="177"/>
      <c r="KRQ37" s="177"/>
      <c r="KRY37" s="177"/>
      <c r="KSG37" s="177"/>
      <c r="KSO37" s="177"/>
      <c r="KSW37" s="177"/>
      <c r="KTE37" s="177"/>
      <c r="KTM37" s="177"/>
      <c r="KTU37" s="177"/>
      <c r="KUC37" s="177"/>
      <c r="KUK37" s="177"/>
      <c r="KUS37" s="177"/>
      <c r="KVA37" s="177"/>
      <c r="KVI37" s="177"/>
      <c r="KVQ37" s="177"/>
      <c r="KVY37" s="177"/>
      <c r="KWG37" s="177"/>
      <c r="KWO37" s="177"/>
      <c r="KWW37" s="177"/>
      <c r="KXE37" s="177"/>
      <c r="KXM37" s="177"/>
      <c r="KXU37" s="177"/>
      <c r="KYC37" s="177"/>
      <c r="KYK37" s="177"/>
      <c r="KYS37" s="177"/>
      <c r="KZA37" s="177"/>
      <c r="KZI37" s="177"/>
      <c r="KZQ37" s="177"/>
      <c r="KZY37" s="177"/>
      <c r="LAG37" s="177"/>
      <c r="LAO37" s="177"/>
      <c r="LAW37" s="177"/>
      <c r="LBE37" s="177"/>
      <c r="LBM37" s="177"/>
      <c r="LBU37" s="177"/>
      <c r="LCC37" s="177"/>
      <c r="LCK37" s="177"/>
      <c r="LCS37" s="177"/>
      <c r="LDA37" s="177"/>
      <c r="LDI37" s="177"/>
      <c r="LDQ37" s="177"/>
      <c r="LDY37" s="177"/>
      <c r="LEG37" s="177"/>
      <c r="LEO37" s="177"/>
      <c r="LEW37" s="177"/>
      <c r="LFE37" s="177"/>
      <c r="LFM37" s="177"/>
      <c r="LFU37" s="177"/>
      <c r="LGC37" s="177"/>
      <c r="LGK37" s="177"/>
      <c r="LGS37" s="177"/>
      <c r="LHA37" s="177"/>
      <c r="LHI37" s="177"/>
      <c r="LHQ37" s="177"/>
      <c r="LHY37" s="177"/>
      <c r="LIG37" s="177"/>
      <c r="LIO37" s="177"/>
      <c r="LIW37" s="177"/>
      <c r="LJE37" s="177"/>
      <c r="LJM37" s="177"/>
      <c r="LJU37" s="177"/>
      <c r="LKC37" s="177"/>
      <c r="LKK37" s="177"/>
      <c r="LKS37" s="177"/>
      <c r="LLA37" s="177"/>
      <c r="LLI37" s="177"/>
      <c r="LLQ37" s="177"/>
      <c r="LLY37" s="177"/>
      <c r="LMG37" s="177"/>
      <c r="LMO37" s="177"/>
      <c r="LMW37" s="177"/>
      <c r="LNE37" s="177"/>
      <c r="LNM37" s="177"/>
      <c r="LNU37" s="177"/>
      <c r="LOC37" s="177"/>
      <c r="LOK37" s="177"/>
      <c r="LOS37" s="177"/>
      <c r="LPA37" s="177"/>
      <c r="LPI37" s="177"/>
      <c r="LPQ37" s="177"/>
      <c r="LPY37" s="177"/>
      <c r="LQG37" s="177"/>
      <c r="LQO37" s="177"/>
      <c r="LQW37" s="177"/>
      <c r="LRE37" s="177"/>
      <c r="LRM37" s="177"/>
      <c r="LRU37" s="177"/>
      <c r="LSC37" s="177"/>
      <c r="LSK37" s="177"/>
      <c r="LSS37" s="177"/>
      <c r="LTA37" s="177"/>
      <c r="LTI37" s="177"/>
      <c r="LTQ37" s="177"/>
      <c r="LTY37" s="177"/>
      <c r="LUG37" s="177"/>
      <c r="LUO37" s="177"/>
      <c r="LUW37" s="177"/>
      <c r="LVE37" s="177"/>
      <c r="LVM37" s="177"/>
      <c r="LVU37" s="177"/>
      <c r="LWC37" s="177"/>
      <c r="LWK37" s="177"/>
      <c r="LWS37" s="177"/>
      <c r="LXA37" s="177"/>
      <c r="LXI37" s="177"/>
      <c r="LXQ37" s="177"/>
      <c r="LXY37" s="177"/>
      <c r="LYG37" s="177"/>
      <c r="LYO37" s="177"/>
      <c r="LYW37" s="177"/>
      <c r="LZE37" s="177"/>
      <c r="LZM37" s="177"/>
      <c r="LZU37" s="177"/>
      <c r="MAC37" s="177"/>
      <c r="MAK37" s="177"/>
      <c r="MAS37" s="177"/>
      <c r="MBA37" s="177"/>
      <c r="MBI37" s="177"/>
      <c r="MBQ37" s="177"/>
      <c r="MBY37" s="177"/>
      <c r="MCG37" s="177"/>
      <c r="MCO37" s="177"/>
      <c r="MCW37" s="177"/>
      <c r="MDE37" s="177"/>
      <c r="MDM37" s="177"/>
      <c r="MDU37" s="177"/>
      <c r="MEC37" s="177"/>
      <c r="MEK37" s="177"/>
      <c r="MES37" s="177"/>
      <c r="MFA37" s="177"/>
      <c r="MFI37" s="177"/>
      <c r="MFQ37" s="177"/>
      <c r="MFY37" s="177"/>
      <c r="MGG37" s="177"/>
      <c r="MGO37" s="177"/>
      <c r="MGW37" s="177"/>
      <c r="MHE37" s="177"/>
      <c r="MHM37" s="177"/>
      <c r="MHU37" s="177"/>
      <c r="MIC37" s="177"/>
      <c r="MIK37" s="177"/>
      <c r="MIS37" s="177"/>
      <c r="MJA37" s="177"/>
      <c r="MJI37" s="177"/>
      <c r="MJQ37" s="177"/>
      <c r="MJY37" s="177"/>
      <c r="MKG37" s="177"/>
      <c r="MKO37" s="177"/>
      <c r="MKW37" s="177"/>
      <c r="MLE37" s="177"/>
      <c r="MLM37" s="177"/>
      <c r="MLU37" s="177"/>
      <c r="MMC37" s="177"/>
      <c r="MMK37" s="177"/>
      <c r="MMS37" s="177"/>
      <c r="MNA37" s="177"/>
      <c r="MNI37" s="177"/>
      <c r="MNQ37" s="177"/>
      <c r="MNY37" s="177"/>
      <c r="MOG37" s="177"/>
      <c r="MOO37" s="177"/>
      <c r="MOW37" s="177"/>
      <c r="MPE37" s="177"/>
      <c r="MPM37" s="177"/>
      <c r="MPU37" s="177"/>
      <c r="MQC37" s="177"/>
      <c r="MQK37" s="177"/>
      <c r="MQS37" s="177"/>
      <c r="MRA37" s="177"/>
      <c r="MRI37" s="177"/>
      <c r="MRQ37" s="177"/>
      <c r="MRY37" s="177"/>
      <c r="MSG37" s="177"/>
      <c r="MSO37" s="177"/>
      <c r="MSW37" s="177"/>
      <c r="MTE37" s="177"/>
      <c r="MTM37" s="177"/>
      <c r="MTU37" s="177"/>
      <c r="MUC37" s="177"/>
      <c r="MUK37" s="177"/>
      <c r="MUS37" s="177"/>
      <c r="MVA37" s="177"/>
      <c r="MVI37" s="177"/>
      <c r="MVQ37" s="177"/>
      <c r="MVY37" s="177"/>
      <c r="MWG37" s="177"/>
      <c r="MWO37" s="177"/>
      <c r="MWW37" s="177"/>
      <c r="MXE37" s="177"/>
      <c r="MXM37" s="177"/>
      <c r="MXU37" s="177"/>
      <c r="MYC37" s="177"/>
      <c r="MYK37" s="177"/>
      <c r="MYS37" s="177"/>
      <c r="MZA37" s="177"/>
      <c r="MZI37" s="177"/>
      <c r="MZQ37" s="177"/>
      <c r="MZY37" s="177"/>
      <c r="NAG37" s="177"/>
      <c r="NAO37" s="177"/>
      <c r="NAW37" s="177"/>
      <c r="NBE37" s="177"/>
      <c r="NBM37" s="177"/>
      <c r="NBU37" s="177"/>
      <c r="NCC37" s="177"/>
      <c r="NCK37" s="177"/>
      <c r="NCS37" s="177"/>
      <c r="NDA37" s="177"/>
      <c r="NDI37" s="177"/>
      <c r="NDQ37" s="177"/>
      <c r="NDY37" s="177"/>
      <c r="NEG37" s="177"/>
      <c r="NEO37" s="177"/>
      <c r="NEW37" s="177"/>
      <c r="NFE37" s="177"/>
      <c r="NFM37" s="177"/>
      <c r="NFU37" s="177"/>
      <c r="NGC37" s="177"/>
      <c r="NGK37" s="177"/>
      <c r="NGS37" s="177"/>
      <c r="NHA37" s="177"/>
      <c r="NHI37" s="177"/>
      <c r="NHQ37" s="177"/>
      <c r="NHY37" s="177"/>
      <c r="NIG37" s="177"/>
      <c r="NIO37" s="177"/>
      <c r="NIW37" s="177"/>
      <c r="NJE37" s="177"/>
      <c r="NJM37" s="177"/>
      <c r="NJU37" s="177"/>
      <c r="NKC37" s="177"/>
      <c r="NKK37" s="177"/>
      <c r="NKS37" s="177"/>
      <c r="NLA37" s="177"/>
      <c r="NLI37" s="177"/>
      <c r="NLQ37" s="177"/>
      <c r="NLY37" s="177"/>
      <c r="NMG37" s="177"/>
      <c r="NMO37" s="177"/>
      <c r="NMW37" s="177"/>
      <c r="NNE37" s="177"/>
      <c r="NNM37" s="177"/>
      <c r="NNU37" s="177"/>
      <c r="NOC37" s="177"/>
      <c r="NOK37" s="177"/>
      <c r="NOS37" s="177"/>
      <c r="NPA37" s="177"/>
      <c r="NPI37" s="177"/>
      <c r="NPQ37" s="177"/>
      <c r="NPY37" s="177"/>
      <c r="NQG37" s="177"/>
      <c r="NQO37" s="177"/>
      <c r="NQW37" s="177"/>
      <c r="NRE37" s="177"/>
      <c r="NRM37" s="177"/>
      <c r="NRU37" s="177"/>
      <c r="NSC37" s="177"/>
      <c r="NSK37" s="177"/>
      <c r="NSS37" s="177"/>
      <c r="NTA37" s="177"/>
      <c r="NTI37" s="177"/>
      <c r="NTQ37" s="177"/>
      <c r="NTY37" s="177"/>
      <c r="NUG37" s="177"/>
      <c r="NUO37" s="177"/>
      <c r="NUW37" s="177"/>
      <c r="NVE37" s="177"/>
      <c r="NVM37" s="177"/>
      <c r="NVU37" s="177"/>
      <c r="NWC37" s="177"/>
      <c r="NWK37" s="177"/>
      <c r="NWS37" s="177"/>
      <c r="NXA37" s="177"/>
      <c r="NXI37" s="177"/>
      <c r="NXQ37" s="177"/>
      <c r="NXY37" s="177"/>
      <c r="NYG37" s="177"/>
      <c r="NYO37" s="177"/>
      <c r="NYW37" s="177"/>
      <c r="NZE37" s="177"/>
      <c r="NZM37" s="177"/>
      <c r="NZU37" s="177"/>
      <c r="OAC37" s="177"/>
      <c r="OAK37" s="177"/>
      <c r="OAS37" s="177"/>
      <c r="OBA37" s="177"/>
      <c r="OBI37" s="177"/>
      <c r="OBQ37" s="177"/>
      <c r="OBY37" s="177"/>
      <c r="OCG37" s="177"/>
      <c r="OCO37" s="177"/>
      <c r="OCW37" s="177"/>
      <c r="ODE37" s="177"/>
      <c r="ODM37" s="177"/>
      <c r="ODU37" s="177"/>
      <c r="OEC37" s="177"/>
      <c r="OEK37" s="177"/>
      <c r="OES37" s="177"/>
      <c r="OFA37" s="177"/>
      <c r="OFI37" s="177"/>
      <c r="OFQ37" s="177"/>
      <c r="OFY37" s="177"/>
      <c r="OGG37" s="177"/>
      <c r="OGO37" s="177"/>
      <c r="OGW37" s="177"/>
      <c r="OHE37" s="177"/>
      <c r="OHM37" s="177"/>
      <c r="OHU37" s="177"/>
      <c r="OIC37" s="177"/>
      <c r="OIK37" s="177"/>
      <c r="OIS37" s="177"/>
      <c r="OJA37" s="177"/>
      <c r="OJI37" s="177"/>
      <c r="OJQ37" s="177"/>
      <c r="OJY37" s="177"/>
      <c r="OKG37" s="177"/>
      <c r="OKO37" s="177"/>
      <c r="OKW37" s="177"/>
      <c r="OLE37" s="177"/>
      <c r="OLM37" s="177"/>
      <c r="OLU37" s="177"/>
      <c r="OMC37" s="177"/>
      <c r="OMK37" s="177"/>
      <c r="OMS37" s="177"/>
      <c r="ONA37" s="177"/>
      <c r="ONI37" s="177"/>
      <c r="ONQ37" s="177"/>
      <c r="ONY37" s="177"/>
      <c r="OOG37" s="177"/>
      <c r="OOO37" s="177"/>
      <c r="OOW37" s="177"/>
      <c r="OPE37" s="177"/>
      <c r="OPM37" s="177"/>
      <c r="OPU37" s="177"/>
      <c r="OQC37" s="177"/>
      <c r="OQK37" s="177"/>
      <c r="OQS37" s="177"/>
      <c r="ORA37" s="177"/>
      <c r="ORI37" s="177"/>
      <c r="ORQ37" s="177"/>
      <c r="ORY37" s="177"/>
      <c r="OSG37" s="177"/>
      <c r="OSO37" s="177"/>
      <c r="OSW37" s="177"/>
      <c r="OTE37" s="177"/>
      <c r="OTM37" s="177"/>
      <c r="OTU37" s="177"/>
      <c r="OUC37" s="177"/>
      <c r="OUK37" s="177"/>
      <c r="OUS37" s="177"/>
      <c r="OVA37" s="177"/>
      <c r="OVI37" s="177"/>
      <c r="OVQ37" s="177"/>
      <c r="OVY37" s="177"/>
      <c r="OWG37" s="177"/>
      <c r="OWO37" s="177"/>
      <c r="OWW37" s="177"/>
      <c r="OXE37" s="177"/>
      <c r="OXM37" s="177"/>
      <c r="OXU37" s="177"/>
      <c r="OYC37" s="177"/>
      <c r="OYK37" s="177"/>
      <c r="OYS37" s="177"/>
      <c r="OZA37" s="177"/>
      <c r="OZI37" s="177"/>
      <c r="OZQ37" s="177"/>
      <c r="OZY37" s="177"/>
      <c r="PAG37" s="177"/>
      <c r="PAO37" s="177"/>
      <c r="PAW37" s="177"/>
      <c r="PBE37" s="177"/>
      <c r="PBM37" s="177"/>
      <c r="PBU37" s="177"/>
      <c r="PCC37" s="177"/>
      <c r="PCK37" s="177"/>
      <c r="PCS37" s="177"/>
      <c r="PDA37" s="177"/>
      <c r="PDI37" s="177"/>
      <c r="PDQ37" s="177"/>
      <c r="PDY37" s="177"/>
      <c r="PEG37" s="177"/>
      <c r="PEO37" s="177"/>
      <c r="PEW37" s="177"/>
      <c r="PFE37" s="177"/>
      <c r="PFM37" s="177"/>
      <c r="PFU37" s="177"/>
      <c r="PGC37" s="177"/>
      <c r="PGK37" s="177"/>
      <c r="PGS37" s="177"/>
      <c r="PHA37" s="177"/>
      <c r="PHI37" s="177"/>
      <c r="PHQ37" s="177"/>
      <c r="PHY37" s="177"/>
      <c r="PIG37" s="177"/>
      <c r="PIO37" s="177"/>
      <c r="PIW37" s="177"/>
      <c r="PJE37" s="177"/>
      <c r="PJM37" s="177"/>
      <c r="PJU37" s="177"/>
      <c r="PKC37" s="177"/>
      <c r="PKK37" s="177"/>
      <c r="PKS37" s="177"/>
      <c r="PLA37" s="177"/>
      <c r="PLI37" s="177"/>
      <c r="PLQ37" s="177"/>
      <c r="PLY37" s="177"/>
      <c r="PMG37" s="177"/>
      <c r="PMO37" s="177"/>
      <c r="PMW37" s="177"/>
      <c r="PNE37" s="177"/>
      <c r="PNM37" s="177"/>
      <c r="PNU37" s="177"/>
      <c r="POC37" s="177"/>
      <c r="POK37" s="177"/>
      <c r="POS37" s="177"/>
      <c r="PPA37" s="177"/>
      <c r="PPI37" s="177"/>
      <c r="PPQ37" s="177"/>
      <c r="PPY37" s="177"/>
      <c r="PQG37" s="177"/>
      <c r="PQO37" s="177"/>
      <c r="PQW37" s="177"/>
      <c r="PRE37" s="177"/>
      <c r="PRM37" s="177"/>
      <c r="PRU37" s="177"/>
      <c r="PSC37" s="177"/>
      <c r="PSK37" s="177"/>
      <c r="PSS37" s="177"/>
      <c r="PTA37" s="177"/>
      <c r="PTI37" s="177"/>
      <c r="PTQ37" s="177"/>
      <c r="PTY37" s="177"/>
      <c r="PUG37" s="177"/>
      <c r="PUO37" s="177"/>
      <c r="PUW37" s="177"/>
      <c r="PVE37" s="177"/>
      <c r="PVM37" s="177"/>
      <c r="PVU37" s="177"/>
      <c r="PWC37" s="177"/>
      <c r="PWK37" s="177"/>
      <c r="PWS37" s="177"/>
      <c r="PXA37" s="177"/>
      <c r="PXI37" s="177"/>
      <c r="PXQ37" s="177"/>
      <c r="PXY37" s="177"/>
      <c r="PYG37" s="177"/>
      <c r="PYO37" s="177"/>
      <c r="PYW37" s="177"/>
      <c r="PZE37" s="177"/>
      <c r="PZM37" s="177"/>
      <c r="PZU37" s="177"/>
      <c r="QAC37" s="177"/>
      <c r="QAK37" s="177"/>
      <c r="QAS37" s="177"/>
      <c r="QBA37" s="177"/>
      <c r="QBI37" s="177"/>
      <c r="QBQ37" s="177"/>
      <c r="QBY37" s="177"/>
      <c r="QCG37" s="177"/>
      <c r="QCO37" s="177"/>
      <c r="QCW37" s="177"/>
      <c r="QDE37" s="177"/>
      <c r="QDM37" s="177"/>
      <c r="QDU37" s="177"/>
      <c r="QEC37" s="177"/>
      <c r="QEK37" s="177"/>
      <c r="QES37" s="177"/>
      <c r="QFA37" s="177"/>
      <c r="QFI37" s="177"/>
      <c r="QFQ37" s="177"/>
      <c r="QFY37" s="177"/>
      <c r="QGG37" s="177"/>
      <c r="QGO37" s="177"/>
      <c r="QGW37" s="177"/>
      <c r="QHE37" s="177"/>
      <c r="QHM37" s="177"/>
      <c r="QHU37" s="177"/>
      <c r="QIC37" s="177"/>
      <c r="QIK37" s="177"/>
      <c r="QIS37" s="177"/>
      <c r="QJA37" s="177"/>
      <c r="QJI37" s="177"/>
      <c r="QJQ37" s="177"/>
      <c r="QJY37" s="177"/>
      <c r="QKG37" s="177"/>
      <c r="QKO37" s="177"/>
      <c r="QKW37" s="177"/>
      <c r="QLE37" s="177"/>
      <c r="QLM37" s="177"/>
      <c r="QLU37" s="177"/>
      <c r="QMC37" s="177"/>
      <c r="QMK37" s="177"/>
      <c r="QMS37" s="177"/>
      <c r="QNA37" s="177"/>
      <c r="QNI37" s="177"/>
      <c r="QNQ37" s="177"/>
      <c r="QNY37" s="177"/>
      <c r="QOG37" s="177"/>
      <c r="QOO37" s="177"/>
      <c r="QOW37" s="177"/>
      <c r="QPE37" s="177"/>
      <c r="QPM37" s="177"/>
      <c r="QPU37" s="177"/>
      <c r="QQC37" s="177"/>
      <c r="QQK37" s="177"/>
      <c r="QQS37" s="177"/>
      <c r="QRA37" s="177"/>
      <c r="QRI37" s="177"/>
      <c r="QRQ37" s="177"/>
      <c r="QRY37" s="177"/>
      <c r="QSG37" s="177"/>
      <c r="QSO37" s="177"/>
      <c r="QSW37" s="177"/>
      <c r="QTE37" s="177"/>
      <c r="QTM37" s="177"/>
      <c r="QTU37" s="177"/>
      <c r="QUC37" s="177"/>
      <c r="QUK37" s="177"/>
      <c r="QUS37" s="177"/>
      <c r="QVA37" s="177"/>
      <c r="QVI37" s="177"/>
      <c r="QVQ37" s="177"/>
      <c r="QVY37" s="177"/>
      <c r="QWG37" s="177"/>
      <c r="QWO37" s="177"/>
      <c r="QWW37" s="177"/>
      <c r="QXE37" s="177"/>
      <c r="QXM37" s="177"/>
      <c r="QXU37" s="177"/>
      <c r="QYC37" s="177"/>
      <c r="QYK37" s="177"/>
      <c r="QYS37" s="177"/>
      <c r="QZA37" s="177"/>
      <c r="QZI37" s="177"/>
      <c r="QZQ37" s="177"/>
      <c r="QZY37" s="177"/>
      <c r="RAG37" s="177"/>
      <c r="RAO37" s="177"/>
      <c r="RAW37" s="177"/>
      <c r="RBE37" s="177"/>
      <c r="RBM37" s="177"/>
      <c r="RBU37" s="177"/>
      <c r="RCC37" s="177"/>
      <c r="RCK37" s="177"/>
      <c r="RCS37" s="177"/>
      <c r="RDA37" s="177"/>
      <c r="RDI37" s="177"/>
      <c r="RDQ37" s="177"/>
      <c r="RDY37" s="177"/>
      <c r="REG37" s="177"/>
      <c r="REO37" s="177"/>
      <c r="REW37" s="177"/>
      <c r="RFE37" s="177"/>
      <c r="RFM37" s="177"/>
      <c r="RFU37" s="177"/>
      <c r="RGC37" s="177"/>
      <c r="RGK37" s="177"/>
      <c r="RGS37" s="177"/>
      <c r="RHA37" s="177"/>
      <c r="RHI37" s="177"/>
      <c r="RHQ37" s="177"/>
      <c r="RHY37" s="177"/>
      <c r="RIG37" s="177"/>
      <c r="RIO37" s="177"/>
      <c r="RIW37" s="177"/>
      <c r="RJE37" s="177"/>
      <c r="RJM37" s="177"/>
      <c r="RJU37" s="177"/>
      <c r="RKC37" s="177"/>
      <c r="RKK37" s="177"/>
      <c r="RKS37" s="177"/>
      <c r="RLA37" s="177"/>
      <c r="RLI37" s="177"/>
      <c r="RLQ37" s="177"/>
      <c r="RLY37" s="177"/>
      <c r="RMG37" s="177"/>
      <c r="RMO37" s="177"/>
      <c r="RMW37" s="177"/>
      <c r="RNE37" s="177"/>
      <c r="RNM37" s="177"/>
      <c r="RNU37" s="177"/>
      <c r="ROC37" s="177"/>
      <c r="ROK37" s="177"/>
      <c r="ROS37" s="177"/>
      <c r="RPA37" s="177"/>
      <c r="RPI37" s="177"/>
      <c r="RPQ37" s="177"/>
      <c r="RPY37" s="177"/>
      <c r="RQG37" s="177"/>
      <c r="RQO37" s="177"/>
      <c r="RQW37" s="177"/>
      <c r="RRE37" s="177"/>
      <c r="RRM37" s="177"/>
      <c r="RRU37" s="177"/>
      <c r="RSC37" s="177"/>
      <c r="RSK37" s="177"/>
      <c r="RSS37" s="177"/>
      <c r="RTA37" s="177"/>
      <c r="RTI37" s="177"/>
      <c r="RTQ37" s="177"/>
      <c r="RTY37" s="177"/>
      <c r="RUG37" s="177"/>
      <c r="RUO37" s="177"/>
      <c r="RUW37" s="177"/>
      <c r="RVE37" s="177"/>
      <c r="RVM37" s="177"/>
      <c r="RVU37" s="177"/>
      <c r="RWC37" s="177"/>
      <c r="RWK37" s="177"/>
      <c r="RWS37" s="177"/>
      <c r="RXA37" s="177"/>
      <c r="RXI37" s="177"/>
      <c r="RXQ37" s="177"/>
      <c r="RXY37" s="177"/>
      <c r="RYG37" s="177"/>
      <c r="RYO37" s="177"/>
      <c r="RYW37" s="177"/>
      <c r="RZE37" s="177"/>
      <c r="RZM37" s="177"/>
      <c r="RZU37" s="177"/>
      <c r="SAC37" s="177"/>
      <c r="SAK37" s="177"/>
      <c r="SAS37" s="177"/>
      <c r="SBA37" s="177"/>
      <c r="SBI37" s="177"/>
      <c r="SBQ37" s="177"/>
      <c r="SBY37" s="177"/>
      <c r="SCG37" s="177"/>
      <c r="SCO37" s="177"/>
      <c r="SCW37" s="177"/>
      <c r="SDE37" s="177"/>
      <c r="SDM37" s="177"/>
      <c r="SDU37" s="177"/>
      <c r="SEC37" s="177"/>
      <c r="SEK37" s="177"/>
      <c r="SES37" s="177"/>
      <c r="SFA37" s="177"/>
      <c r="SFI37" s="177"/>
      <c r="SFQ37" s="177"/>
      <c r="SFY37" s="177"/>
      <c r="SGG37" s="177"/>
      <c r="SGO37" s="177"/>
      <c r="SGW37" s="177"/>
      <c r="SHE37" s="177"/>
      <c r="SHM37" s="177"/>
      <c r="SHU37" s="177"/>
      <c r="SIC37" s="177"/>
      <c r="SIK37" s="177"/>
      <c r="SIS37" s="177"/>
      <c r="SJA37" s="177"/>
      <c r="SJI37" s="177"/>
      <c r="SJQ37" s="177"/>
      <c r="SJY37" s="177"/>
      <c r="SKG37" s="177"/>
      <c r="SKO37" s="177"/>
      <c r="SKW37" s="177"/>
      <c r="SLE37" s="177"/>
      <c r="SLM37" s="177"/>
      <c r="SLU37" s="177"/>
      <c r="SMC37" s="177"/>
      <c r="SMK37" s="177"/>
      <c r="SMS37" s="177"/>
      <c r="SNA37" s="177"/>
      <c r="SNI37" s="177"/>
      <c r="SNQ37" s="177"/>
      <c r="SNY37" s="177"/>
      <c r="SOG37" s="177"/>
      <c r="SOO37" s="177"/>
      <c r="SOW37" s="177"/>
      <c r="SPE37" s="177"/>
      <c r="SPM37" s="177"/>
      <c r="SPU37" s="177"/>
      <c r="SQC37" s="177"/>
      <c r="SQK37" s="177"/>
      <c r="SQS37" s="177"/>
      <c r="SRA37" s="177"/>
      <c r="SRI37" s="177"/>
      <c r="SRQ37" s="177"/>
      <c r="SRY37" s="177"/>
      <c r="SSG37" s="177"/>
      <c r="SSO37" s="177"/>
      <c r="SSW37" s="177"/>
      <c r="STE37" s="177"/>
      <c r="STM37" s="177"/>
      <c r="STU37" s="177"/>
      <c r="SUC37" s="177"/>
      <c r="SUK37" s="177"/>
      <c r="SUS37" s="177"/>
      <c r="SVA37" s="177"/>
      <c r="SVI37" s="177"/>
      <c r="SVQ37" s="177"/>
      <c r="SVY37" s="177"/>
      <c r="SWG37" s="177"/>
      <c r="SWO37" s="177"/>
      <c r="SWW37" s="177"/>
      <c r="SXE37" s="177"/>
      <c r="SXM37" s="177"/>
      <c r="SXU37" s="177"/>
      <c r="SYC37" s="177"/>
      <c r="SYK37" s="177"/>
      <c r="SYS37" s="177"/>
      <c r="SZA37" s="177"/>
      <c r="SZI37" s="177"/>
      <c r="SZQ37" s="177"/>
      <c r="SZY37" s="177"/>
      <c r="TAG37" s="177"/>
      <c r="TAO37" s="177"/>
      <c r="TAW37" s="177"/>
      <c r="TBE37" s="177"/>
      <c r="TBM37" s="177"/>
      <c r="TBU37" s="177"/>
      <c r="TCC37" s="177"/>
      <c r="TCK37" s="177"/>
      <c r="TCS37" s="177"/>
      <c r="TDA37" s="177"/>
      <c r="TDI37" s="177"/>
      <c r="TDQ37" s="177"/>
      <c r="TDY37" s="177"/>
      <c r="TEG37" s="177"/>
      <c r="TEO37" s="177"/>
      <c r="TEW37" s="177"/>
      <c r="TFE37" s="177"/>
      <c r="TFM37" s="177"/>
      <c r="TFU37" s="177"/>
      <c r="TGC37" s="177"/>
      <c r="TGK37" s="177"/>
      <c r="TGS37" s="177"/>
      <c r="THA37" s="177"/>
      <c r="THI37" s="177"/>
      <c r="THQ37" s="177"/>
      <c r="THY37" s="177"/>
      <c r="TIG37" s="177"/>
      <c r="TIO37" s="177"/>
      <c r="TIW37" s="177"/>
      <c r="TJE37" s="177"/>
      <c r="TJM37" s="177"/>
      <c r="TJU37" s="177"/>
      <c r="TKC37" s="177"/>
      <c r="TKK37" s="177"/>
      <c r="TKS37" s="177"/>
      <c r="TLA37" s="177"/>
      <c r="TLI37" s="177"/>
      <c r="TLQ37" s="177"/>
      <c r="TLY37" s="177"/>
      <c r="TMG37" s="177"/>
      <c r="TMO37" s="177"/>
      <c r="TMW37" s="177"/>
      <c r="TNE37" s="177"/>
      <c r="TNM37" s="177"/>
      <c r="TNU37" s="177"/>
      <c r="TOC37" s="177"/>
      <c r="TOK37" s="177"/>
      <c r="TOS37" s="177"/>
      <c r="TPA37" s="177"/>
      <c r="TPI37" s="177"/>
      <c r="TPQ37" s="177"/>
      <c r="TPY37" s="177"/>
      <c r="TQG37" s="177"/>
      <c r="TQO37" s="177"/>
      <c r="TQW37" s="177"/>
      <c r="TRE37" s="177"/>
      <c r="TRM37" s="177"/>
      <c r="TRU37" s="177"/>
      <c r="TSC37" s="177"/>
      <c r="TSK37" s="177"/>
      <c r="TSS37" s="177"/>
      <c r="TTA37" s="177"/>
      <c r="TTI37" s="177"/>
      <c r="TTQ37" s="177"/>
      <c r="TTY37" s="177"/>
      <c r="TUG37" s="177"/>
      <c r="TUO37" s="177"/>
      <c r="TUW37" s="177"/>
      <c r="TVE37" s="177"/>
      <c r="TVM37" s="177"/>
      <c r="TVU37" s="177"/>
      <c r="TWC37" s="177"/>
      <c r="TWK37" s="177"/>
      <c r="TWS37" s="177"/>
      <c r="TXA37" s="177"/>
      <c r="TXI37" s="177"/>
      <c r="TXQ37" s="177"/>
      <c r="TXY37" s="177"/>
      <c r="TYG37" s="177"/>
      <c r="TYO37" s="177"/>
      <c r="TYW37" s="177"/>
      <c r="TZE37" s="177"/>
      <c r="TZM37" s="177"/>
      <c r="TZU37" s="177"/>
      <c r="UAC37" s="177"/>
      <c r="UAK37" s="177"/>
      <c r="UAS37" s="177"/>
      <c r="UBA37" s="177"/>
      <c r="UBI37" s="177"/>
      <c r="UBQ37" s="177"/>
      <c r="UBY37" s="177"/>
      <c r="UCG37" s="177"/>
      <c r="UCO37" s="177"/>
      <c r="UCW37" s="177"/>
      <c r="UDE37" s="177"/>
      <c r="UDM37" s="177"/>
      <c r="UDU37" s="177"/>
      <c r="UEC37" s="177"/>
      <c r="UEK37" s="177"/>
      <c r="UES37" s="177"/>
      <c r="UFA37" s="177"/>
      <c r="UFI37" s="177"/>
      <c r="UFQ37" s="177"/>
      <c r="UFY37" s="177"/>
      <c r="UGG37" s="177"/>
      <c r="UGO37" s="177"/>
      <c r="UGW37" s="177"/>
      <c r="UHE37" s="177"/>
      <c r="UHM37" s="177"/>
      <c r="UHU37" s="177"/>
      <c r="UIC37" s="177"/>
      <c r="UIK37" s="177"/>
      <c r="UIS37" s="177"/>
      <c r="UJA37" s="177"/>
      <c r="UJI37" s="177"/>
      <c r="UJQ37" s="177"/>
      <c r="UJY37" s="177"/>
      <c r="UKG37" s="177"/>
      <c r="UKO37" s="177"/>
      <c r="UKW37" s="177"/>
      <c r="ULE37" s="177"/>
      <c r="ULM37" s="177"/>
      <c r="ULU37" s="177"/>
      <c r="UMC37" s="177"/>
      <c r="UMK37" s="177"/>
      <c r="UMS37" s="177"/>
      <c r="UNA37" s="177"/>
      <c r="UNI37" s="177"/>
      <c r="UNQ37" s="177"/>
      <c r="UNY37" s="177"/>
      <c r="UOG37" s="177"/>
      <c r="UOO37" s="177"/>
      <c r="UOW37" s="177"/>
      <c r="UPE37" s="177"/>
      <c r="UPM37" s="177"/>
      <c r="UPU37" s="177"/>
      <c r="UQC37" s="177"/>
      <c r="UQK37" s="177"/>
      <c r="UQS37" s="177"/>
      <c r="URA37" s="177"/>
      <c r="URI37" s="177"/>
      <c r="URQ37" s="177"/>
      <c r="URY37" s="177"/>
      <c r="USG37" s="177"/>
      <c r="USO37" s="177"/>
      <c r="USW37" s="177"/>
      <c r="UTE37" s="177"/>
      <c r="UTM37" s="177"/>
      <c r="UTU37" s="177"/>
      <c r="UUC37" s="177"/>
      <c r="UUK37" s="177"/>
      <c r="UUS37" s="177"/>
      <c r="UVA37" s="177"/>
      <c r="UVI37" s="177"/>
      <c r="UVQ37" s="177"/>
      <c r="UVY37" s="177"/>
      <c r="UWG37" s="177"/>
      <c r="UWO37" s="177"/>
      <c r="UWW37" s="177"/>
      <c r="UXE37" s="177"/>
      <c r="UXM37" s="177"/>
      <c r="UXU37" s="177"/>
      <c r="UYC37" s="177"/>
      <c r="UYK37" s="177"/>
      <c r="UYS37" s="177"/>
      <c r="UZA37" s="177"/>
      <c r="UZI37" s="177"/>
      <c r="UZQ37" s="177"/>
      <c r="UZY37" s="177"/>
      <c r="VAG37" s="177"/>
      <c r="VAO37" s="177"/>
      <c r="VAW37" s="177"/>
      <c r="VBE37" s="177"/>
      <c r="VBM37" s="177"/>
      <c r="VBU37" s="177"/>
      <c r="VCC37" s="177"/>
      <c r="VCK37" s="177"/>
      <c r="VCS37" s="177"/>
      <c r="VDA37" s="177"/>
      <c r="VDI37" s="177"/>
      <c r="VDQ37" s="177"/>
      <c r="VDY37" s="177"/>
      <c r="VEG37" s="177"/>
      <c r="VEO37" s="177"/>
      <c r="VEW37" s="177"/>
      <c r="VFE37" s="177"/>
      <c r="VFM37" s="177"/>
      <c r="VFU37" s="177"/>
      <c r="VGC37" s="177"/>
      <c r="VGK37" s="177"/>
      <c r="VGS37" s="177"/>
      <c r="VHA37" s="177"/>
      <c r="VHI37" s="177"/>
      <c r="VHQ37" s="177"/>
      <c r="VHY37" s="177"/>
      <c r="VIG37" s="177"/>
      <c r="VIO37" s="177"/>
      <c r="VIW37" s="177"/>
      <c r="VJE37" s="177"/>
      <c r="VJM37" s="177"/>
      <c r="VJU37" s="177"/>
      <c r="VKC37" s="177"/>
      <c r="VKK37" s="177"/>
      <c r="VKS37" s="177"/>
      <c r="VLA37" s="177"/>
      <c r="VLI37" s="177"/>
      <c r="VLQ37" s="177"/>
      <c r="VLY37" s="177"/>
      <c r="VMG37" s="177"/>
      <c r="VMO37" s="177"/>
      <c r="VMW37" s="177"/>
      <c r="VNE37" s="177"/>
      <c r="VNM37" s="177"/>
      <c r="VNU37" s="177"/>
      <c r="VOC37" s="177"/>
      <c r="VOK37" s="177"/>
      <c r="VOS37" s="177"/>
      <c r="VPA37" s="177"/>
      <c r="VPI37" s="177"/>
      <c r="VPQ37" s="177"/>
      <c r="VPY37" s="177"/>
      <c r="VQG37" s="177"/>
      <c r="VQO37" s="177"/>
      <c r="VQW37" s="177"/>
      <c r="VRE37" s="177"/>
      <c r="VRM37" s="177"/>
      <c r="VRU37" s="177"/>
      <c r="VSC37" s="177"/>
      <c r="VSK37" s="177"/>
      <c r="VSS37" s="177"/>
      <c r="VTA37" s="177"/>
      <c r="VTI37" s="177"/>
      <c r="VTQ37" s="177"/>
      <c r="VTY37" s="177"/>
      <c r="VUG37" s="177"/>
      <c r="VUO37" s="177"/>
      <c r="VUW37" s="177"/>
      <c r="VVE37" s="177"/>
      <c r="VVM37" s="177"/>
      <c r="VVU37" s="177"/>
      <c r="VWC37" s="177"/>
      <c r="VWK37" s="177"/>
      <c r="VWS37" s="177"/>
      <c r="VXA37" s="177"/>
      <c r="VXI37" s="177"/>
      <c r="VXQ37" s="177"/>
      <c r="VXY37" s="177"/>
      <c r="VYG37" s="177"/>
      <c r="VYO37" s="177"/>
      <c r="VYW37" s="177"/>
      <c r="VZE37" s="177"/>
      <c r="VZM37" s="177"/>
      <c r="VZU37" s="177"/>
      <c r="WAC37" s="177"/>
      <c r="WAK37" s="177"/>
      <c r="WAS37" s="177"/>
      <c r="WBA37" s="177"/>
      <c r="WBI37" s="177"/>
      <c r="WBQ37" s="177"/>
      <c r="WBY37" s="177"/>
      <c r="WCG37" s="177"/>
      <c r="WCO37" s="177"/>
      <c r="WCW37" s="177"/>
      <c r="WDE37" s="177"/>
      <c r="WDM37" s="177"/>
      <c r="WDU37" s="177"/>
      <c r="WEC37" s="177"/>
      <c r="WEK37" s="177"/>
      <c r="WES37" s="177"/>
      <c r="WFA37" s="177"/>
      <c r="WFI37" s="177"/>
      <c r="WFQ37" s="177"/>
      <c r="WFY37" s="177"/>
      <c r="WGG37" s="177"/>
      <c r="WGO37" s="177"/>
      <c r="WGW37" s="177"/>
      <c r="WHE37" s="177"/>
      <c r="WHM37" s="177"/>
      <c r="WHU37" s="177"/>
      <c r="WIC37" s="177"/>
      <c r="WIK37" s="177"/>
      <c r="WIS37" s="177"/>
      <c r="WJA37" s="177"/>
      <c r="WJI37" s="177"/>
      <c r="WJQ37" s="177"/>
      <c r="WJY37" s="177"/>
      <c r="WKG37" s="177"/>
      <c r="WKO37" s="177"/>
      <c r="WKW37" s="177"/>
      <c r="WLE37" s="177"/>
      <c r="WLM37" s="177"/>
      <c r="WLU37" s="177"/>
      <c r="WMC37" s="177"/>
      <c r="WMK37" s="177"/>
      <c r="WMS37" s="177"/>
      <c r="WNA37" s="177"/>
      <c r="WNI37" s="177"/>
      <c r="WNQ37" s="177"/>
      <c r="WNY37" s="177"/>
      <c r="WOG37" s="177"/>
      <c r="WOO37" s="177"/>
      <c r="WOW37" s="177"/>
      <c r="WPE37" s="177"/>
      <c r="WPM37" s="177"/>
      <c r="WPU37" s="177"/>
      <c r="WQC37" s="177"/>
      <c r="WQK37" s="177"/>
      <c r="WQS37" s="177"/>
      <c r="WRA37" s="177"/>
      <c r="WRI37" s="177"/>
      <c r="WRQ37" s="177"/>
      <c r="WRY37" s="177"/>
      <c r="WSG37" s="177"/>
      <c r="WSO37" s="177"/>
      <c r="WSW37" s="177"/>
      <c r="WTE37" s="177"/>
      <c r="WTM37" s="177"/>
      <c r="WTU37" s="177"/>
      <c r="WUC37" s="177"/>
      <c r="WUK37" s="177"/>
      <c r="WUS37" s="177"/>
      <c r="WVA37" s="177"/>
      <c r="WVI37" s="177"/>
      <c r="WVQ37" s="177"/>
      <c r="WVY37" s="177"/>
      <c r="WWG37" s="177"/>
      <c r="WWO37" s="177"/>
      <c r="WWW37" s="177"/>
      <c r="WXE37" s="177"/>
      <c r="WXM37" s="177"/>
      <c r="WXU37" s="177"/>
      <c r="WYC37" s="177"/>
      <c r="WYK37" s="177"/>
      <c r="WYS37" s="177"/>
      <c r="WZA37" s="177"/>
      <c r="WZI37" s="177"/>
      <c r="WZQ37" s="177"/>
      <c r="WZY37" s="177"/>
      <c r="XAG37" s="177"/>
      <c r="XAO37" s="177"/>
      <c r="XAW37" s="177"/>
      <c r="XBE37" s="177"/>
      <c r="XBM37" s="177"/>
      <c r="XBU37" s="177"/>
      <c r="XCC37" s="177"/>
      <c r="XCK37" s="177"/>
      <c r="XCS37" s="177"/>
      <c r="XDA37" s="177"/>
      <c r="XDI37" s="177"/>
      <c r="XDQ37" s="177"/>
      <c r="XDY37" s="177"/>
      <c r="XEG37" s="177"/>
      <c r="XEO37" s="177"/>
      <c r="XEW37" s="177"/>
    </row>
    <row r="38" spans="1:1017 1025:2041 2049:3065 3073:4089 4097:5113 5121:6137 6145:7161 7169:8185 8193:9209 9217:10233 10241:11257 11265:12281 12289:13305 13313:14329 14337:15353 15361:16377" s="105" customFormat="1">
      <c r="B38" s="174" t="s">
        <v>90</v>
      </c>
      <c r="C38" s="182" t="str">
        <f>C21</f>
        <v>FY2025A</v>
      </c>
      <c r="D38" s="182" t="str">
        <f t="shared" ref="D38:I38" si="13">D21</f>
        <v>FY2026A</v>
      </c>
      <c r="E38" s="182" t="str">
        <f t="shared" si="13"/>
        <v>FY2027F</v>
      </c>
      <c r="F38" s="182" t="str">
        <f t="shared" si="13"/>
        <v>FY2028F</v>
      </c>
      <c r="G38" s="182" t="str">
        <f t="shared" si="13"/>
        <v>FY2029F</v>
      </c>
      <c r="H38" s="182" t="str">
        <f t="shared" si="13"/>
        <v>FY2030F</v>
      </c>
      <c r="I38" s="182" t="str">
        <f t="shared" si="13"/>
        <v>FY2031F</v>
      </c>
    </row>
    <row r="39" spans="1:1017 1025:2041 2049:3065 3073:4089 4097:5113 5121:6137 6145:7161 7169:8185 8193:9209 9217:10233 10241:11257 11265:12281 12289:13305 13313:14329 14337:15353 15361:16377" s="105" customFormat="1"/>
    <row r="40" spans="1:1017 1025:2041 2049:3065 3073:4089 4097:5113 5121:6137 6145:7161 7169:8185 8193:9209 9217:10233 10241:11257 11265:12281 12289:13305 13313:14329 14337:15353 15361:16377" s="105" customFormat="1">
      <c r="B40" s="180" t="s">
        <v>265</v>
      </c>
      <c r="C40" s="181"/>
      <c r="D40" s="181"/>
      <c r="E40" s="181"/>
      <c r="F40" s="181"/>
      <c r="G40" s="181"/>
      <c r="H40" s="181"/>
      <c r="I40" s="181"/>
    </row>
    <row r="41" spans="1:1017 1025:2041 2049:3065 3073:4089 4097:5113 5121:6137 6145:7161 7169:8185 8193:9209 9217:10233 10241:11257 11265:12281 12289:13305 13313:14329 14337:15353 15361:16377" s="105" customFormat="1">
      <c r="B41" s="168" t="s">
        <v>96</v>
      </c>
      <c r="C41" s="186">
        <f>HistoricalFS!K53</f>
        <v>30961</v>
      </c>
      <c r="D41" s="186">
        <f>HistoricalFS!L53</f>
        <v>33770</v>
      </c>
      <c r="E41" s="186">
        <f>E94</f>
        <v>31939.826765613216</v>
      </c>
      <c r="F41" s="186">
        <f t="shared" ref="F41:I41" si="14">F94</f>
        <v>29950.022167848798</v>
      </c>
      <c r="G41" s="186">
        <f t="shared" si="14"/>
        <v>27795.475205134182</v>
      </c>
      <c r="H41" s="186">
        <f t="shared" si="14"/>
        <v>25457.775339276486</v>
      </c>
      <c r="I41" s="186">
        <f t="shared" si="14"/>
        <v>22923.941455640103</v>
      </c>
    </row>
    <row r="42" spans="1:1017 1025:2041 2049:3065 3073:4089 4097:5113 5121:6137 6145:7161 7169:8185 8193:9209 9217:10233 10241:11257 11265:12281 12289:13305 13313:14329 14337:15353 15361:16377" s="105" customFormat="1">
      <c r="B42" s="168" t="s">
        <v>97</v>
      </c>
      <c r="C42" s="186">
        <f>HistoricalFS!K54</f>
        <v>814</v>
      </c>
      <c r="D42" s="186">
        <f>HistoricalFS!L54</f>
        <v>526</v>
      </c>
      <c r="E42" s="186">
        <f>E$23*E13</f>
        <v>577.94944243793043</v>
      </c>
      <c r="F42" s="186">
        <f t="shared" ref="F42:I42" si="15">F$23*F13</f>
        <v>628.35934666244793</v>
      </c>
      <c r="G42" s="186">
        <f t="shared" si="15"/>
        <v>680.38325138356197</v>
      </c>
      <c r="H42" s="186">
        <f t="shared" si="15"/>
        <v>738.22101027085159</v>
      </c>
      <c r="I42" s="186">
        <f t="shared" si="15"/>
        <v>800.15806851675279</v>
      </c>
    </row>
    <row r="43" spans="1:1017 1025:2041 2049:3065 3073:4089 4097:5113 5121:6137 6145:7161 7169:8185 8193:9209 9217:10233 10241:11257 11265:12281 12289:13305 13313:14329 14337:15353 15361:16377" s="105" customFormat="1">
      <c r="B43" s="168" t="s">
        <v>98</v>
      </c>
      <c r="C43" s="186">
        <f>HistoricalFS!K55</f>
        <v>23541</v>
      </c>
      <c r="D43" s="186">
        <f>HistoricalFS!L55</f>
        <v>21880</v>
      </c>
      <c r="E43" s="186">
        <f>E$23*E14</f>
        <v>23503.277325809173</v>
      </c>
      <c r="F43" s="186">
        <f t="shared" ref="F43:I43" si="16">F$23*F14</f>
        <v>25553.280097606217</v>
      </c>
      <c r="G43" s="186">
        <f t="shared" si="16"/>
        <v>27668.918889598186</v>
      </c>
      <c r="H43" s="186">
        <f t="shared" si="16"/>
        <v>30020.987751014629</v>
      </c>
      <c r="I43" s="186">
        <f t="shared" si="16"/>
        <v>32539.761453014613</v>
      </c>
    </row>
    <row r="44" spans="1:1017 1025:2041 2049:3065 3073:4089 4097:5113 5121:6137 6145:7161 7169:8185 8193:9209 9217:10233 10241:11257 11265:12281 12289:13305 13313:14329 14337:15353 15361:16377" s="105" customFormat="1">
      <c r="B44" s="168" t="s">
        <v>266</v>
      </c>
      <c r="C44" s="186">
        <f>HistoricalFS!K56</f>
        <v>36866</v>
      </c>
      <c r="D44" s="186">
        <f>HistoricalFS!L56</f>
        <v>40677</v>
      </c>
      <c r="E44" s="186">
        <f>E$23*E15</f>
        <v>43924.157625282714</v>
      </c>
      <c r="F44" s="186">
        <f t="shared" ref="F44:I44" si="17">F$23*F15</f>
        <v>47755.31034634605</v>
      </c>
      <c r="G44" s="186">
        <f t="shared" si="17"/>
        <v>51709.127105150714</v>
      </c>
      <c r="H44" s="186">
        <f t="shared" si="17"/>
        <v>56104.796780584722</v>
      </c>
      <c r="I44" s="186">
        <f t="shared" si="17"/>
        <v>60812.013207273216</v>
      </c>
    </row>
    <row r="45" spans="1:1017 1025:2041 2049:3065 3073:4089 4097:5113 5121:6137 6145:7161 7169:8185 8193:9209 9217:10233 10241:11257 11265:12281 12289:13305 13313:14329 14337:15353 15361:16377" s="105" customFormat="1">
      <c r="B45" s="177" t="s">
        <v>267</v>
      </c>
      <c r="C45" s="187">
        <f>SUM(C40:C44)</f>
        <v>92182</v>
      </c>
      <c r="D45" s="187">
        <f>SUM(D40:D44)</f>
        <v>96853</v>
      </c>
      <c r="E45" s="187">
        <f t="shared" ref="E45:I45" si="18">SUM(E40:E44)</f>
        <v>99945.211159143044</v>
      </c>
      <c r="F45" s="187">
        <f t="shared" si="18"/>
        <v>103886.97195846352</v>
      </c>
      <c r="G45" s="187">
        <f t="shared" si="18"/>
        <v>107853.90445126664</v>
      </c>
      <c r="H45" s="187">
        <f t="shared" si="18"/>
        <v>112321.7808811467</v>
      </c>
      <c r="I45" s="187">
        <f t="shared" si="18"/>
        <v>117075.87418444469</v>
      </c>
    </row>
    <row r="46" spans="1:1017 1025:2041 2049:3065 3073:4089 4097:5113 5121:6137 6145:7161 7169:8185 8193:9209 9217:10233 10241:11257 11265:12281 12289:13305 13313:14329 14337:15353 15361:16377" s="105" customFormat="1">
      <c r="C46" s="188"/>
      <c r="D46" s="188"/>
      <c r="E46" s="188"/>
      <c r="F46" s="188"/>
      <c r="G46" s="188"/>
      <c r="H46" s="188"/>
      <c r="I46" s="188"/>
    </row>
    <row r="47" spans="1:1017 1025:2041 2049:3065 3073:4089 4097:5113 5121:6137 6145:7161 7169:8185 8193:9209 9217:10233 10241:11257 11265:12281 12289:13305 13313:14329 14337:15353 15361:16377" s="105" customFormat="1">
      <c r="B47" s="168" t="s">
        <v>268</v>
      </c>
      <c r="C47" s="186">
        <f>HistoricalFS!K59</f>
        <v>31158</v>
      </c>
      <c r="D47" s="186">
        <f>HistoricalFS!L59</f>
        <v>35234</v>
      </c>
      <c r="E47" s="186">
        <f>E23*E11/365</f>
        <v>37474.347409217415</v>
      </c>
      <c r="F47" s="186">
        <f t="shared" ref="F47:I47" si="19">F23*F11/365</f>
        <v>40169.090654220417</v>
      </c>
      <c r="G47" s="186">
        <f t="shared" si="19"/>
        <v>43494.819723150074</v>
      </c>
      <c r="H47" s="186">
        <f t="shared" si="19"/>
        <v>46518.036263642702</v>
      </c>
      <c r="I47" s="186">
        <f t="shared" si="19"/>
        <v>50420.919385987167</v>
      </c>
    </row>
    <row r="48" spans="1:1017 1025:2041 2049:3065 3073:4089 4097:5113 5121:6137 6145:7161 7169:8185 8193:9209 9217:10233 10241:11257 11265:12281 12289:13305 13313:14329 14337:15353 15361:16377" s="105" customFormat="1">
      <c r="B48" s="168" t="s">
        <v>101</v>
      </c>
      <c r="C48" s="186">
        <f>HistoricalFS!K60</f>
        <v>0</v>
      </c>
      <c r="D48" s="186">
        <f>HistoricalFS!L60</f>
        <v>0</v>
      </c>
      <c r="E48" s="186">
        <v>0</v>
      </c>
      <c r="F48" s="186">
        <v>0</v>
      </c>
      <c r="G48" s="186">
        <v>0</v>
      </c>
      <c r="H48" s="186">
        <v>0</v>
      </c>
      <c r="I48" s="186">
        <v>0</v>
      </c>
    </row>
    <row r="49" spans="2:9" s="105" customFormat="1">
      <c r="B49" s="168" t="s">
        <v>102</v>
      </c>
      <c r="C49" s="186">
        <f>HistoricalFS!K61</f>
        <v>24455</v>
      </c>
      <c r="D49" s="186">
        <f>HistoricalFS!L61</f>
        <v>22201</v>
      </c>
      <c r="E49" s="186">
        <f>E86</f>
        <v>28385.623191328625</v>
      </c>
      <c r="F49" s="186">
        <f t="shared" ref="F49:I49" si="20">F86</f>
        <v>35310.462237233231</v>
      </c>
      <c r="G49" s="186">
        <f t="shared" si="20"/>
        <v>42550.729077589996</v>
      </c>
      <c r="H49" s="186">
        <f t="shared" si="20"/>
        <v>51066.451019011729</v>
      </c>
      <c r="I49" s="186">
        <f t="shared" si="20"/>
        <v>59798.403562094769</v>
      </c>
    </row>
    <row r="50" spans="2:9" s="105" customFormat="1">
      <c r="B50" s="177" t="s">
        <v>192</v>
      </c>
      <c r="C50" s="187">
        <f>SUM(C47:C49)</f>
        <v>55613</v>
      </c>
      <c r="D50" s="187">
        <f t="shared" ref="D50:I50" si="21">SUM(D47:D49)</f>
        <v>57435</v>
      </c>
      <c r="E50" s="187">
        <f t="shared" si="21"/>
        <v>65859.970600546047</v>
      </c>
      <c r="F50" s="187">
        <f t="shared" si="21"/>
        <v>75479.552891453641</v>
      </c>
      <c r="G50" s="187">
        <f t="shared" si="21"/>
        <v>86045.548800740071</v>
      </c>
      <c r="H50" s="187">
        <f t="shared" si="21"/>
        <v>97584.487282654431</v>
      </c>
      <c r="I50" s="187">
        <f t="shared" si="21"/>
        <v>110219.32294808194</v>
      </c>
    </row>
    <row r="51" spans="2:9" s="105" customFormat="1">
      <c r="C51" s="188"/>
      <c r="D51" s="188"/>
      <c r="E51" s="188"/>
      <c r="F51" s="188"/>
      <c r="G51" s="188"/>
      <c r="H51" s="188"/>
      <c r="I51" s="188"/>
    </row>
    <row r="52" spans="2:9" s="105" customFormat="1">
      <c r="B52" s="168" t="s">
        <v>269</v>
      </c>
      <c r="C52" s="189">
        <f>SUM(C45+C50)</f>
        <v>147795</v>
      </c>
      <c r="D52" s="189">
        <f t="shared" ref="D52:I52" si="22">SUM(D45+D50)</f>
        <v>154288</v>
      </c>
      <c r="E52" s="189">
        <f t="shared" si="22"/>
        <v>165805.18175968909</v>
      </c>
      <c r="F52" s="189">
        <f t="shared" si="22"/>
        <v>179366.52484991716</v>
      </c>
      <c r="G52" s="189">
        <f t="shared" si="22"/>
        <v>193899.45325200673</v>
      </c>
      <c r="H52" s="189">
        <f t="shared" si="22"/>
        <v>209906.26816380111</v>
      </c>
      <c r="I52" s="189">
        <f t="shared" si="22"/>
        <v>227295.19713252663</v>
      </c>
    </row>
    <row r="53" spans="2:9" s="105" customFormat="1">
      <c r="C53" s="188"/>
      <c r="D53" s="188"/>
      <c r="E53" s="188"/>
      <c r="F53" s="188"/>
      <c r="G53" s="188"/>
      <c r="H53" s="188"/>
      <c r="I53" s="188"/>
    </row>
    <row r="54" spans="2:9" s="105" customFormat="1">
      <c r="B54" s="180" t="s">
        <v>270</v>
      </c>
      <c r="C54" s="190"/>
      <c r="D54" s="190"/>
      <c r="E54" s="190"/>
      <c r="F54" s="190"/>
      <c r="G54" s="190"/>
      <c r="H54" s="190"/>
      <c r="I54" s="190"/>
    </row>
    <row r="55" spans="2:9" s="105" customFormat="1">
      <c r="B55" s="168" t="s">
        <v>91</v>
      </c>
      <c r="C55" s="186">
        <f>HistoricalFS!K47</f>
        <v>2073</v>
      </c>
      <c r="D55" s="186">
        <f>HistoricalFS!L47</f>
        <v>2024</v>
      </c>
      <c r="E55" s="186">
        <f>D55</f>
        <v>2024</v>
      </c>
      <c r="F55" s="186">
        <f t="shared" ref="F55:I55" si="23">E55</f>
        <v>2024</v>
      </c>
      <c r="G55" s="186">
        <f t="shared" si="23"/>
        <v>2024</v>
      </c>
      <c r="H55" s="186">
        <f t="shared" si="23"/>
        <v>2024</v>
      </c>
      <c r="I55" s="186">
        <f t="shared" si="23"/>
        <v>2024</v>
      </c>
    </row>
    <row r="56" spans="2:9" s="105" customFormat="1">
      <c r="B56" s="168" t="s">
        <v>271</v>
      </c>
      <c r="C56" s="186">
        <f>HistoricalFS!K48</f>
        <v>93745</v>
      </c>
      <c r="D56" s="186">
        <f>HistoricalFS!L48</f>
        <v>90828</v>
      </c>
      <c r="E56" s="186">
        <f>E118</f>
        <v>98736.735657355806</v>
      </c>
      <c r="F56" s="186">
        <f t="shared" ref="F56:I56" si="24">F118</f>
        <v>107425.12133921386</v>
      </c>
      <c r="G56" s="186">
        <f t="shared" si="24"/>
        <v>116929.07228492908</v>
      </c>
      <c r="H56" s="186">
        <f t="shared" si="24"/>
        <v>127344.90383761884</v>
      </c>
      <c r="I56" s="186">
        <f t="shared" si="24"/>
        <v>138746.58384257389</v>
      </c>
    </row>
    <row r="57" spans="2:9" s="105" customFormat="1">
      <c r="B57" s="168" t="s">
        <v>93</v>
      </c>
      <c r="C57" s="186">
        <f>HistoricalFS!K49</f>
        <v>8227</v>
      </c>
      <c r="D57" s="186">
        <f>HistoricalFS!L49</f>
        <v>9176</v>
      </c>
      <c r="E57" s="186">
        <f>D57</f>
        <v>9176</v>
      </c>
      <c r="F57" s="186">
        <f t="shared" ref="F57:I57" si="25">E57</f>
        <v>9176</v>
      </c>
      <c r="G57" s="186">
        <f t="shared" si="25"/>
        <v>9176</v>
      </c>
      <c r="H57" s="186">
        <f t="shared" si="25"/>
        <v>9176</v>
      </c>
      <c r="I57" s="186">
        <f t="shared" si="25"/>
        <v>9176</v>
      </c>
    </row>
    <row r="58" spans="2:9" s="105" customFormat="1">
      <c r="B58" s="168" t="s">
        <v>272</v>
      </c>
      <c r="C58" s="186">
        <f>HistoricalFS!K50</f>
        <v>43750</v>
      </c>
      <c r="D58" s="186">
        <f>HistoricalFS!L50</f>
        <v>52260</v>
      </c>
      <c r="E58" s="186">
        <f>E23*E12</f>
        <v>55868.446102333277</v>
      </c>
      <c r="F58" s="186">
        <f t="shared" ref="F58:I58" si="26">F23*F12</f>
        <v>60741.403510703298</v>
      </c>
      <c r="G58" s="186">
        <f t="shared" si="26"/>
        <v>65770.380967077654</v>
      </c>
      <c r="H58" s="186">
        <f t="shared" si="26"/>
        <v>71361.364326182316</v>
      </c>
      <c r="I58" s="186">
        <f t="shared" si="26"/>
        <v>77348.613289952758</v>
      </c>
    </row>
    <row r="59" spans="2:9" s="105" customFormat="1">
      <c r="B59" s="168" t="s">
        <v>273</v>
      </c>
      <c r="C59" s="189">
        <f>SUM(C54:C58)</f>
        <v>147795</v>
      </c>
      <c r="D59" s="189">
        <f t="shared" ref="D59:I59" si="27">SUM(D54:D58)</f>
        <v>154288</v>
      </c>
      <c r="E59" s="189">
        <f t="shared" si="27"/>
        <v>165805.18175968909</v>
      </c>
      <c r="F59" s="189">
        <f t="shared" si="27"/>
        <v>179366.52484991716</v>
      </c>
      <c r="G59" s="189">
        <f t="shared" si="27"/>
        <v>193899.45325200673</v>
      </c>
      <c r="H59" s="189">
        <f t="shared" si="27"/>
        <v>209906.26816380114</v>
      </c>
      <c r="I59" s="189">
        <f t="shared" si="27"/>
        <v>227295.19713252666</v>
      </c>
    </row>
    <row r="60" spans="2:9" s="105" customFormat="1">
      <c r="C60" s="188"/>
      <c r="D60" s="188"/>
      <c r="E60" s="188"/>
      <c r="F60" s="188"/>
      <c r="G60" s="188"/>
      <c r="H60" s="188"/>
      <c r="I60" s="188"/>
    </row>
    <row r="61" spans="2:9" s="105" customFormat="1">
      <c r="B61" s="177" t="s">
        <v>274</v>
      </c>
      <c r="C61" s="191" t="str">
        <f>IF(C52=C59,"OK")</f>
        <v>OK</v>
      </c>
      <c r="D61" s="191" t="str">
        <f t="shared" ref="D61:I61" si="28">IF(D52=D59,"OK")</f>
        <v>OK</v>
      </c>
      <c r="E61" s="191" t="str">
        <f t="shared" si="28"/>
        <v>OK</v>
      </c>
      <c r="F61" s="191" t="str">
        <f t="shared" si="28"/>
        <v>OK</v>
      </c>
      <c r="G61" s="191" t="str">
        <f t="shared" si="28"/>
        <v>OK</v>
      </c>
      <c r="H61" s="191" t="str">
        <f t="shared" si="28"/>
        <v>OK</v>
      </c>
      <c r="I61" s="191" t="str">
        <f t="shared" si="28"/>
        <v>OK</v>
      </c>
    </row>
    <row r="62" spans="2:9" s="105" customFormat="1">
      <c r="C62" s="188"/>
      <c r="D62" s="188"/>
      <c r="E62" s="188"/>
      <c r="F62" s="188"/>
      <c r="G62" s="188"/>
      <c r="H62" s="188"/>
      <c r="I62" s="188"/>
    </row>
    <row r="63" spans="2:9" s="105" customFormat="1">
      <c r="B63" s="174" t="s">
        <v>275</v>
      </c>
      <c r="C63" s="182" t="str">
        <f>C38</f>
        <v>FY2025A</v>
      </c>
      <c r="D63" s="182" t="str">
        <f t="shared" ref="D63:I63" si="29">D38</f>
        <v>FY2026A</v>
      </c>
      <c r="E63" s="182" t="str">
        <f t="shared" si="29"/>
        <v>FY2027F</v>
      </c>
      <c r="F63" s="182" t="str">
        <f t="shared" si="29"/>
        <v>FY2028F</v>
      </c>
      <c r="G63" s="182" t="str">
        <f t="shared" si="29"/>
        <v>FY2029F</v>
      </c>
      <c r="H63" s="182" t="str">
        <f t="shared" si="29"/>
        <v>FY2030F</v>
      </c>
      <c r="I63" s="182" t="str">
        <f t="shared" si="29"/>
        <v>FY2031F</v>
      </c>
    </row>
    <row r="64" spans="2:9" s="105" customFormat="1" ht="7.5" customHeight="1">
      <c r="C64" s="188"/>
      <c r="D64" s="188"/>
      <c r="E64" s="188"/>
      <c r="F64" s="188"/>
      <c r="G64" s="188"/>
      <c r="H64" s="188"/>
      <c r="I64" s="188"/>
    </row>
    <row r="65" spans="2:10" s="105" customFormat="1">
      <c r="B65" s="180" t="s">
        <v>195</v>
      </c>
      <c r="C65" s="190"/>
      <c r="D65" s="190"/>
      <c r="E65" s="190"/>
      <c r="F65" s="190"/>
      <c r="G65" s="190"/>
      <c r="H65" s="190"/>
      <c r="I65" s="190"/>
    </row>
    <row r="66" spans="2:10" s="105" customFormat="1">
      <c r="B66" s="168" t="s">
        <v>262</v>
      </c>
      <c r="C66" s="186">
        <f>C33</f>
        <v>23150</v>
      </c>
      <c r="D66" s="186">
        <f>D33</f>
        <v>26441</v>
      </c>
      <c r="E66" s="186">
        <f t="shared" ref="E66:I66" si="30">E33</f>
        <v>29291.613545762215</v>
      </c>
      <c r="F66" s="186">
        <f t="shared" si="30"/>
        <v>32179.20622910394</v>
      </c>
      <c r="G66" s="186">
        <f t="shared" si="30"/>
        <v>35199.818317463702</v>
      </c>
      <c r="H66" s="186">
        <f t="shared" si="30"/>
        <v>38577.153898850913</v>
      </c>
      <c r="I66" s="186">
        <f t="shared" si="30"/>
        <v>42228.44446279652</v>
      </c>
    </row>
    <row r="67" spans="2:10" s="105" customFormat="1">
      <c r="B67" s="168" t="s">
        <v>276</v>
      </c>
      <c r="C67" s="186">
        <f>C28</f>
        <v>4812</v>
      </c>
      <c r="D67" s="186">
        <f>D28</f>
        <v>4902</v>
      </c>
      <c r="E67" s="186">
        <f t="shared" ref="E67:I67" si="31">E28</f>
        <v>5297.8698890143623</v>
      </c>
      <c r="F67" s="186">
        <f t="shared" si="31"/>
        <v>5759.9606777391064</v>
      </c>
      <c r="G67" s="186">
        <f t="shared" si="31"/>
        <v>6236.8464710159851</v>
      </c>
      <c r="H67" s="186">
        <f t="shared" si="31"/>
        <v>6767.0259274828059</v>
      </c>
      <c r="I67" s="186">
        <f t="shared" si="31"/>
        <v>7334.7822947369004</v>
      </c>
    </row>
    <row r="68" spans="2:10" s="105" customFormat="1">
      <c r="B68" s="168" t="s">
        <v>277</v>
      </c>
      <c r="C68" s="186">
        <f>HistoricalFS!J59-HistoricalFS!K59</f>
        <v>-965</v>
      </c>
      <c r="D68" s="186">
        <f>HistoricalFS!K59-HistoricalFS!L59</f>
        <v>-4076</v>
      </c>
      <c r="E68" s="186">
        <f>D47-E47</f>
        <v>-2240.3474092174147</v>
      </c>
      <c r="F68" s="186">
        <f t="shared" ref="F68:I68" si="32">E47-F47</f>
        <v>-2694.7432450030028</v>
      </c>
      <c r="G68" s="186">
        <f t="shared" si="32"/>
        <v>-3325.7290689296569</v>
      </c>
      <c r="H68" s="186">
        <f t="shared" si="32"/>
        <v>-3023.2165404926272</v>
      </c>
      <c r="I68" s="186">
        <f t="shared" si="32"/>
        <v>-3902.8831223444649</v>
      </c>
    </row>
    <row r="69" spans="2:10" s="105" customFormat="1">
      <c r="B69" s="168" t="s">
        <v>278</v>
      </c>
      <c r="C69" s="186">
        <f>HistoricalFS!K50-HistoricalFS!J50</f>
        <v>4205</v>
      </c>
      <c r="D69" s="186">
        <f>HistoricalFS!L50-HistoricalFS!K50</f>
        <v>8510</v>
      </c>
      <c r="E69" s="186">
        <f>E58-D58</f>
        <v>3608.4461023332769</v>
      </c>
      <c r="F69" s="186">
        <f t="shared" ref="F69:J69" si="33">F58-E58</f>
        <v>4872.9574083700209</v>
      </c>
      <c r="G69" s="186">
        <f t="shared" si="33"/>
        <v>5028.9774563743558</v>
      </c>
      <c r="H69" s="186">
        <f t="shared" si="33"/>
        <v>5590.9833591046627</v>
      </c>
      <c r="I69" s="186">
        <f t="shared" si="33"/>
        <v>5987.2489637704421</v>
      </c>
      <c r="J69" s="186"/>
    </row>
    <row r="70" spans="2:10" s="105" customFormat="1">
      <c r="B70" s="168" t="s">
        <v>196</v>
      </c>
      <c r="C70" s="187">
        <f>HistoricalFS!K76</f>
        <v>35694</v>
      </c>
      <c r="D70" s="187">
        <f>HistoricalFS!L76</f>
        <v>33986</v>
      </c>
      <c r="E70" s="187">
        <f t="shared" ref="D70:I70" si="34">SUM(E66:E69)</f>
        <v>35957.582127892441</v>
      </c>
      <c r="F70" s="187">
        <f t="shared" si="34"/>
        <v>40117.381070210067</v>
      </c>
      <c r="G70" s="187">
        <f t="shared" si="34"/>
        <v>43139.913175924383</v>
      </c>
      <c r="H70" s="187">
        <f t="shared" si="34"/>
        <v>47911.946644945754</v>
      </c>
      <c r="I70" s="187">
        <f t="shared" si="34"/>
        <v>51647.592598959396</v>
      </c>
    </row>
    <row r="71" spans="2:10" s="105" customFormat="1">
      <c r="C71" s="188"/>
      <c r="D71" s="188"/>
      <c r="E71" s="188"/>
      <c r="F71" s="188"/>
      <c r="G71" s="188"/>
      <c r="H71" s="188"/>
      <c r="I71" s="188"/>
    </row>
    <row r="72" spans="2:10" s="105" customFormat="1">
      <c r="B72" s="180" t="s">
        <v>197</v>
      </c>
      <c r="C72" s="190"/>
      <c r="D72" s="190"/>
      <c r="E72" s="190"/>
      <c r="F72" s="190"/>
      <c r="G72" s="190"/>
      <c r="H72" s="190"/>
      <c r="I72" s="190"/>
    </row>
    <row r="73" spans="2:10" s="105" customFormat="1">
      <c r="B73" s="168" t="s">
        <v>279</v>
      </c>
      <c r="C73" s="186">
        <f>HistoricalFS!K79</f>
        <v>-2237</v>
      </c>
      <c r="D73" s="186">
        <f>HistoricalFS!L79</f>
        <v>-2727</v>
      </c>
      <c r="E73" s="186">
        <f>-E92</f>
        <v>-3467.6966546275826</v>
      </c>
      <c r="F73" s="186">
        <f t="shared" ref="F73:I73" si="35">-F92</f>
        <v>-3770.1560799746876</v>
      </c>
      <c r="G73" s="186">
        <f t="shared" si="35"/>
        <v>-4082.2995083013716</v>
      </c>
      <c r="H73" s="186">
        <f t="shared" si="35"/>
        <v>-4429.3260616251091</v>
      </c>
      <c r="I73" s="186">
        <f t="shared" si="35"/>
        <v>-4800.9484111005168</v>
      </c>
    </row>
    <row r="74" spans="2:10" s="105" customFormat="1">
      <c r="B74" s="168" t="s">
        <v>280</v>
      </c>
      <c r="C74" s="186">
        <f>HistoricalFS!J55-HistoricalFS!K55</f>
        <v>1082</v>
      </c>
      <c r="D74" s="186">
        <f>HistoricalFS!K55-HistoricalFS!L55</f>
        <v>1661</v>
      </c>
      <c r="E74" s="186">
        <f>D43-E43</f>
        <v>-1623.2773258091729</v>
      </c>
      <c r="F74" s="186">
        <f t="shared" ref="F74:I74" si="36">E43-F43</f>
        <v>-2050.0027717970443</v>
      </c>
      <c r="G74" s="186">
        <f t="shared" si="36"/>
        <v>-2115.6387919919689</v>
      </c>
      <c r="H74" s="186">
        <f t="shared" si="36"/>
        <v>-2352.0688614164428</v>
      </c>
      <c r="I74" s="186">
        <f t="shared" si="36"/>
        <v>-2518.773701999984</v>
      </c>
    </row>
    <row r="75" spans="2:10" s="105" customFormat="1">
      <c r="B75" s="168" t="s">
        <v>281</v>
      </c>
      <c r="C75" s="186">
        <f>HistoricalFS!J54-HistoricalFS!K54</f>
        <v>-521</v>
      </c>
      <c r="D75" s="186">
        <f>HistoricalFS!K54-HistoricalFS!L54</f>
        <v>288</v>
      </c>
      <c r="E75" s="186">
        <f>D42-E42</f>
        <v>-51.949442437930429</v>
      </c>
      <c r="F75" s="186">
        <f t="shared" ref="F75:I75" si="37">E42-F42</f>
        <v>-50.409904224517504</v>
      </c>
      <c r="G75" s="186">
        <f t="shared" si="37"/>
        <v>-52.023904721114036</v>
      </c>
      <c r="H75" s="186">
        <f t="shared" si="37"/>
        <v>-57.837758887289624</v>
      </c>
      <c r="I75" s="186">
        <f t="shared" si="37"/>
        <v>-61.937058245901198</v>
      </c>
    </row>
    <row r="76" spans="2:10" s="105" customFormat="1">
      <c r="B76" s="168" t="s">
        <v>282</v>
      </c>
      <c r="C76" s="186">
        <f>HistoricalFS!J56-HistoricalFS!K56</f>
        <v>1637</v>
      </c>
      <c r="D76" s="186">
        <f>HistoricalFS!K56-HistoricalFS!L56</f>
        <v>-3811</v>
      </c>
      <c r="E76" s="186">
        <f>D44-E44</f>
        <v>-3247.1576252827144</v>
      </c>
      <c r="F76" s="186">
        <f t="shared" ref="F76:I76" si="38">E44-F44</f>
        <v>-3831.1527210633358</v>
      </c>
      <c r="G76" s="186">
        <f t="shared" si="38"/>
        <v>-3953.8167588046636</v>
      </c>
      <c r="H76" s="186">
        <f t="shared" si="38"/>
        <v>-4395.6696754340082</v>
      </c>
      <c r="I76" s="186">
        <f t="shared" si="38"/>
        <v>-4707.2164266884938</v>
      </c>
    </row>
    <row r="77" spans="2:10" s="105" customFormat="1">
      <c r="B77" s="168" t="s">
        <v>198</v>
      </c>
      <c r="C77" s="187">
        <f>HistoricalFS!K87</f>
        <v>-1864</v>
      </c>
      <c r="D77" s="187">
        <f>HistoricalFS!L87</f>
        <v>3546</v>
      </c>
      <c r="E77" s="187">
        <f t="shared" ref="D77:I77" si="39">SUM(E73:E76)</f>
        <v>-8390.0810481574008</v>
      </c>
      <c r="F77" s="187">
        <f t="shared" si="39"/>
        <v>-9701.7214770595856</v>
      </c>
      <c r="G77" s="187">
        <f t="shared" si="39"/>
        <v>-10203.778963819119</v>
      </c>
      <c r="H77" s="187">
        <f t="shared" si="39"/>
        <v>-11234.902357362851</v>
      </c>
      <c r="I77" s="187">
        <f t="shared" si="39"/>
        <v>-12088.875598034896</v>
      </c>
    </row>
    <row r="78" spans="2:10" s="105" customFormat="1">
      <c r="C78" s="188"/>
      <c r="D78" s="188"/>
      <c r="E78" s="188"/>
      <c r="F78" s="188"/>
      <c r="G78" s="188"/>
      <c r="H78" s="188"/>
      <c r="I78" s="188"/>
    </row>
    <row r="79" spans="2:10" s="105" customFormat="1">
      <c r="B79" s="180" t="s">
        <v>199</v>
      </c>
      <c r="C79" s="190"/>
      <c r="D79" s="190"/>
      <c r="E79" s="190"/>
      <c r="F79" s="190"/>
      <c r="G79" s="190"/>
      <c r="H79" s="190"/>
      <c r="I79" s="190"/>
    </row>
    <row r="80" spans="2:10" s="105" customFormat="1">
      <c r="B80" s="168" t="s">
        <v>253</v>
      </c>
      <c r="C80" s="186">
        <f>C18</f>
        <v>-132</v>
      </c>
      <c r="D80" s="186">
        <f t="shared" ref="D80:I80" si="40">D18</f>
        <v>949</v>
      </c>
      <c r="E80" s="186">
        <f t="shared" si="40"/>
        <v>0</v>
      </c>
      <c r="F80" s="186">
        <f t="shared" si="40"/>
        <v>0</v>
      </c>
      <c r="G80" s="186">
        <f t="shared" si="40"/>
        <v>0</v>
      </c>
      <c r="H80" s="186">
        <f t="shared" si="40"/>
        <v>0</v>
      </c>
      <c r="I80" s="186">
        <f t="shared" si="40"/>
        <v>0</v>
      </c>
    </row>
    <row r="81" spans="2:9" s="105" customFormat="1">
      <c r="B81" s="168" t="s">
        <v>263</v>
      </c>
      <c r="C81" s="186">
        <f>C34</f>
        <v>-20289</v>
      </c>
      <c r="D81" s="186">
        <f t="shared" ref="D81:I81" si="41">D34</f>
        <v>-18656</v>
      </c>
      <c r="E81" s="186">
        <f t="shared" si="41"/>
        <v>-21382.877888406416</v>
      </c>
      <c r="F81" s="186">
        <f t="shared" si="41"/>
        <v>-23490.820547245876</v>
      </c>
      <c r="G81" s="186">
        <f t="shared" si="41"/>
        <v>-25695.8673717485</v>
      </c>
      <c r="H81" s="186">
        <f t="shared" si="41"/>
        <v>-28161.322346161167</v>
      </c>
      <c r="I81" s="186">
        <f t="shared" si="41"/>
        <v>-30826.764457841458</v>
      </c>
    </row>
    <row r="82" spans="2:9" s="105" customFormat="1">
      <c r="B82" s="168" t="s">
        <v>200</v>
      </c>
      <c r="C82" s="187">
        <f>HistoricalFS!K95</f>
        <v>-24161</v>
      </c>
      <c r="D82" s="187">
        <f>HistoricalFS!L95</f>
        <v>-39786</v>
      </c>
      <c r="E82" s="187">
        <f t="shared" ref="D82:I82" si="42">SUM(E80:E81)</f>
        <v>-21382.877888406416</v>
      </c>
      <c r="F82" s="187">
        <f t="shared" si="42"/>
        <v>-23490.820547245876</v>
      </c>
      <c r="G82" s="187">
        <f t="shared" si="42"/>
        <v>-25695.8673717485</v>
      </c>
      <c r="H82" s="187">
        <f t="shared" si="42"/>
        <v>-28161.322346161167</v>
      </c>
      <c r="I82" s="187">
        <f t="shared" si="42"/>
        <v>-30826.764457841458</v>
      </c>
    </row>
    <row r="83" spans="2:9" s="105" customFormat="1">
      <c r="C83" s="188"/>
      <c r="D83" s="188"/>
      <c r="E83" s="188"/>
      <c r="F83" s="188"/>
      <c r="G83" s="188"/>
      <c r="H83" s="188"/>
      <c r="I83" s="188"/>
    </row>
    <row r="84" spans="2:9" s="105" customFormat="1">
      <c r="B84" s="177" t="s">
        <v>283</v>
      </c>
      <c r="C84" s="186">
        <f>C70+C77+C82</f>
        <v>9669</v>
      </c>
      <c r="D84" s="186">
        <f t="shared" ref="D84:I84" si="43">D70+D77+D82</f>
        <v>-2254</v>
      </c>
      <c r="E84" s="186">
        <f t="shared" si="43"/>
        <v>6184.6231913286247</v>
      </c>
      <c r="F84" s="186">
        <f t="shared" si="43"/>
        <v>6924.8390459046059</v>
      </c>
      <c r="G84" s="186">
        <f t="shared" si="43"/>
        <v>7240.2668403567659</v>
      </c>
      <c r="H84" s="186">
        <f t="shared" si="43"/>
        <v>8515.7219414217361</v>
      </c>
      <c r="I84" s="186">
        <f t="shared" si="43"/>
        <v>8731.9525430830436</v>
      </c>
    </row>
    <row r="85" spans="2:9" s="105" customFormat="1">
      <c r="B85" s="168" t="s">
        <v>284</v>
      </c>
      <c r="C85" s="186">
        <f>HistoricalFS!J61</f>
        <v>14786</v>
      </c>
      <c r="D85" s="186">
        <f>C86</f>
        <v>24455</v>
      </c>
      <c r="E85" s="186">
        <f>D86</f>
        <v>22201</v>
      </c>
      <c r="F85" s="186">
        <f t="shared" ref="F85:I85" si="44">E86</f>
        <v>28385.623191328625</v>
      </c>
      <c r="G85" s="186">
        <f t="shared" si="44"/>
        <v>35310.462237233231</v>
      </c>
      <c r="H85" s="186">
        <f t="shared" si="44"/>
        <v>42550.729077589996</v>
      </c>
      <c r="I85" s="186">
        <f t="shared" si="44"/>
        <v>51066.451019011729</v>
      </c>
    </row>
    <row r="86" spans="2:9" s="105" customFormat="1">
      <c r="B86" s="168" t="s">
        <v>285</v>
      </c>
      <c r="C86" s="189">
        <f>SUM(C84:C85)</f>
        <v>24455</v>
      </c>
      <c r="D86" s="189">
        <f t="shared" ref="D86:I86" si="45">SUM(D84:D85)</f>
        <v>22201</v>
      </c>
      <c r="E86" s="189">
        <f t="shared" si="45"/>
        <v>28385.623191328625</v>
      </c>
      <c r="F86" s="189">
        <f t="shared" si="45"/>
        <v>35310.462237233231</v>
      </c>
      <c r="G86" s="189">
        <f t="shared" si="45"/>
        <v>42550.729077589996</v>
      </c>
      <c r="H86" s="189">
        <f t="shared" si="45"/>
        <v>51066.451019011729</v>
      </c>
      <c r="I86" s="189">
        <f t="shared" si="45"/>
        <v>59798.403562094769</v>
      </c>
    </row>
    <row r="87" spans="2:9" s="105" customFormat="1">
      <c r="C87" s="188"/>
      <c r="D87" s="188"/>
      <c r="E87" s="188"/>
      <c r="F87" s="188"/>
      <c r="G87" s="188"/>
      <c r="H87" s="188"/>
      <c r="I87" s="188"/>
    </row>
    <row r="88" spans="2:9" s="105" customFormat="1">
      <c r="C88" s="188"/>
      <c r="D88" s="188"/>
      <c r="E88" s="188"/>
      <c r="F88" s="188"/>
      <c r="G88" s="188"/>
      <c r="H88" s="188"/>
      <c r="I88" s="188"/>
    </row>
    <row r="89" spans="2:9" s="105" customFormat="1">
      <c r="B89" s="174" t="s">
        <v>286</v>
      </c>
      <c r="C89" s="206"/>
      <c r="D89" s="206"/>
      <c r="E89" s="206"/>
      <c r="F89" s="206"/>
      <c r="G89" s="206"/>
      <c r="H89" s="206"/>
      <c r="I89" s="206"/>
    </row>
    <row r="90" spans="2:9" s="105" customFormat="1">
      <c r="C90" s="207" t="str">
        <f>C63</f>
        <v>FY2025A</v>
      </c>
      <c r="D90" s="207" t="str">
        <f t="shared" ref="D90:I90" si="46">D63</f>
        <v>FY2026A</v>
      </c>
      <c r="E90" s="207" t="str">
        <f t="shared" si="46"/>
        <v>FY2027F</v>
      </c>
      <c r="F90" s="207" t="str">
        <f t="shared" si="46"/>
        <v>FY2028F</v>
      </c>
      <c r="G90" s="207" t="str">
        <f t="shared" si="46"/>
        <v>FY2029F</v>
      </c>
      <c r="H90" s="207" t="str">
        <f t="shared" si="46"/>
        <v>FY2030F</v>
      </c>
      <c r="I90" s="207" t="str">
        <f t="shared" si="46"/>
        <v>FY2031F</v>
      </c>
    </row>
    <row r="91" spans="2:9" s="105" customFormat="1">
      <c r="B91" s="168" t="s">
        <v>287</v>
      </c>
      <c r="C91" s="186">
        <f>HistoricalFS!J53</f>
        <v>27622</v>
      </c>
      <c r="D91" s="186">
        <f>HistoricalFS!K53</f>
        <v>30961</v>
      </c>
      <c r="E91" s="186">
        <f>D94</f>
        <v>33770</v>
      </c>
      <c r="F91" s="186">
        <f t="shared" ref="F91:I91" si="47">E94</f>
        <v>31939.826765613216</v>
      </c>
      <c r="G91" s="186">
        <f t="shared" si="47"/>
        <v>29950.022167848798</v>
      </c>
      <c r="H91" s="186">
        <f t="shared" si="47"/>
        <v>27795.475205134182</v>
      </c>
      <c r="I91" s="186">
        <f t="shared" si="47"/>
        <v>25457.775339276486</v>
      </c>
    </row>
    <row r="92" spans="2:9" s="105" customFormat="1">
      <c r="B92" s="168" t="s">
        <v>288</v>
      </c>
      <c r="C92" s="186">
        <f>-HistoricalFS!K79</f>
        <v>2237</v>
      </c>
      <c r="D92" s="186">
        <f>-HistoricalFS!L79</f>
        <v>2727</v>
      </c>
      <c r="E92" s="186">
        <f>E23*E10</f>
        <v>3467.6966546275826</v>
      </c>
      <c r="F92" s="186">
        <f t="shared" ref="F92:I92" si="48">F23*F10</f>
        <v>3770.1560799746876</v>
      </c>
      <c r="G92" s="186">
        <f t="shared" si="48"/>
        <v>4082.2995083013716</v>
      </c>
      <c r="H92" s="186">
        <f t="shared" si="48"/>
        <v>4429.3260616251091</v>
      </c>
      <c r="I92" s="186">
        <f t="shared" si="48"/>
        <v>4800.9484111005168</v>
      </c>
    </row>
    <row r="93" spans="2:9" s="105" customFormat="1">
      <c r="B93" s="168" t="s">
        <v>257</v>
      </c>
      <c r="C93" s="186">
        <f>C28</f>
        <v>4812</v>
      </c>
      <c r="D93" s="186">
        <f t="shared" ref="D93:I93" si="49">D28</f>
        <v>4902</v>
      </c>
      <c r="E93" s="186">
        <f t="shared" si="49"/>
        <v>5297.8698890143623</v>
      </c>
      <c r="F93" s="186">
        <f t="shared" si="49"/>
        <v>5759.9606777391064</v>
      </c>
      <c r="G93" s="186">
        <f t="shared" si="49"/>
        <v>6236.8464710159851</v>
      </c>
      <c r="H93" s="186">
        <f t="shared" si="49"/>
        <v>6767.0259274828059</v>
      </c>
      <c r="I93" s="186">
        <f t="shared" si="49"/>
        <v>7334.7822947369004</v>
      </c>
    </row>
    <row r="94" spans="2:9" s="105" customFormat="1">
      <c r="B94" s="168" t="s">
        <v>289</v>
      </c>
      <c r="C94" s="187">
        <f>HistoricalFS!K53</f>
        <v>30961</v>
      </c>
      <c r="D94" s="187">
        <f>HistoricalFS!L53</f>
        <v>33770</v>
      </c>
      <c r="E94" s="187">
        <f>E91+E92-E93</f>
        <v>31939.826765613216</v>
      </c>
      <c r="F94" s="187">
        <f t="shared" ref="F94:I94" si="50">F91+F92-F93</f>
        <v>29950.022167848798</v>
      </c>
      <c r="G94" s="187">
        <f t="shared" si="50"/>
        <v>27795.475205134182</v>
      </c>
      <c r="H94" s="187">
        <f t="shared" si="50"/>
        <v>25457.775339276486</v>
      </c>
      <c r="I94" s="187">
        <f t="shared" si="50"/>
        <v>22923.941455640103</v>
      </c>
    </row>
    <row r="95" spans="2:9" s="105" customFormat="1">
      <c r="C95" s="188"/>
      <c r="D95" s="188"/>
      <c r="E95" s="188"/>
      <c r="F95" s="188"/>
      <c r="G95" s="188"/>
      <c r="H95" s="188"/>
      <c r="I95" s="188"/>
    </row>
    <row r="96" spans="2:9" s="105" customFormat="1">
      <c r="B96" s="174" t="s">
        <v>290</v>
      </c>
      <c r="C96" s="192"/>
      <c r="D96" s="192"/>
      <c r="E96" s="192"/>
      <c r="F96" s="192"/>
      <c r="G96" s="192"/>
      <c r="H96" s="192"/>
      <c r="I96" s="192"/>
    </row>
    <row r="97" spans="2:10" s="105" customFormat="1">
      <c r="C97" s="207" t="str">
        <f>C90</f>
        <v>FY2025A</v>
      </c>
      <c r="D97" s="207" t="str">
        <f t="shared" ref="D97:I97" si="51">D90</f>
        <v>FY2026A</v>
      </c>
      <c r="E97" s="207" t="str">
        <f t="shared" si="51"/>
        <v>FY2027F</v>
      </c>
      <c r="F97" s="207" t="str">
        <f t="shared" si="51"/>
        <v>FY2028F</v>
      </c>
      <c r="G97" s="207" t="str">
        <f t="shared" si="51"/>
        <v>FY2029F</v>
      </c>
      <c r="H97" s="207" t="str">
        <f t="shared" si="51"/>
        <v>FY2030F</v>
      </c>
      <c r="I97" s="207" t="str">
        <f t="shared" si="51"/>
        <v>FY2031F</v>
      </c>
    </row>
    <row r="98" spans="2:10" s="105" customFormat="1">
      <c r="B98" s="168" t="s">
        <v>268</v>
      </c>
      <c r="C98" s="186">
        <f>HistoricalFS!K59</f>
        <v>31158</v>
      </c>
      <c r="D98" s="186">
        <f>HistoricalFS!L59</f>
        <v>35234</v>
      </c>
      <c r="E98" s="186">
        <f>E47</f>
        <v>37474.347409217415</v>
      </c>
      <c r="F98" s="186">
        <f t="shared" ref="F98:I98" si="52">F47</f>
        <v>40169.090654220417</v>
      </c>
      <c r="G98" s="186">
        <f t="shared" si="52"/>
        <v>43494.819723150074</v>
      </c>
      <c r="H98" s="186">
        <f t="shared" si="52"/>
        <v>46518.036263642702</v>
      </c>
      <c r="I98" s="186">
        <f t="shared" si="52"/>
        <v>50420.919385987167</v>
      </c>
    </row>
    <row r="99" spans="2:10" s="105" customFormat="1">
      <c r="B99" s="168" t="s">
        <v>272</v>
      </c>
      <c r="C99" s="186">
        <f>HistoricalFS!K50</f>
        <v>43750</v>
      </c>
      <c r="D99" s="186">
        <f>HistoricalFS!L50</f>
        <v>52260</v>
      </c>
      <c r="E99" s="186">
        <f>E58</f>
        <v>55868.446102333277</v>
      </c>
      <c r="F99" s="186">
        <f t="shared" ref="F99:I99" si="53">F58</f>
        <v>60741.403510703298</v>
      </c>
      <c r="G99" s="186">
        <f t="shared" si="53"/>
        <v>65770.380967077654</v>
      </c>
      <c r="H99" s="186">
        <f t="shared" si="53"/>
        <v>71361.364326182316</v>
      </c>
      <c r="I99" s="186">
        <f t="shared" si="53"/>
        <v>77348.613289952758</v>
      </c>
    </row>
    <row r="100" spans="2:10" s="105" customFormat="1">
      <c r="B100" s="177" t="s">
        <v>291</v>
      </c>
      <c r="C100" s="187">
        <f>C98-C99</f>
        <v>-12592</v>
      </c>
      <c r="D100" s="187">
        <f>D98-D99</f>
        <v>-17026</v>
      </c>
      <c r="E100" s="187">
        <f t="shared" ref="E100:I100" si="54">E98-E99</f>
        <v>-18394.098693115862</v>
      </c>
      <c r="F100" s="187">
        <f t="shared" si="54"/>
        <v>-20572.31285648288</v>
      </c>
      <c r="G100" s="187">
        <f t="shared" si="54"/>
        <v>-22275.561243927579</v>
      </c>
      <c r="H100" s="187">
        <f t="shared" si="54"/>
        <v>-24843.328062539615</v>
      </c>
      <c r="I100" s="187">
        <f t="shared" si="54"/>
        <v>-26927.693903965592</v>
      </c>
    </row>
    <row r="101" spans="2:10" s="105" customFormat="1">
      <c r="B101" s="168" t="s">
        <v>277</v>
      </c>
      <c r="C101" s="186">
        <f>C68</f>
        <v>-965</v>
      </c>
      <c r="D101" s="186">
        <f t="shared" ref="D101:J101" si="55">D68</f>
        <v>-4076</v>
      </c>
      <c r="E101" s="186">
        <f t="shared" si="55"/>
        <v>-2240.3474092174147</v>
      </c>
      <c r="F101" s="186">
        <f t="shared" si="55"/>
        <v>-2694.7432450030028</v>
      </c>
      <c r="G101" s="186">
        <f t="shared" si="55"/>
        <v>-3325.7290689296569</v>
      </c>
      <c r="H101" s="186">
        <f t="shared" si="55"/>
        <v>-3023.2165404926272</v>
      </c>
      <c r="I101" s="186">
        <f t="shared" si="55"/>
        <v>-3902.8831223444649</v>
      </c>
      <c r="J101" s="186"/>
    </row>
    <row r="102" spans="2:10" s="105" customFormat="1">
      <c r="B102" s="168" t="s">
        <v>278</v>
      </c>
      <c r="C102" s="186">
        <f>C69</f>
        <v>4205</v>
      </c>
      <c r="D102" s="186">
        <f t="shared" ref="D102:J102" si="56">D69</f>
        <v>8510</v>
      </c>
      <c r="E102" s="186">
        <f t="shared" si="56"/>
        <v>3608.4461023332769</v>
      </c>
      <c r="F102" s="186">
        <f t="shared" si="56"/>
        <v>4872.9574083700209</v>
      </c>
      <c r="G102" s="186">
        <f t="shared" si="56"/>
        <v>5028.9774563743558</v>
      </c>
      <c r="H102" s="186">
        <f t="shared" si="56"/>
        <v>5590.9833591046627</v>
      </c>
      <c r="I102" s="186">
        <f t="shared" si="56"/>
        <v>5987.2489637704421</v>
      </c>
      <c r="J102" s="186"/>
    </row>
    <row r="103" spans="2:10" s="105" customFormat="1">
      <c r="C103" s="188"/>
      <c r="D103" s="188"/>
      <c r="E103" s="188"/>
      <c r="F103" s="188"/>
      <c r="G103" s="188"/>
      <c r="H103" s="188"/>
      <c r="I103" s="188"/>
    </row>
    <row r="104" spans="2:10" s="105" customFormat="1">
      <c r="B104" s="174" t="s">
        <v>292</v>
      </c>
      <c r="C104" s="192"/>
      <c r="D104" s="192"/>
      <c r="E104" s="192"/>
      <c r="F104" s="192"/>
      <c r="G104" s="192"/>
      <c r="H104" s="192"/>
      <c r="I104" s="192"/>
    </row>
    <row r="105" spans="2:10" s="105" customFormat="1">
      <c r="C105" s="188"/>
      <c r="D105" s="188"/>
      <c r="E105" s="188"/>
      <c r="F105" s="188"/>
      <c r="G105" s="188"/>
      <c r="H105" s="188"/>
      <c r="I105" s="188"/>
    </row>
    <row r="106" spans="2:10" s="105" customFormat="1">
      <c r="B106" s="168" t="s">
        <v>293</v>
      </c>
      <c r="C106" s="186">
        <f>HistoricalFS!J49</f>
        <v>8359</v>
      </c>
      <c r="D106" s="186">
        <f>HistoricalFS!K49</f>
        <v>8227</v>
      </c>
      <c r="E106" s="186">
        <f>D57</f>
        <v>9176</v>
      </c>
      <c r="F106" s="186">
        <f t="shared" ref="F106:I106" si="57">E57</f>
        <v>9176</v>
      </c>
      <c r="G106" s="186">
        <f t="shared" si="57"/>
        <v>9176</v>
      </c>
      <c r="H106" s="186">
        <f t="shared" si="57"/>
        <v>9176</v>
      </c>
      <c r="I106" s="186">
        <f t="shared" si="57"/>
        <v>9176</v>
      </c>
    </row>
    <row r="107" spans="2:10" s="105" customFormat="1">
      <c r="B107" s="168" t="s">
        <v>253</v>
      </c>
      <c r="C107" s="186">
        <f>C18</f>
        <v>-132</v>
      </c>
      <c r="D107" s="186">
        <f>D18</f>
        <v>949</v>
      </c>
      <c r="E107" s="186">
        <f t="shared" ref="E107:I107" si="58">E18</f>
        <v>0</v>
      </c>
      <c r="F107" s="186">
        <f t="shared" si="58"/>
        <v>0</v>
      </c>
      <c r="G107" s="186">
        <f t="shared" si="58"/>
        <v>0</v>
      </c>
      <c r="H107" s="186">
        <f t="shared" si="58"/>
        <v>0</v>
      </c>
      <c r="I107" s="186">
        <f t="shared" si="58"/>
        <v>0</v>
      </c>
    </row>
    <row r="108" spans="2:10" s="105" customFormat="1">
      <c r="B108" s="168" t="s">
        <v>294</v>
      </c>
      <c r="C108" s="187">
        <f>HistoricalFS!K49</f>
        <v>8227</v>
      </c>
      <c r="D108" s="187">
        <f>HistoricalFS!L49</f>
        <v>9176</v>
      </c>
      <c r="E108" s="187">
        <f>SUM(E106:E107)</f>
        <v>9176</v>
      </c>
      <c r="F108" s="187">
        <f t="shared" ref="F108:I108" si="59">SUM(F106:F107)</f>
        <v>9176</v>
      </c>
      <c r="G108" s="187">
        <f t="shared" si="59"/>
        <v>9176</v>
      </c>
      <c r="H108" s="187">
        <f t="shared" si="59"/>
        <v>9176</v>
      </c>
      <c r="I108" s="187">
        <f t="shared" si="59"/>
        <v>9176</v>
      </c>
    </row>
    <row r="109" spans="2:10" s="105" customFormat="1">
      <c r="B109" s="177" t="s">
        <v>295</v>
      </c>
      <c r="C109" s="186">
        <f>AVERAGE(C108,C106)</f>
        <v>8293</v>
      </c>
      <c r="D109" s="186">
        <f>AVERAGE(D108,D106)</f>
        <v>8701.5</v>
      </c>
      <c r="E109" s="186">
        <f t="shared" ref="E109:I109" si="60">AVERAGE(E108,E106)</f>
        <v>9176</v>
      </c>
      <c r="F109" s="186">
        <f t="shared" si="60"/>
        <v>9176</v>
      </c>
      <c r="G109" s="186">
        <f t="shared" si="60"/>
        <v>9176</v>
      </c>
      <c r="H109" s="186">
        <f t="shared" si="60"/>
        <v>9176</v>
      </c>
      <c r="I109" s="186">
        <f t="shared" si="60"/>
        <v>9176</v>
      </c>
    </row>
    <row r="110" spans="2:10" s="105" customFormat="1">
      <c r="B110" s="168" t="s">
        <v>296</v>
      </c>
      <c r="C110" s="187">
        <f>C109*C9</f>
        <v>416</v>
      </c>
      <c r="D110" s="187">
        <f>D109*D9</f>
        <v>416</v>
      </c>
      <c r="E110" s="187">
        <f>E109*E9</f>
        <v>458.8</v>
      </c>
      <c r="F110" s="187">
        <f>F109*F9</f>
        <v>458.8</v>
      </c>
      <c r="G110" s="187">
        <f>G109*G9</f>
        <v>458.8</v>
      </c>
      <c r="H110" s="187">
        <f>H109*H9</f>
        <v>458.8</v>
      </c>
      <c r="I110" s="187">
        <f>I109*I9</f>
        <v>458.8</v>
      </c>
    </row>
    <row r="111" spans="2:10" s="105" customFormat="1">
      <c r="C111" s="188"/>
      <c r="D111" s="188"/>
      <c r="E111" s="188"/>
      <c r="F111" s="188"/>
      <c r="G111" s="188"/>
      <c r="H111" s="188"/>
      <c r="I111" s="188"/>
    </row>
    <row r="112" spans="2:10" s="105" customFormat="1">
      <c r="B112" s="174" t="s">
        <v>297</v>
      </c>
      <c r="C112" s="192"/>
      <c r="D112" s="192"/>
      <c r="E112" s="192"/>
      <c r="F112" s="192"/>
      <c r="G112" s="192"/>
      <c r="H112" s="192"/>
      <c r="I112" s="192"/>
    </row>
    <row r="113" spans="2:9" s="105" customFormat="1">
      <c r="B113" s="175" t="s">
        <v>298</v>
      </c>
      <c r="C113" s="193"/>
      <c r="D113" s="193"/>
      <c r="E113" s="193"/>
      <c r="F113" s="193"/>
      <c r="G113" s="193"/>
      <c r="H113" s="193"/>
      <c r="I113" s="193"/>
    </row>
    <row r="114" spans="2:9" s="105" customFormat="1">
      <c r="C114" s="188"/>
      <c r="D114" s="188"/>
      <c r="E114" s="188"/>
      <c r="F114" s="188"/>
      <c r="G114" s="188"/>
      <c r="H114" s="188"/>
      <c r="I114" s="188"/>
    </row>
    <row r="115" spans="2:9" s="105" customFormat="1">
      <c r="B115" s="168" t="s">
        <v>299</v>
      </c>
      <c r="C115" s="186">
        <f>HistoricalFS!J48</f>
        <v>86045</v>
      </c>
      <c r="D115" s="186">
        <f>HistoricalFS!K48</f>
        <v>93745</v>
      </c>
      <c r="E115" s="186">
        <f>D118</f>
        <v>90828</v>
      </c>
      <c r="F115" s="186">
        <f t="shared" ref="F115:I115" si="61">E118</f>
        <v>98736.735657355806</v>
      </c>
      <c r="G115" s="186">
        <f t="shared" si="61"/>
        <v>107425.12133921386</v>
      </c>
      <c r="H115" s="186">
        <f t="shared" si="61"/>
        <v>116929.07228492908</v>
      </c>
      <c r="I115" s="186">
        <f t="shared" si="61"/>
        <v>127344.90383761884</v>
      </c>
    </row>
    <row r="116" spans="2:9" s="105" customFormat="1">
      <c r="B116" s="168" t="s">
        <v>300</v>
      </c>
      <c r="C116" s="186">
        <f>C66</f>
        <v>23150</v>
      </c>
      <c r="D116" s="186">
        <f t="shared" ref="D116:I116" si="62">D66</f>
        <v>26441</v>
      </c>
      <c r="E116" s="186">
        <f t="shared" si="62"/>
        <v>29291.613545762215</v>
      </c>
      <c r="F116" s="186">
        <f t="shared" si="62"/>
        <v>32179.20622910394</v>
      </c>
      <c r="G116" s="186">
        <f t="shared" si="62"/>
        <v>35199.818317463702</v>
      </c>
      <c r="H116" s="186">
        <f t="shared" si="62"/>
        <v>38577.153898850913</v>
      </c>
      <c r="I116" s="186">
        <f t="shared" si="62"/>
        <v>42228.44446279652</v>
      </c>
    </row>
    <row r="117" spans="2:9" s="105" customFormat="1">
      <c r="B117" s="168" t="s">
        <v>301</v>
      </c>
      <c r="C117" s="186">
        <f>-C34</f>
        <v>20289</v>
      </c>
      <c r="D117" s="186">
        <f t="shared" ref="D117:I117" si="63">-D34</f>
        <v>18656</v>
      </c>
      <c r="E117" s="186">
        <f t="shared" si="63"/>
        <v>21382.877888406416</v>
      </c>
      <c r="F117" s="186">
        <f t="shared" si="63"/>
        <v>23490.820547245876</v>
      </c>
      <c r="G117" s="186">
        <f t="shared" si="63"/>
        <v>25695.8673717485</v>
      </c>
      <c r="H117" s="186">
        <f t="shared" si="63"/>
        <v>28161.322346161167</v>
      </c>
      <c r="I117" s="186">
        <f t="shared" si="63"/>
        <v>30826.764457841458</v>
      </c>
    </row>
    <row r="118" spans="2:9" s="105" customFormat="1">
      <c r="B118" s="168" t="s">
        <v>302</v>
      </c>
      <c r="C118" s="187">
        <f>HistoricalFS!K48</f>
        <v>93745</v>
      </c>
      <c r="D118" s="187">
        <f>HistoricalFS!L48</f>
        <v>90828</v>
      </c>
      <c r="E118" s="187">
        <f>E115+E116-E117</f>
        <v>98736.735657355806</v>
      </c>
      <c r="F118" s="187">
        <f t="shared" ref="F118:I118" si="64">F115+F116-F117</f>
        <v>107425.12133921386</v>
      </c>
      <c r="G118" s="187">
        <f t="shared" si="64"/>
        <v>116929.07228492908</v>
      </c>
      <c r="H118" s="187">
        <f t="shared" si="64"/>
        <v>127344.90383761884</v>
      </c>
      <c r="I118" s="187">
        <f t="shared" si="64"/>
        <v>138746.58384257389</v>
      </c>
    </row>
    <row r="119" spans="2:9" s="105" customFormat="1"/>
    <row r="120" spans="2:9" s="105" customFormat="1"/>
    <row r="121" spans="2:9" s="105" customFormat="1"/>
    <row r="122" spans="2:9" s="105" customFormat="1"/>
    <row r="123" spans="2:9" s="105" customFormat="1"/>
    <row r="124" spans="2:9" s="105" customFormat="1"/>
    <row r="125" spans="2:9" s="105" customFormat="1"/>
    <row r="126" spans="2:9" s="105" customFormat="1"/>
    <row r="127" spans="2:9" s="105" customFormat="1"/>
    <row r="128" spans="2:9" s="105" customFormat="1"/>
    <row r="129" spans="1:16377" s="105" customFormat="1"/>
    <row r="130" spans="1:16377" s="105" customFormat="1"/>
    <row r="131" spans="1:16377" s="105" customFormat="1"/>
    <row r="132" spans="1:16377" s="105" customFormat="1"/>
    <row r="133" spans="1:16377">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c r="AA133" s="105"/>
      <c r="AB133" s="105"/>
      <c r="AC133" s="105"/>
      <c r="AD133" s="105"/>
      <c r="AE133" s="105"/>
      <c r="AF133" s="105"/>
      <c r="AG133" s="105"/>
      <c r="AH133" s="105"/>
      <c r="AI133" s="105"/>
      <c r="AJ133" s="105"/>
      <c r="AK133" s="105"/>
      <c r="AL133" s="105"/>
      <c r="AM133" s="105"/>
      <c r="AN133" s="105"/>
      <c r="AO133" s="105"/>
      <c r="AP133" s="105"/>
      <c r="AQ133" s="105"/>
      <c r="AR133" s="105"/>
      <c r="AS133" s="105"/>
      <c r="AT133" s="105"/>
      <c r="AU133" s="105"/>
      <c r="AV133" s="105"/>
      <c r="AW133" s="105"/>
      <c r="AX133" s="105"/>
      <c r="AY133" s="105"/>
      <c r="AZ133" s="105"/>
      <c r="BA133" s="105"/>
      <c r="BB133" s="105"/>
      <c r="BC133" s="105"/>
      <c r="BD133" s="105"/>
      <c r="BE133" s="105"/>
      <c r="BF133" s="105"/>
      <c r="BG133" s="105"/>
      <c r="BH133" s="105"/>
      <c r="BI133" s="105"/>
      <c r="BJ133" s="105"/>
      <c r="BK133" s="105"/>
      <c r="BL133" s="105"/>
      <c r="BM133" s="105"/>
      <c r="BN133" s="105"/>
      <c r="BO133" s="105"/>
      <c r="BP133" s="105"/>
      <c r="BQ133" s="105"/>
      <c r="BR133" s="105"/>
      <c r="BS133" s="105"/>
      <c r="BT133" s="105"/>
      <c r="BU133" s="105"/>
      <c r="BV133" s="105"/>
      <c r="BW133" s="105"/>
      <c r="BX133" s="105"/>
      <c r="BY133" s="105"/>
      <c r="BZ133" s="105"/>
      <c r="CA133" s="105"/>
      <c r="CB133" s="105"/>
      <c r="CC133" s="105"/>
      <c r="CD133" s="105"/>
      <c r="CE133" s="105"/>
      <c r="CF133" s="105"/>
      <c r="CG133" s="105"/>
      <c r="CH133" s="105"/>
      <c r="CI133" s="105"/>
      <c r="CJ133" s="105"/>
      <c r="CK133" s="105"/>
      <c r="CL133" s="105"/>
      <c r="CM133" s="105"/>
      <c r="CN133" s="105"/>
      <c r="CO133" s="105"/>
      <c r="CP133" s="105"/>
      <c r="CQ133" s="105"/>
      <c r="CR133" s="105"/>
      <c r="CS133" s="105"/>
      <c r="CT133" s="105"/>
      <c r="CU133" s="105"/>
      <c r="CV133" s="105"/>
      <c r="CW133" s="105"/>
      <c r="CX133" s="105"/>
      <c r="CY133" s="105"/>
      <c r="CZ133" s="105"/>
      <c r="DA133" s="105"/>
      <c r="DB133" s="105"/>
      <c r="DC133" s="105"/>
      <c r="DD133" s="105"/>
      <c r="DE133" s="105"/>
      <c r="DF133" s="105"/>
      <c r="DG133" s="105"/>
      <c r="DH133" s="105"/>
      <c r="DI133" s="105"/>
      <c r="DJ133" s="105"/>
      <c r="DK133" s="105"/>
      <c r="DL133" s="105"/>
      <c r="DM133" s="105"/>
      <c r="DN133" s="105"/>
      <c r="DO133" s="105"/>
      <c r="DP133" s="105"/>
      <c r="DQ133" s="105"/>
      <c r="DR133" s="105"/>
      <c r="DS133" s="105"/>
      <c r="DT133" s="105"/>
      <c r="DU133" s="105"/>
      <c r="DV133" s="105"/>
      <c r="DW133" s="105"/>
      <c r="DX133" s="105"/>
      <c r="DY133" s="105"/>
      <c r="DZ133" s="105"/>
      <c r="EA133" s="105"/>
      <c r="EB133" s="105"/>
      <c r="EC133" s="105"/>
      <c r="ED133" s="105"/>
      <c r="EE133" s="105"/>
      <c r="EF133" s="105"/>
      <c r="EG133" s="105"/>
      <c r="EH133" s="105"/>
      <c r="EI133" s="105"/>
      <c r="EJ133" s="105"/>
      <c r="EK133" s="105"/>
      <c r="EL133" s="105"/>
      <c r="EM133" s="105"/>
      <c r="EN133" s="105"/>
      <c r="EO133" s="105"/>
      <c r="EP133" s="105"/>
      <c r="EQ133" s="105"/>
      <c r="ER133" s="105"/>
      <c r="ES133" s="105"/>
      <c r="ET133" s="105"/>
      <c r="EU133" s="105"/>
      <c r="EV133" s="105"/>
      <c r="EW133" s="105"/>
      <c r="EX133" s="105"/>
      <c r="EY133" s="105"/>
      <c r="EZ133" s="105"/>
      <c r="FA133" s="105"/>
      <c r="FB133" s="105"/>
      <c r="FC133" s="105"/>
      <c r="FD133" s="105"/>
      <c r="FE133" s="105"/>
      <c r="FF133" s="105"/>
      <c r="FG133" s="105"/>
      <c r="FH133" s="105"/>
      <c r="FI133" s="105"/>
      <c r="FJ133" s="105"/>
      <c r="FK133" s="105"/>
      <c r="FL133" s="105"/>
      <c r="FM133" s="105"/>
      <c r="FN133" s="105"/>
      <c r="FO133" s="105"/>
      <c r="FP133" s="105"/>
      <c r="FQ133" s="105"/>
      <c r="FR133" s="105"/>
      <c r="FS133" s="105"/>
      <c r="FT133" s="105"/>
      <c r="FU133" s="105"/>
      <c r="FV133" s="105"/>
      <c r="FW133" s="105"/>
      <c r="FX133" s="105"/>
      <c r="FY133" s="105"/>
      <c r="FZ133" s="105"/>
      <c r="GA133" s="105"/>
      <c r="GB133" s="105"/>
      <c r="GC133" s="105"/>
      <c r="GD133" s="105"/>
      <c r="GE133" s="105"/>
      <c r="GF133" s="105"/>
      <c r="GG133" s="105"/>
      <c r="GH133" s="105"/>
      <c r="GI133" s="105"/>
      <c r="GJ133" s="105"/>
      <c r="GK133" s="105"/>
      <c r="GL133" s="105"/>
      <c r="GM133" s="105"/>
      <c r="GN133" s="105"/>
      <c r="GO133" s="105"/>
      <c r="GP133" s="105"/>
      <c r="GQ133" s="105"/>
      <c r="GR133" s="105"/>
      <c r="GS133" s="105"/>
      <c r="GT133" s="105"/>
      <c r="GU133" s="105"/>
      <c r="GV133" s="105"/>
      <c r="GW133" s="105"/>
      <c r="GX133" s="105"/>
      <c r="GY133" s="105"/>
      <c r="GZ133" s="105"/>
      <c r="HA133" s="105"/>
      <c r="HB133" s="105"/>
      <c r="HC133" s="105"/>
      <c r="HD133" s="105"/>
      <c r="HE133" s="105"/>
      <c r="HF133" s="105"/>
      <c r="HG133" s="105"/>
      <c r="HH133" s="105"/>
      <c r="HI133" s="105"/>
      <c r="HJ133" s="105"/>
      <c r="HK133" s="105"/>
      <c r="HL133" s="105"/>
      <c r="HM133" s="105"/>
      <c r="HN133" s="105"/>
      <c r="HO133" s="105"/>
      <c r="HP133" s="105"/>
      <c r="HQ133" s="105"/>
      <c r="HR133" s="105"/>
      <c r="HS133" s="105"/>
      <c r="HT133" s="105"/>
      <c r="HU133" s="105"/>
      <c r="HV133" s="105"/>
      <c r="HW133" s="105"/>
      <c r="HX133" s="105"/>
      <c r="HY133" s="105"/>
      <c r="HZ133" s="105"/>
      <c r="IA133" s="105"/>
      <c r="IB133" s="105"/>
      <c r="IC133" s="105"/>
      <c r="ID133" s="105"/>
      <c r="IE133" s="105"/>
      <c r="IF133" s="105"/>
      <c r="IG133" s="105"/>
      <c r="IH133" s="105"/>
      <c r="II133" s="105"/>
      <c r="IJ133" s="105"/>
      <c r="IK133" s="105"/>
      <c r="IL133" s="105"/>
      <c r="IM133" s="105"/>
      <c r="IN133" s="105"/>
      <c r="IO133" s="105"/>
      <c r="IP133" s="105"/>
      <c r="IQ133" s="105"/>
      <c r="IR133" s="105"/>
      <c r="IS133" s="105"/>
      <c r="IT133" s="105"/>
      <c r="IU133" s="105"/>
      <c r="IV133" s="105"/>
      <c r="IW133" s="105"/>
      <c r="IX133" s="105"/>
      <c r="IY133" s="105"/>
      <c r="IZ133" s="105"/>
      <c r="JA133" s="105"/>
      <c r="JB133" s="105"/>
      <c r="JC133" s="105"/>
      <c r="JD133" s="105"/>
      <c r="JE133" s="105"/>
      <c r="JF133" s="105"/>
      <c r="JG133" s="105"/>
      <c r="JH133" s="105"/>
      <c r="JI133" s="105"/>
      <c r="JJ133" s="105"/>
      <c r="JK133" s="105"/>
      <c r="JL133" s="105"/>
      <c r="JM133" s="105"/>
      <c r="JN133" s="105"/>
      <c r="JO133" s="105"/>
      <c r="JP133" s="105"/>
      <c r="JQ133" s="105"/>
      <c r="JR133" s="105"/>
      <c r="JS133" s="105"/>
      <c r="JT133" s="105"/>
      <c r="JU133" s="105"/>
      <c r="JV133" s="105"/>
      <c r="JW133" s="105"/>
      <c r="JX133" s="105"/>
      <c r="JY133" s="105"/>
      <c r="JZ133" s="105"/>
      <c r="KA133" s="105"/>
      <c r="KB133" s="105"/>
      <c r="KC133" s="105"/>
      <c r="KD133" s="105"/>
      <c r="KE133" s="105"/>
      <c r="KF133" s="105"/>
      <c r="KG133" s="105"/>
      <c r="KH133" s="105"/>
      <c r="KI133" s="105"/>
      <c r="KJ133" s="105"/>
      <c r="KK133" s="105"/>
      <c r="KL133" s="105"/>
      <c r="KM133" s="105"/>
      <c r="KN133" s="105"/>
      <c r="KO133" s="105"/>
      <c r="KP133" s="105"/>
      <c r="KQ133" s="105"/>
      <c r="KR133" s="105"/>
      <c r="KS133" s="105"/>
      <c r="KT133" s="105"/>
      <c r="KU133" s="105"/>
      <c r="KV133" s="105"/>
      <c r="KW133" s="105"/>
      <c r="KX133" s="105"/>
      <c r="KY133" s="105"/>
      <c r="KZ133" s="105"/>
      <c r="LA133" s="105"/>
      <c r="LB133" s="105"/>
      <c r="LC133" s="105"/>
      <c r="LD133" s="105"/>
      <c r="LE133" s="105"/>
      <c r="LF133" s="105"/>
      <c r="LG133" s="105"/>
      <c r="LH133" s="105"/>
      <c r="LI133" s="105"/>
      <c r="LJ133" s="105"/>
      <c r="LK133" s="105"/>
      <c r="LL133" s="105"/>
      <c r="LM133" s="105"/>
      <c r="LN133" s="105"/>
      <c r="LO133" s="105"/>
      <c r="LP133" s="105"/>
      <c r="LQ133" s="105"/>
      <c r="LR133" s="105"/>
      <c r="LS133" s="105"/>
      <c r="LT133" s="105"/>
      <c r="LU133" s="105"/>
      <c r="LV133" s="105"/>
      <c r="LW133" s="105"/>
      <c r="LX133" s="105"/>
      <c r="LY133" s="105"/>
      <c r="LZ133" s="105"/>
      <c r="MA133" s="105"/>
      <c r="MB133" s="105"/>
      <c r="MC133" s="105"/>
      <c r="MD133" s="105"/>
      <c r="ME133" s="105"/>
      <c r="MF133" s="105"/>
      <c r="MG133" s="105"/>
      <c r="MH133" s="105"/>
      <c r="MI133" s="105"/>
      <c r="MJ133" s="105"/>
      <c r="MK133" s="105"/>
      <c r="ML133" s="105"/>
      <c r="MM133" s="105"/>
      <c r="MN133" s="105"/>
      <c r="MO133" s="105"/>
      <c r="MP133" s="105"/>
      <c r="MQ133" s="105"/>
      <c r="MR133" s="105"/>
      <c r="MS133" s="105"/>
      <c r="MT133" s="105"/>
      <c r="MU133" s="105"/>
      <c r="MV133" s="105"/>
      <c r="MW133" s="105"/>
      <c r="MX133" s="105"/>
      <c r="MY133" s="105"/>
      <c r="MZ133" s="105"/>
      <c r="NA133" s="105"/>
      <c r="NB133" s="105"/>
      <c r="NC133" s="105"/>
      <c r="ND133" s="105"/>
      <c r="NE133" s="105"/>
      <c r="NF133" s="105"/>
      <c r="NG133" s="105"/>
      <c r="NH133" s="105"/>
      <c r="NI133" s="105"/>
      <c r="NJ133" s="105"/>
      <c r="NK133" s="105"/>
      <c r="NL133" s="105"/>
      <c r="NM133" s="105"/>
      <c r="NN133" s="105"/>
      <c r="NO133" s="105"/>
      <c r="NP133" s="105"/>
      <c r="NQ133" s="105"/>
      <c r="NR133" s="105"/>
      <c r="NS133" s="105"/>
      <c r="NT133" s="105"/>
      <c r="NU133" s="105"/>
      <c r="NV133" s="105"/>
      <c r="NW133" s="105"/>
      <c r="NX133" s="105"/>
      <c r="NY133" s="105"/>
      <c r="NZ133" s="105"/>
      <c r="OA133" s="105"/>
      <c r="OB133" s="105"/>
      <c r="OC133" s="105"/>
      <c r="OD133" s="105"/>
      <c r="OE133" s="105"/>
      <c r="OF133" s="105"/>
      <c r="OG133" s="105"/>
      <c r="OH133" s="105"/>
      <c r="OI133" s="105"/>
      <c r="OJ133" s="105"/>
      <c r="OK133" s="105"/>
      <c r="OL133" s="105"/>
      <c r="OM133" s="105"/>
      <c r="ON133" s="105"/>
      <c r="OO133" s="105"/>
      <c r="OP133" s="105"/>
      <c r="OQ133" s="105"/>
      <c r="OR133" s="105"/>
      <c r="OS133" s="105"/>
      <c r="OT133" s="105"/>
      <c r="OU133" s="105"/>
      <c r="OV133" s="105"/>
      <c r="OW133" s="105"/>
      <c r="OX133" s="105"/>
      <c r="OY133" s="105"/>
      <c r="OZ133" s="105"/>
      <c r="PA133" s="105"/>
      <c r="PB133" s="105"/>
      <c r="PC133" s="105"/>
      <c r="PD133" s="105"/>
      <c r="PE133" s="105"/>
      <c r="PF133" s="105"/>
      <c r="PG133" s="105"/>
      <c r="PH133" s="105"/>
      <c r="PI133" s="105"/>
      <c r="PJ133" s="105"/>
      <c r="PK133" s="105"/>
      <c r="PL133" s="105"/>
      <c r="PM133" s="105"/>
      <c r="PN133" s="105"/>
      <c r="PO133" s="105"/>
      <c r="PP133" s="105"/>
      <c r="PQ133" s="105"/>
      <c r="PR133" s="105"/>
      <c r="PS133" s="105"/>
      <c r="PT133" s="105"/>
      <c r="PU133" s="105"/>
      <c r="PV133" s="105"/>
      <c r="PW133" s="105"/>
      <c r="PX133" s="105"/>
      <c r="PY133" s="105"/>
      <c r="PZ133" s="105"/>
      <c r="QA133" s="105"/>
      <c r="QB133" s="105"/>
      <c r="QC133" s="105"/>
      <c r="QD133" s="105"/>
      <c r="QE133" s="105"/>
      <c r="QF133" s="105"/>
      <c r="QG133" s="105"/>
      <c r="QH133" s="105"/>
      <c r="QI133" s="105"/>
      <c r="QJ133" s="105"/>
      <c r="QK133" s="105"/>
      <c r="QL133" s="105"/>
      <c r="QM133" s="105"/>
      <c r="QN133" s="105"/>
      <c r="QO133" s="105"/>
      <c r="QP133" s="105"/>
      <c r="QQ133" s="105"/>
      <c r="QR133" s="105"/>
      <c r="QS133" s="105"/>
      <c r="QT133" s="105"/>
      <c r="QU133" s="105"/>
      <c r="QV133" s="105"/>
      <c r="QW133" s="105"/>
      <c r="QX133" s="105"/>
      <c r="QY133" s="105"/>
      <c r="QZ133" s="105"/>
      <c r="RA133" s="105"/>
      <c r="RB133" s="105"/>
      <c r="RC133" s="105"/>
      <c r="RD133" s="105"/>
      <c r="RE133" s="105"/>
      <c r="RF133" s="105"/>
      <c r="RG133" s="105"/>
      <c r="RH133" s="105"/>
      <c r="RI133" s="105"/>
      <c r="RJ133" s="105"/>
      <c r="RK133" s="105"/>
      <c r="RL133" s="105"/>
      <c r="RM133" s="105"/>
      <c r="RN133" s="105"/>
      <c r="RO133" s="105"/>
      <c r="RP133" s="105"/>
      <c r="RQ133" s="105"/>
      <c r="RR133" s="105"/>
      <c r="RS133" s="105"/>
      <c r="RT133" s="105"/>
      <c r="RU133" s="105"/>
      <c r="RV133" s="105"/>
      <c r="RW133" s="105"/>
      <c r="RX133" s="105"/>
      <c r="RY133" s="105"/>
      <c r="RZ133" s="105"/>
      <c r="SA133" s="105"/>
      <c r="SB133" s="105"/>
      <c r="SC133" s="105"/>
      <c r="SD133" s="105"/>
      <c r="SE133" s="105"/>
      <c r="SF133" s="105"/>
      <c r="SG133" s="105"/>
      <c r="SH133" s="105"/>
      <c r="SI133" s="105"/>
      <c r="SJ133" s="105"/>
      <c r="SK133" s="105"/>
      <c r="SL133" s="105"/>
      <c r="SM133" s="105"/>
      <c r="SN133" s="105"/>
      <c r="SO133" s="105"/>
      <c r="SP133" s="105"/>
      <c r="SQ133" s="105"/>
      <c r="SR133" s="105"/>
      <c r="SS133" s="105"/>
      <c r="ST133" s="105"/>
      <c r="SU133" s="105"/>
      <c r="SV133" s="105"/>
      <c r="SW133" s="105"/>
      <c r="SX133" s="105"/>
      <c r="SY133" s="105"/>
      <c r="SZ133" s="105"/>
      <c r="TA133" s="105"/>
      <c r="TB133" s="105"/>
      <c r="TC133" s="105"/>
      <c r="TD133" s="105"/>
      <c r="TE133" s="105"/>
      <c r="TF133" s="105"/>
      <c r="TG133" s="105"/>
      <c r="TH133" s="105"/>
      <c r="TI133" s="105"/>
      <c r="TJ133" s="105"/>
      <c r="TK133" s="105"/>
      <c r="TL133" s="105"/>
      <c r="TM133" s="105"/>
      <c r="TN133" s="105"/>
      <c r="TO133" s="105"/>
      <c r="TP133" s="105"/>
      <c r="TQ133" s="105"/>
      <c r="TR133" s="105"/>
      <c r="TS133" s="105"/>
      <c r="TT133" s="105"/>
      <c r="TU133" s="105"/>
      <c r="TV133" s="105"/>
      <c r="TW133" s="105"/>
      <c r="TX133" s="105"/>
      <c r="TY133" s="105"/>
      <c r="TZ133" s="105"/>
      <c r="UA133" s="105"/>
      <c r="UB133" s="105"/>
      <c r="UC133" s="105"/>
      <c r="UD133" s="105"/>
      <c r="UE133" s="105"/>
      <c r="UF133" s="105"/>
      <c r="UG133" s="105"/>
      <c r="UH133" s="105"/>
      <c r="UI133" s="105"/>
      <c r="UJ133" s="105"/>
      <c r="UK133" s="105"/>
      <c r="UL133" s="105"/>
      <c r="UM133" s="105"/>
      <c r="UN133" s="105"/>
      <c r="UO133" s="105"/>
      <c r="UP133" s="105"/>
      <c r="UQ133" s="105"/>
      <c r="UR133" s="105"/>
      <c r="US133" s="105"/>
      <c r="UT133" s="105"/>
      <c r="UU133" s="105"/>
      <c r="UV133" s="105"/>
      <c r="UW133" s="105"/>
      <c r="UX133" s="105"/>
      <c r="UY133" s="105"/>
      <c r="UZ133" s="105"/>
      <c r="VA133" s="105"/>
      <c r="VB133" s="105"/>
      <c r="VC133" s="105"/>
      <c r="VD133" s="105"/>
      <c r="VE133" s="105"/>
      <c r="VF133" s="105"/>
      <c r="VG133" s="105"/>
      <c r="VH133" s="105"/>
      <c r="VI133" s="105"/>
      <c r="VJ133" s="105"/>
      <c r="VK133" s="105"/>
      <c r="VL133" s="105"/>
      <c r="VM133" s="105"/>
      <c r="VN133" s="105"/>
      <c r="VO133" s="105"/>
      <c r="VP133" s="105"/>
      <c r="VQ133" s="105"/>
      <c r="VR133" s="105"/>
      <c r="VS133" s="105"/>
      <c r="VT133" s="105"/>
      <c r="VU133" s="105"/>
      <c r="VV133" s="105"/>
      <c r="VW133" s="105"/>
      <c r="VX133" s="105"/>
      <c r="VY133" s="105"/>
      <c r="VZ133" s="105"/>
      <c r="WA133" s="105"/>
      <c r="WB133" s="105"/>
      <c r="WC133" s="105"/>
      <c r="WD133" s="105"/>
      <c r="WE133" s="105"/>
      <c r="WF133" s="105"/>
      <c r="WG133" s="105"/>
      <c r="WH133" s="105"/>
      <c r="WI133" s="105"/>
      <c r="WJ133" s="105"/>
      <c r="WK133" s="105"/>
      <c r="WL133" s="105"/>
      <c r="WM133" s="105"/>
      <c r="WN133" s="105"/>
      <c r="WO133" s="105"/>
      <c r="WP133" s="105"/>
      <c r="WQ133" s="105"/>
      <c r="WR133" s="105"/>
      <c r="WS133" s="105"/>
      <c r="WT133" s="105"/>
      <c r="WU133" s="105"/>
      <c r="WV133" s="105"/>
      <c r="WW133" s="105"/>
      <c r="WX133" s="105"/>
      <c r="WY133" s="105"/>
      <c r="WZ133" s="105"/>
      <c r="XA133" s="105"/>
      <c r="XB133" s="105"/>
      <c r="XC133" s="105"/>
      <c r="XD133" s="105"/>
      <c r="XE133" s="105"/>
      <c r="XF133" s="105"/>
      <c r="XG133" s="105"/>
      <c r="XH133" s="105"/>
      <c r="XI133" s="105"/>
      <c r="XJ133" s="105"/>
      <c r="XK133" s="105"/>
      <c r="XL133" s="105"/>
      <c r="XM133" s="105"/>
      <c r="XN133" s="105"/>
      <c r="XO133" s="105"/>
      <c r="XP133" s="105"/>
      <c r="XQ133" s="105"/>
      <c r="XR133" s="105"/>
      <c r="XS133" s="105"/>
      <c r="XT133" s="105"/>
      <c r="XU133" s="105"/>
      <c r="XV133" s="105"/>
      <c r="XW133" s="105"/>
      <c r="XX133" s="105"/>
      <c r="XY133" s="105"/>
      <c r="XZ133" s="105"/>
      <c r="YA133" s="105"/>
      <c r="YB133" s="105"/>
      <c r="YC133" s="105"/>
      <c r="YD133" s="105"/>
      <c r="YE133" s="105"/>
      <c r="YF133" s="105"/>
      <c r="YG133" s="105"/>
      <c r="YH133" s="105"/>
      <c r="YI133" s="105"/>
      <c r="YJ133" s="105"/>
      <c r="YK133" s="105"/>
      <c r="YL133" s="105"/>
      <c r="YM133" s="105"/>
      <c r="YN133" s="105"/>
      <c r="YO133" s="105"/>
      <c r="YP133" s="105"/>
      <c r="YQ133" s="105"/>
      <c r="YR133" s="105"/>
      <c r="YS133" s="105"/>
      <c r="YT133" s="105"/>
      <c r="YU133" s="105"/>
      <c r="YV133" s="105"/>
      <c r="YW133" s="105"/>
      <c r="YX133" s="105"/>
      <c r="YY133" s="105"/>
      <c r="YZ133" s="105"/>
      <c r="ZA133" s="105"/>
      <c r="ZB133" s="105"/>
      <c r="ZC133" s="105"/>
      <c r="ZD133" s="105"/>
      <c r="ZE133" s="105"/>
      <c r="ZF133" s="105"/>
      <c r="ZG133" s="105"/>
      <c r="ZH133" s="105"/>
      <c r="ZI133" s="105"/>
      <c r="ZJ133" s="105"/>
      <c r="ZK133" s="105"/>
      <c r="ZL133" s="105"/>
      <c r="ZM133" s="105"/>
      <c r="ZN133" s="105"/>
      <c r="ZO133" s="105"/>
      <c r="ZP133" s="105"/>
      <c r="ZQ133" s="105"/>
      <c r="ZR133" s="105"/>
      <c r="ZS133" s="105"/>
      <c r="ZT133" s="105"/>
      <c r="ZU133" s="105"/>
      <c r="ZV133" s="105"/>
      <c r="ZW133" s="105"/>
      <c r="ZX133" s="105"/>
      <c r="ZY133" s="105"/>
      <c r="ZZ133" s="105"/>
      <c r="AAA133" s="105"/>
      <c r="AAB133" s="105"/>
      <c r="AAC133" s="105"/>
      <c r="AAD133" s="105"/>
      <c r="AAE133" s="105"/>
      <c r="AAF133" s="105"/>
      <c r="AAG133" s="105"/>
      <c r="AAH133" s="105"/>
      <c r="AAI133" s="105"/>
      <c r="AAJ133" s="105"/>
      <c r="AAK133" s="105"/>
      <c r="AAL133" s="105"/>
      <c r="AAM133" s="105"/>
      <c r="AAN133" s="105"/>
      <c r="AAO133" s="105"/>
      <c r="AAP133" s="105"/>
      <c r="AAQ133" s="105"/>
      <c r="AAR133" s="105"/>
      <c r="AAS133" s="105"/>
      <c r="AAT133" s="105"/>
      <c r="AAU133" s="105"/>
      <c r="AAV133" s="105"/>
      <c r="AAW133" s="105"/>
      <c r="AAX133" s="105"/>
      <c r="AAY133" s="105"/>
      <c r="AAZ133" s="105"/>
      <c r="ABA133" s="105"/>
      <c r="ABB133" s="105"/>
      <c r="ABC133" s="105"/>
      <c r="ABD133" s="105"/>
      <c r="ABE133" s="105"/>
      <c r="ABF133" s="105"/>
      <c r="ABG133" s="105"/>
      <c r="ABH133" s="105"/>
      <c r="ABI133" s="105"/>
      <c r="ABJ133" s="105"/>
      <c r="ABK133" s="105"/>
      <c r="ABL133" s="105"/>
      <c r="ABM133" s="105"/>
      <c r="ABN133" s="105"/>
      <c r="ABO133" s="105"/>
      <c r="ABP133" s="105"/>
      <c r="ABQ133" s="105"/>
      <c r="ABR133" s="105"/>
      <c r="ABS133" s="105"/>
      <c r="ABT133" s="105"/>
      <c r="ABU133" s="105"/>
      <c r="ABV133" s="105"/>
      <c r="ABW133" s="105"/>
      <c r="ABX133" s="105"/>
      <c r="ABY133" s="105"/>
      <c r="ABZ133" s="105"/>
      <c r="ACA133" s="105"/>
      <c r="ACB133" s="105"/>
      <c r="ACC133" s="105"/>
      <c r="ACD133" s="105"/>
      <c r="ACE133" s="105"/>
      <c r="ACF133" s="105"/>
      <c r="ACG133" s="105"/>
      <c r="ACH133" s="105"/>
      <c r="ACI133" s="105"/>
      <c r="ACJ133" s="105"/>
      <c r="ACK133" s="105"/>
      <c r="ACL133" s="105"/>
      <c r="ACM133" s="105"/>
      <c r="ACN133" s="105"/>
      <c r="ACO133" s="105"/>
      <c r="ACP133" s="105"/>
      <c r="ACQ133" s="105"/>
      <c r="ACR133" s="105"/>
      <c r="ACS133" s="105"/>
      <c r="ACT133" s="105"/>
      <c r="ACU133" s="105"/>
      <c r="ACV133" s="105"/>
      <c r="ACW133" s="105"/>
      <c r="ACX133" s="105"/>
      <c r="ACY133" s="105"/>
      <c r="ACZ133" s="105"/>
      <c r="ADA133" s="105"/>
      <c r="ADB133" s="105"/>
      <c r="ADC133" s="105"/>
      <c r="ADD133" s="105"/>
      <c r="ADE133" s="105"/>
      <c r="ADF133" s="105"/>
      <c r="ADG133" s="105"/>
      <c r="ADH133" s="105"/>
      <c r="ADI133" s="105"/>
      <c r="ADJ133" s="105"/>
      <c r="ADK133" s="105"/>
      <c r="ADL133" s="105"/>
      <c r="ADM133" s="105"/>
      <c r="ADN133" s="105"/>
      <c r="ADO133" s="105"/>
      <c r="ADP133" s="105"/>
      <c r="ADQ133" s="105"/>
      <c r="ADR133" s="105"/>
      <c r="ADS133" s="105"/>
      <c r="ADT133" s="105"/>
      <c r="ADU133" s="105"/>
      <c r="ADV133" s="105"/>
      <c r="ADW133" s="105"/>
      <c r="ADX133" s="105"/>
      <c r="ADY133" s="105"/>
      <c r="ADZ133" s="105"/>
      <c r="AEA133" s="105"/>
      <c r="AEB133" s="105"/>
      <c r="AEC133" s="105"/>
      <c r="AED133" s="105"/>
      <c r="AEE133" s="105"/>
      <c r="AEF133" s="105"/>
      <c r="AEG133" s="105"/>
      <c r="AEH133" s="105"/>
      <c r="AEI133" s="105"/>
      <c r="AEJ133" s="105"/>
      <c r="AEK133" s="105"/>
      <c r="AEL133" s="105"/>
      <c r="AEM133" s="105"/>
      <c r="AEN133" s="105"/>
      <c r="AEO133" s="105"/>
      <c r="AEP133" s="105"/>
      <c r="AEQ133" s="105"/>
      <c r="AER133" s="105"/>
      <c r="AES133" s="105"/>
      <c r="AET133" s="105"/>
      <c r="AEU133" s="105"/>
      <c r="AEV133" s="105"/>
      <c r="AEW133" s="105"/>
      <c r="AEX133" s="105"/>
      <c r="AEY133" s="105"/>
      <c r="AEZ133" s="105"/>
      <c r="AFA133" s="105"/>
      <c r="AFB133" s="105"/>
      <c r="AFC133" s="105"/>
      <c r="AFD133" s="105"/>
      <c r="AFE133" s="105"/>
      <c r="AFF133" s="105"/>
      <c r="AFG133" s="105"/>
      <c r="AFH133" s="105"/>
      <c r="AFI133" s="105"/>
      <c r="AFJ133" s="105"/>
      <c r="AFK133" s="105"/>
      <c r="AFL133" s="105"/>
      <c r="AFM133" s="105"/>
      <c r="AFN133" s="105"/>
      <c r="AFO133" s="105"/>
      <c r="AFP133" s="105"/>
      <c r="AFQ133" s="105"/>
      <c r="AFR133" s="105"/>
      <c r="AFS133" s="105"/>
      <c r="AFT133" s="105"/>
      <c r="AFU133" s="105"/>
      <c r="AFV133" s="105"/>
      <c r="AFW133" s="105"/>
      <c r="AFX133" s="105"/>
      <c r="AFY133" s="105"/>
      <c r="AFZ133" s="105"/>
      <c r="AGA133" s="105"/>
      <c r="AGB133" s="105"/>
      <c r="AGC133" s="105"/>
      <c r="AGD133" s="105"/>
      <c r="AGE133" s="105"/>
      <c r="AGF133" s="105"/>
      <c r="AGG133" s="105"/>
      <c r="AGH133" s="105"/>
      <c r="AGI133" s="105"/>
      <c r="AGJ133" s="105"/>
      <c r="AGK133" s="105"/>
      <c r="AGL133" s="105"/>
      <c r="AGM133" s="105"/>
      <c r="AGN133" s="105"/>
      <c r="AGO133" s="105"/>
      <c r="AGP133" s="105"/>
      <c r="AGQ133" s="105"/>
      <c r="AGR133" s="105"/>
      <c r="AGS133" s="105"/>
      <c r="AGT133" s="105"/>
      <c r="AGU133" s="105"/>
      <c r="AGV133" s="105"/>
      <c r="AGW133" s="105"/>
      <c r="AGX133" s="105"/>
      <c r="AGY133" s="105"/>
      <c r="AGZ133" s="105"/>
      <c r="AHA133" s="105"/>
      <c r="AHB133" s="105"/>
      <c r="AHC133" s="105"/>
      <c r="AHD133" s="105"/>
      <c r="AHE133" s="105"/>
      <c r="AHF133" s="105"/>
      <c r="AHG133" s="105"/>
      <c r="AHH133" s="105"/>
      <c r="AHI133" s="105"/>
      <c r="AHJ133" s="105"/>
      <c r="AHK133" s="105"/>
      <c r="AHL133" s="105"/>
      <c r="AHM133" s="105"/>
      <c r="AHN133" s="105"/>
      <c r="AHO133" s="105"/>
      <c r="AHP133" s="105"/>
      <c r="AHQ133" s="105"/>
      <c r="AHR133" s="105"/>
      <c r="AHS133" s="105"/>
      <c r="AHT133" s="105"/>
      <c r="AHU133" s="105"/>
      <c r="AHV133" s="105"/>
      <c r="AHW133" s="105"/>
      <c r="AHX133" s="105"/>
      <c r="AHY133" s="105"/>
      <c r="AHZ133" s="105"/>
      <c r="AIA133" s="105"/>
      <c r="AIB133" s="105"/>
      <c r="AIC133" s="105"/>
      <c r="AID133" s="105"/>
      <c r="AIE133" s="105"/>
      <c r="AIF133" s="105"/>
      <c r="AIG133" s="105"/>
      <c r="AIH133" s="105"/>
      <c r="AII133" s="105"/>
      <c r="AIJ133" s="105"/>
      <c r="AIK133" s="105"/>
      <c r="AIL133" s="105"/>
      <c r="AIM133" s="105"/>
      <c r="AIN133" s="105"/>
      <c r="AIO133" s="105"/>
      <c r="AIP133" s="105"/>
      <c r="AIQ133" s="105"/>
      <c r="AIR133" s="105"/>
      <c r="AIS133" s="105"/>
      <c r="AIT133" s="105"/>
      <c r="AIU133" s="105"/>
      <c r="AIV133" s="105"/>
      <c r="AIW133" s="105"/>
      <c r="AIX133" s="105"/>
      <c r="AIY133" s="105"/>
      <c r="AIZ133" s="105"/>
      <c r="AJA133" s="105"/>
      <c r="AJB133" s="105"/>
      <c r="AJC133" s="105"/>
      <c r="AJD133" s="105"/>
      <c r="AJE133" s="105"/>
      <c r="AJF133" s="105"/>
      <c r="AJG133" s="105"/>
      <c r="AJH133" s="105"/>
      <c r="AJI133" s="105"/>
      <c r="AJJ133" s="105"/>
      <c r="AJK133" s="105"/>
      <c r="AJL133" s="105"/>
      <c r="AJM133" s="105"/>
      <c r="AJN133" s="105"/>
      <c r="AJO133" s="105"/>
      <c r="AJP133" s="105"/>
      <c r="AJQ133" s="105"/>
      <c r="AJR133" s="105"/>
      <c r="AJS133" s="105"/>
      <c r="AJT133" s="105"/>
      <c r="AJU133" s="105"/>
      <c r="AJV133" s="105"/>
      <c r="AJW133" s="105"/>
      <c r="AJX133" s="105"/>
      <c r="AJY133" s="105"/>
      <c r="AJZ133" s="105"/>
      <c r="AKA133" s="105"/>
      <c r="AKB133" s="105"/>
      <c r="AKC133" s="105"/>
      <c r="AKD133" s="105"/>
      <c r="AKE133" s="105"/>
      <c r="AKF133" s="105"/>
      <c r="AKG133" s="105"/>
      <c r="AKH133" s="105"/>
      <c r="AKI133" s="105"/>
      <c r="AKJ133" s="105"/>
      <c r="AKK133" s="105"/>
      <c r="AKL133" s="105"/>
      <c r="AKM133" s="105"/>
      <c r="AKN133" s="105"/>
      <c r="AKO133" s="105"/>
      <c r="AKP133" s="105"/>
      <c r="AKQ133" s="105"/>
      <c r="AKR133" s="105"/>
      <c r="AKS133" s="105"/>
      <c r="AKT133" s="105"/>
      <c r="AKU133" s="105"/>
      <c r="AKV133" s="105"/>
      <c r="AKW133" s="105"/>
      <c r="AKX133" s="105"/>
      <c r="AKY133" s="105"/>
      <c r="AKZ133" s="105"/>
      <c r="ALA133" s="105"/>
      <c r="ALB133" s="105"/>
      <c r="ALC133" s="105"/>
      <c r="ALD133" s="105"/>
      <c r="ALE133" s="105"/>
      <c r="ALF133" s="105"/>
      <c r="ALG133" s="105"/>
      <c r="ALH133" s="105"/>
      <c r="ALI133" s="105"/>
      <c r="ALJ133" s="105"/>
      <c r="ALK133" s="105"/>
      <c r="ALL133" s="105"/>
      <c r="ALM133" s="105"/>
      <c r="ALN133" s="105"/>
      <c r="ALO133" s="105"/>
      <c r="ALP133" s="105"/>
      <c r="ALQ133" s="105"/>
      <c r="ALR133" s="105"/>
      <c r="ALS133" s="105"/>
      <c r="ALT133" s="105"/>
      <c r="ALU133" s="105"/>
      <c r="ALV133" s="105"/>
      <c r="ALW133" s="105"/>
      <c r="ALX133" s="105"/>
      <c r="ALY133" s="105"/>
      <c r="ALZ133" s="105"/>
      <c r="AMA133" s="105"/>
      <c r="AMB133" s="105"/>
      <c r="AMC133" s="105"/>
      <c r="AMD133" s="105"/>
      <c r="AME133" s="105"/>
      <c r="AMF133" s="105"/>
      <c r="AMG133" s="105"/>
      <c r="AMH133" s="105"/>
      <c r="AMI133" s="105"/>
      <c r="AMJ133" s="105"/>
      <c r="AMK133" s="105"/>
      <c r="AML133" s="105"/>
      <c r="AMM133" s="105"/>
      <c r="AMN133" s="105"/>
      <c r="AMO133" s="105"/>
      <c r="AMP133" s="105"/>
      <c r="AMQ133" s="105"/>
      <c r="AMR133" s="105"/>
      <c r="AMS133" s="105"/>
      <c r="AMT133" s="105"/>
      <c r="AMU133" s="105"/>
      <c r="AMV133" s="105"/>
      <c r="AMW133" s="105"/>
      <c r="AMX133" s="105"/>
      <c r="AMY133" s="105"/>
      <c r="AMZ133" s="105"/>
      <c r="ANA133" s="105"/>
      <c r="ANB133" s="105"/>
      <c r="ANC133" s="105"/>
      <c r="AND133" s="105"/>
      <c r="ANE133" s="105"/>
      <c r="ANF133" s="105"/>
      <c r="ANG133" s="105"/>
      <c r="ANH133" s="105"/>
      <c r="ANI133" s="105"/>
      <c r="ANJ133" s="105"/>
      <c r="ANK133" s="105"/>
      <c r="ANL133" s="105"/>
      <c r="ANM133" s="105"/>
      <c r="ANN133" s="105"/>
      <c r="ANO133" s="105"/>
      <c r="ANP133" s="105"/>
      <c r="ANQ133" s="105"/>
      <c r="ANR133" s="105"/>
      <c r="ANS133" s="105"/>
      <c r="ANT133" s="105"/>
      <c r="ANU133" s="105"/>
      <c r="ANV133" s="105"/>
      <c r="ANW133" s="105"/>
      <c r="ANX133" s="105"/>
      <c r="ANY133" s="105"/>
      <c r="ANZ133" s="105"/>
      <c r="AOA133" s="105"/>
      <c r="AOB133" s="105"/>
      <c r="AOC133" s="105"/>
      <c r="AOD133" s="105"/>
      <c r="AOE133" s="105"/>
      <c r="AOF133" s="105"/>
      <c r="AOG133" s="105"/>
      <c r="AOH133" s="105"/>
      <c r="AOI133" s="105"/>
      <c r="AOJ133" s="105"/>
      <c r="AOK133" s="105"/>
      <c r="AOL133" s="105"/>
      <c r="AOM133" s="105"/>
      <c r="AON133" s="105"/>
      <c r="AOO133" s="105"/>
      <c r="AOP133" s="105"/>
      <c r="AOQ133" s="105"/>
      <c r="AOR133" s="105"/>
      <c r="AOS133" s="105"/>
      <c r="AOT133" s="105"/>
      <c r="AOU133" s="105"/>
      <c r="AOV133" s="105"/>
      <c r="AOW133" s="105"/>
      <c r="AOX133" s="105"/>
      <c r="AOY133" s="105"/>
      <c r="AOZ133" s="105"/>
      <c r="APA133" s="105"/>
      <c r="APB133" s="105"/>
      <c r="APC133" s="105"/>
      <c r="APD133" s="105"/>
      <c r="APE133" s="105"/>
      <c r="APF133" s="105"/>
      <c r="APG133" s="105"/>
      <c r="APH133" s="105"/>
      <c r="API133" s="105"/>
      <c r="APJ133" s="105"/>
      <c r="APK133" s="105"/>
      <c r="APL133" s="105"/>
      <c r="APM133" s="105"/>
      <c r="APN133" s="105"/>
      <c r="APO133" s="105"/>
      <c r="APP133" s="105"/>
      <c r="APQ133" s="105"/>
      <c r="APR133" s="105"/>
      <c r="APS133" s="105"/>
      <c r="APT133" s="105"/>
      <c r="APU133" s="105"/>
      <c r="APV133" s="105"/>
      <c r="APW133" s="105"/>
      <c r="APX133" s="105"/>
      <c r="APY133" s="105"/>
      <c r="APZ133" s="105"/>
      <c r="AQA133" s="105"/>
      <c r="AQB133" s="105"/>
      <c r="AQC133" s="105"/>
      <c r="AQD133" s="105"/>
      <c r="AQE133" s="105"/>
      <c r="AQF133" s="105"/>
      <c r="AQG133" s="105"/>
      <c r="AQH133" s="105"/>
      <c r="AQI133" s="105"/>
      <c r="AQJ133" s="105"/>
      <c r="AQK133" s="105"/>
      <c r="AQL133" s="105"/>
      <c r="AQM133" s="105"/>
      <c r="AQN133" s="105"/>
      <c r="AQO133" s="105"/>
      <c r="AQP133" s="105"/>
      <c r="AQQ133" s="105"/>
      <c r="AQR133" s="105"/>
      <c r="AQS133" s="105"/>
      <c r="AQT133" s="105"/>
      <c r="AQU133" s="105"/>
      <c r="AQV133" s="105"/>
      <c r="AQW133" s="105"/>
      <c r="AQX133" s="105"/>
      <c r="AQY133" s="105"/>
      <c r="AQZ133" s="105"/>
      <c r="ARA133" s="105"/>
      <c r="ARB133" s="105"/>
      <c r="ARC133" s="105"/>
      <c r="ARD133" s="105"/>
      <c r="ARE133" s="105"/>
      <c r="ARF133" s="105"/>
      <c r="ARG133" s="105"/>
      <c r="ARH133" s="105"/>
      <c r="ARI133" s="105"/>
      <c r="ARJ133" s="105"/>
      <c r="ARK133" s="105"/>
      <c r="ARL133" s="105"/>
      <c r="ARM133" s="105"/>
      <c r="ARN133" s="105"/>
      <c r="ARO133" s="105"/>
      <c r="ARP133" s="105"/>
      <c r="ARQ133" s="105"/>
      <c r="ARR133" s="105"/>
      <c r="ARS133" s="105"/>
      <c r="ART133" s="105"/>
      <c r="ARU133" s="105"/>
      <c r="ARV133" s="105"/>
      <c r="ARW133" s="105"/>
      <c r="ARX133" s="105"/>
      <c r="ARY133" s="105"/>
      <c r="ARZ133" s="105"/>
      <c r="ASA133" s="105"/>
      <c r="ASB133" s="105"/>
      <c r="ASC133" s="105"/>
      <c r="ASD133" s="105"/>
      <c r="ASE133" s="105"/>
      <c r="ASF133" s="105"/>
      <c r="ASG133" s="105"/>
      <c r="ASH133" s="105"/>
      <c r="ASI133" s="105"/>
      <c r="ASJ133" s="105"/>
      <c r="ASK133" s="105"/>
      <c r="ASL133" s="105"/>
      <c r="ASM133" s="105"/>
      <c r="ASN133" s="105"/>
      <c r="ASO133" s="105"/>
      <c r="ASP133" s="105"/>
      <c r="ASQ133" s="105"/>
      <c r="ASR133" s="105"/>
      <c r="ASS133" s="105"/>
      <c r="AST133" s="105"/>
      <c r="ASU133" s="105"/>
      <c r="ASV133" s="105"/>
      <c r="ASW133" s="105"/>
      <c r="ASX133" s="105"/>
      <c r="ASY133" s="105"/>
      <c r="ASZ133" s="105"/>
      <c r="ATA133" s="105"/>
      <c r="ATB133" s="105"/>
      <c r="ATC133" s="105"/>
      <c r="ATD133" s="105"/>
      <c r="ATE133" s="105"/>
      <c r="ATF133" s="105"/>
      <c r="ATG133" s="105"/>
      <c r="ATH133" s="105"/>
      <c r="ATI133" s="105"/>
      <c r="ATJ133" s="105"/>
      <c r="ATK133" s="105"/>
      <c r="ATL133" s="105"/>
      <c r="ATM133" s="105"/>
      <c r="ATN133" s="105"/>
      <c r="ATO133" s="105"/>
      <c r="ATP133" s="105"/>
      <c r="ATQ133" s="105"/>
      <c r="ATR133" s="105"/>
      <c r="ATS133" s="105"/>
      <c r="ATT133" s="105"/>
      <c r="ATU133" s="105"/>
      <c r="ATV133" s="105"/>
      <c r="ATW133" s="105"/>
      <c r="ATX133" s="105"/>
      <c r="ATY133" s="105"/>
      <c r="ATZ133" s="105"/>
      <c r="AUA133" s="105"/>
      <c r="AUB133" s="105"/>
      <c r="AUC133" s="105"/>
      <c r="AUD133" s="105"/>
      <c r="AUE133" s="105"/>
      <c r="AUF133" s="105"/>
      <c r="AUG133" s="105"/>
      <c r="AUH133" s="105"/>
      <c r="AUI133" s="105"/>
      <c r="AUJ133" s="105"/>
      <c r="AUK133" s="105"/>
      <c r="AUL133" s="105"/>
      <c r="AUM133" s="105"/>
      <c r="AUN133" s="105"/>
      <c r="AUO133" s="105"/>
      <c r="AUP133" s="105"/>
      <c r="AUQ133" s="105"/>
      <c r="AUR133" s="105"/>
      <c r="AUS133" s="105"/>
      <c r="AUT133" s="105"/>
      <c r="AUU133" s="105"/>
      <c r="AUV133" s="105"/>
      <c r="AUW133" s="105"/>
      <c r="AUX133" s="105"/>
      <c r="AUY133" s="105"/>
      <c r="AUZ133" s="105"/>
      <c r="AVA133" s="105"/>
      <c r="AVB133" s="105"/>
      <c r="AVC133" s="105"/>
      <c r="AVD133" s="105"/>
      <c r="AVE133" s="105"/>
      <c r="AVF133" s="105"/>
      <c r="AVG133" s="105"/>
      <c r="AVH133" s="105"/>
      <c r="AVI133" s="105"/>
      <c r="AVJ133" s="105"/>
      <c r="AVK133" s="105"/>
      <c r="AVL133" s="105"/>
      <c r="AVM133" s="105"/>
      <c r="AVN133" s="105"/>
      <c r="AVO133" s="105"/>
      <c r="AVP133" s="105"/>
      <c r="AVQ133" s="105"/>
      <c r="AVR133" s="105"/>
      <c r="AVS133" s="105"/>
      <c r="AVT133" s="105"/>
      <c r="AVU133" s="105"/>
      <c r="AVV133" s="105"/>
      <c r="AVW133" s="105"/>
      <c r="AVX133" s="105"/>
      <c r="AVY133" s="105"/>
      <c r="AVZ133" s="105"/>
      <c r="AWA133" s="105"/>
      <c r="AWB133" s="105"/>
      <c r="AWC133" s="105"/>
      <c r="AWD133" s="105"/>
      <c r="AWE133" s="105"/>
      <c r="AWF133" s="105"/>
      <c r="AWG133" s="105"/>
      <c r="AWH133" s="105"/>
      <c r="AWI133" s="105"/>
      <c r="AWJ133" s="105"/>
      <c r="AWK133" s="105"/>
      <c r="AWL133" s="105"/>
      <c r="AWM133" s="105"/>
      <c r="AWN133" s="105"/>
      <c r="AWO133" s="105"/>
      <c r="AWP133" s="105"/>
      <c r="AWQ133" s="105"/>
      <c r="AWR133" s="105"/>
      <c r="AWS133" s="105"/>
      <c r="AWT133" s="105"/>
      <c r="AWU133" s="105"/>
      <c r="AWV133" s="105"/>
      <c r="AWW133" s="105"/>
      <c r="AWX133" s="105"/>
      <c r="AWY133" s="105"/>
      <c r="AWZ133" s="105"/>
      <c r="AXA133" s="105"/>
      <c r="AXB133" s="105"/>
      <c r="AXC133" s="105"/>
      <c r="AXD133" s="105"/>
      <c r="AXE133" s="105"/>
      <c r="AXF133" s="105"/>
      <c r="AXG133" s="105"/>
      <c r="AXH133" s="105"/>
      <c r="AXI133" s="105"/>
      <c r="AXJ133" s="105"/>
      <c r="AXK133" s="105"/>
      <c r="AXL133" s="105"/>
      <c r="AXM133" s="105"/>
      <c r="AXN133" s="105"/>
      <c r="AXO133" s="105"/>
      <c r="AXP133" s="105"/>
      <c r="AXQ133" s="105"/>
      <c r="AXR133" s="105"/>
      <c r="AXS133" s="105"/>
      <c r="AXT133" s="105"/>
      <c r="AXU133" s="105"/>
      <c r="AXV133" s="105"/>
      <c r="AXW133" s="105"/>
      <c r="AXX133" s="105"/>
      <c r="AXY133" s="105"/>
      <c r="AXZ133" s="105"/>
      <c r="AYA133" s="105"/>
      <c r="AYB133" s="105"/>
      <c r="AYC133" s="105"/>
      <c r="AYD133" s="105"/>
      <c r="AYE133" s="105"/>
      <c r="AYF133" s="105"/>
      <c r="AYG133" s="105"/>
      <c r="AYH133" s="105"/>
      <c r="AYI133" s="105"/>
      <c r="AYJ133" s="105"/>
      <c r="AYK133" s="105"/>
      <c r="AYL133" s="105"/>
      <c r="AYM133" s="105"/>
      <c r="AYN133" s="105"/>
      <c r="AYO133" s="105"/>
      <c r="AYP133" s="105"/>
      <c r="AYQ133" s="105"/>
      <c r="AYR133" s="105"/>
      <c r="AYS133" s="105"/>
      <c r="AYT133" s="105"/>
      <c r="AYU133" s="105"/>
      <c r="AYV133" s="105"/>
      <c r="AYW133" s="105"/>
      <c r="AYX133" s="105"/>
      <c r="AYY133" s="105"/>
      <c r="AYZ133" s="105"/>
      <c r="AZA133" s="105"/>
      <c r="AZB133" s="105"/>
      <c r="AZC133" s="105"/>
      <c r="AZD133" s="105"/>
      <c r="AZE133" s="105"/>
      <c r="AZF133" s="105"/>
      <c r="AZG133" s="105"/>
      <c r="AZH133" s="105"/>
      <c r="AZI133" s="105"/>
      <c r="AZJ133" s="105"/>
      <c r="AZK133" s="105"/>
      <c r="AZL133" s="105"/>
      <c r="AZM133" s="105"/>
      <c r="AZN133" s="105"/>
      <c r="AZO133" s="105"/>
      <c r="AZP133" s="105"/>
      <c r="AZQ133" s="105"/>
      <c r="AZR133" s="105"/>
      <c r="AZS133" s="105"/>
      <c r="AZT133" s="105"/>
      <c r="AZU133" s="105"/>
      <c r="AZV133" s="105"/>
      <c r="AZW133" s="105"/>
      <c r="AZX133" s="105"/>
      <c r="AZY133" s="105"/>
      <c r="AZZ133" s="105"/>
      <c r="BAA133" s="105"/>
      <c r="BAB133" s="105"/>
      <c r="BAC133" s="105"/>
      <c r="BAD133" s="105"/>
      <c r="BAE133" s="105"/>
      <c r="BAF133" s="105"/>
      <c r="BAG133" s="105"/>
      <c r="BAH133" s="105"/>
      <c r="BAI133" s="105"/>
      <c r="BAJ133" s="105"/>
      <c r="BAK133" s="105"/>
      <c r="BAL133" s="105"/>
      <c r="BAM133" s="105"/>
      <c r="BAN133" s="105"/>
      <c r="BAO133" s="105"/>
      <c r="BAP133" s="105"/>
      <c r="BAQ133" s="105"/>
      <c r="BAR133" s="105"/>
      <c r="BAS133" s="105"/>
      <c r="BAT133" s="105"/>
      <c r="BAU133" s="105"/>
      <c r="BAV133" s="105"/>
      <c r="BAW133" s="105"/>
      <c r="BAX133" s="105"/>
      <c r="BAY133" s="105"/>
      <c r="BAZ133" s="105"/>
      <c r="BBA133" s="105"/>
      <c r="BBB133" s="105"/>
      <c r="BBC133" s="105"/>
      <c r="BBD133" s="105"/>
      <c r="BBE133" s="105"/>
      <c r="BBF133" s="105"/>
      <c r="BBG133" s="105"/>
      <c r="BBH133" s="105"/>
      <c r="BBI133" s="105"/>
      <c r="BBJ133" s="105"/>
      <c r="BBK133" s="105"/>
      <c r="BBL133" s="105"/>
      <c r="BBM133" s="105"/>
      <c r="BBN133" s="105"/>
      <c r="BBO133" s="105"/>
      <c r="BBP133" s="105"/>
      <c r="BBQ133" s="105"/>
      <c r="BBR133" s="105"/>
      <c r="BBS133" s="105"/>
      <c r="BBT133" s="105"/>
      <c r="BBU133" s="105"/>
      <c r="BBV133" s="105"/>
      <c r="BBW133" s="105"/>
      <c r="BBX133" s="105"/>
      <c r="BBY133" s="105"/>
      <c r="BBZ133" s="105"/>
      <c r="BCA133" s="105"/>
      <c r="BCB133" s="105"/>
      <c r="BCC133" s="105"/>
      <c r="BCD133" s="105"/>
      <c r="BCE133" s="105"/>
      <c r="BCF133" s="105"/>
      <c r="BCG133" s="105"/>
      <c r="BCH133" s="105"/>
      <c r="BCI133" s="105"/>
      <c r="BCJ133" s="105"/>
      <c r="BCK133" s="105"/>
      <c r="BCL133" s="105"/>
      <c r="BCM133" s="105"/>
      <c r="BCN133" s="105"/>
      <c r="BCO133" s="105"/>
      <c r="BCP133" s="105"/>
      <c r="BCQ133" s="105"/>
      <c r="BCR133" s="105"/>
      <c r="BCS133" s="105"/>
      <c r="BCT133" s="105"/>
      <c r="BCU133" s="105"/>
      <c r="BCV133" s="105"/>
      <c r="BCW133" s="105"/>
      <c r="BCX133" s="105"/>
      <c r="BCY133" s="105"/>
      <c r="BCZ133" s="105"/>
      <c r="BDA133" s="105"/>
      <c r="BDB133" s="105"/>
      <c r="BDC133" s="105"/>
      <c r="BDD133" s="105"/>
      <c r="BDE133" s="105"/>
      <c r="BDF133" s="105"/>
      <c r="BDG133" s="105"/>
      <c r="BDH133" s="105"/>
      <c r="BDI133" s="105"/>
      <c r="BDJ133" s="105"/>
      <c r="BDK133" s="105"/>
      <c r="BDL133" s="105"/>
      <c r="BDM133" s="105"/>
      <c r="BDN133" s="105"/>
      <c r="BDO133" s="105"/>
      <c r="BDP133" s="105"/>
      <c r="BDQ133" s="105"/>
      <c r="BDR133" s="105"/>
      <c r="BDS133" s="105"/>
      <c r="BDT133" s="105"/>
      <c r="BDU133" s="105"/>
      <c r="BDV133" s="105"/>
      <c r="BDW133" s="105"/>
      <c r="BDX133" s="105"/>
      <c r="BDY133" s="105"/>
      <c r="BDZ133" s="105"/>
      <c r="BEA133" s="105"/>
      <c r="BEB133" s="105"/>
      <c r="BEC133" s="105"/>
      <c r="BED133" s="105"/>
      <c r="BEE133" s="105"/>
      <c r="BEF133" s="105"/>
      <c r="BEG133" s="105"/>
      <c r="BEH133" s="105"/>
      <c r="BEI133" s="105"/>
      <c r="BEJ133" s="105"/>
      <c r="BEK133" s="105"/>
      <c r="BEL133" s="105"/>
      <c r="BEM133" s="105"/>
      <c r="BEN133" s="105"/>
      <c r="BEO133" s="105"/>
      <c r="BEP133" s="105"/>
      <c r="BEQ133" s="105"/>
      <c r="BER133" s="105"/>
      <c r="BES133" s="105"/>
      <c r="BET133" s="105"/>
      <c r="BEU133" s="105"/>
      <c r="BEV133" s="105"/>
      <c r="BEW133" s="105"/>
      <c r="BEX133" s="105"/>
      <c r="BEY133" s="105"/>
      <c r="BEZ133" s="105"/>
      <c r="BFA133" s="105"/>
      <c r="BFB133" s="105"/>
      <c r="BFC133" s="105"/>
      <c r="BFD133" s="105"/>
      <c r="BFE133" s="105"/>
      <c r="BFF133" s="105"/>
      <c r="BFG133" s="105"/>
      <c r="BFH133" s="105"/>
      <c r="BFI133" s="105"/>
      <c r="BFJ133" s="105"/>
      <c r="BFK133" s="105"/>
      <c r="BFL133" s="105"/>
      <c r="BFM133" s="105"/>
      <c r="BFN133" s="105"/>
      <c r="BFO133" s="105"/>
      <c r="BFP133" s="105"/>
      <c r="BFQ133" s="105"/>
      <c r="BFR133" s="105"/>
      <c r="BFS133" s="105"/>
      <c r="BFT133" s="105"/>
      <c r="BFU133" s="105"/>
      <c r="BFV133" s="105"/>
      <c r="BFW133" s="105"/>
      <c r="BFX133" s="105"/>
      <c r="BFY133" s="105"/>
      <c r="BFZ133" s="105"/>
      <c r="BGA133" s="105"/>
      <c r="BGB133" s="105"/>
      <c r="BGC133" s="105"/>
      <c r="BGD133" s="105"/>
      <c r="BGE133" s="105"/>
      <c r="BGF133" s="105"/>
      <c r="BGG133" s="105"/>
      <c r="BGH133" s="105"/>
      <c r="BGI133" s="105"/>
      <c r="BGJ133" s="105"/>
      <c r="BGK133" s="105"/>
      <c r="BGL133" s="105"/>
      <c r="BGM133" s="105"/>
      <c r="BGN133" s="105"/>
      <c r="BGO133" s="105"/>
      <c r="BGP133" s="105"/>
      <c r="BGQ133" s="105"/>
      <c r="BGR133" s="105"/>
      <c r="BGS133" s="105"/>
      <c r="BGT133" s="105"/>
      <c r="BGU133" s="105"/>
      <c r="BGV133" s="105"/>
      <c r="BGW133" s="105"/>
      <c r="BGX133" s="105"/>
      <c r="BGY133" s="105"/>
      <c r="BGZ133" s="105"/>
      <c r="BHA133" s="105"/>
      <c r="BHB133" s="105"/>
      <c r="BHC133" s="105"/>
      <c r="BHD133" s="105"/>
      <c r="BHE133" s="105"/>
      <c r="BHF133" s="105"/>
      <c r="BHG133" s="105"/>
      <c r="BHH133" s="105"/>
      <c r="BHI133" s="105"/>
      <c r="BHJ133" s="105"/>
      <c r="BHK133" s="105"/>
      <c r="BHL133" s="105"/>
      <c r="BHM133" s="105"/>
      <c r="BHN133" s="105"/>
      <c r="BHO133" s="105"/>
      <c r="BHP133" s="105"/>
      <c r="BHQ133" s="105"/>
      <c r="BHR133" s="105"/>
      <c r="BHS133" s="105"/>
      <c r="BHT133" s="105"/>
      <c r="BHU133" s="105"/>
      <c r="BHV133" s="105"/>
      <c r="BHW133" s="105"/>
      <c r="BHX133" s="105"/>
      <c r="BHY133" s="105"/>
      <c r="BHZ133" s="105"/>
      <c r="BIA133" s="105"/>
      <c r="BIB133" s="105"/>
      <c r="BIC133" s="105"/>
      <c r="BID133" s="105"/>
      <c r="BIE133" s="105"/>
      <c r="BIF133" s="105"/>
      <c r="BIG133" s="105"/>
      <c r="BIH133" s="105"/>
      <c r="BII133" s="105"/>
      <c r="BIJ133" s="105"/>
      <c r="BIK133" s="105"/>
      <c r="BIL133" s="105"/>
      <c r="BIM133" s="105"/>
      <c r="BIN133" s="105"/>
      <c r="BIO133" s="105"/>
      <c r="BIP133" s="105"/>
      <c r="BIQ133" s="105"/>
      <c r="BIR133" s="105"/>
      <c r="BIS133" s="105"/>
      <c r="BIT133" s="105"/>
      <c r="BIU133" s="105"/>
      <c r="BIV133" s="105"/>
      <c r="BIW133" s="105"/>
      <c r="BIX133" s="105"/>
      <c r="BIY133" s="105"/>
      <c r="BIZ133" s="105"/>
      <c r="BJA133" s="105"/>
      <c r="BJB133" s="105"/>
      <c r="BJC133" s="105"/>
      <c r="BJD133" s="105"/>
      <c r="BJE133" s="105"/>
      <c r="BJF133" s="105"/>
      <c r="BJG133" s="105"/>
      <c r="BJH133" s="105"/>
      <c r="BJI133" s="105"/>
      <c r="BJJ133" s="105"/>
      <c r="BJK133" s="105"/>
      <c r="BJL133" s="105"/>
      <c r="BJM133" s="105"/>
      <c r="BJN133" s="105"/>
      <c r="BJO133" s="105"/>
      <c r="BJP133" s="105"/>
      <c r="BJQ133" s="105"/>
      <c r="BJR133" s="105"/>
      <c r="BJS133" s="105"/>
      <c r="BJT133" s="105"/>
      <c r="BJU133" s="105"/>
      <c r="BJV133" s="105"/>
      <c r="BJW133" s="105"/>
      <c r="BJX133" s="105"/>
      <c r="BJY133" s="105"/>
      <c r="BJZ133" s="105"/>
      <c r="BKA133" s="105"/>
      <c r="BKB133" s="105"/>
      <c r="BKC133" s="105"/>
      <c r="BKD133" s="105"/>
      <c r="BKE133" s="105"/>
      <c r="BKF133" s="105"/>
      <c r="BKG133" s="105"/>
      <c r="BKH133" s="105"/>
      <c r="BKI133" s="105"/>
      <c r="BKJ133" s="105"/>
      <c r="BKK133" s="105"/>
      <c r="BKL133" s="105"/>
      <c r="BKM133" s="105"/>
      <c r="BKN133" s="105"/>
      <c r="BKO133" s="105"/>
      <c r="BKP133" s="105"/>
      <c r="BKQ133" s="105"/>
      <c r="BKR133" s="105"/>
      <c r="BKS133" s="105"/>
      <c r="BKT133" s="105"/>
      <c r="BKU133" s="105"/>
      <c r="BKV133" s="105"/>
      <c r="BKW133" s="105"/>
      <c r="BKX133" s="105"/>
      <c r="BKY133" s="105"/>
      <c r="BKZ133" s="105"/>
      <c r="BLA133" s="105"/>
      <c r="BLB133" s="105"/>
      <c r="BLC133" s="105"/>
      <c r="BLD133" s="105"/>
      <c r="BLE133" s="105"/>
      <c r="BLF133" s="105"/>
      <c r="BLG133" s="105"/>
      <c r="BLH133" s="105"/>
      <c r="BLI133" s="105"/>
      <c r="BLJ133" s="105"/>
      <c r="BLK133" s="105"/>
      <c r="BLL133" s="105"/>
      <c r="BLM133" s="105"/>
      <c r="BLN133" s="105"/>
      <c r="BLO133" s="105"/>
      <c r="BLP133" s="105"/>
      <c r="BLQ133" s="105"/>
      <c r="BLR133" s="105"/>
      <c r="BLS133" s="105"/>
      <c r="BLT133" s="105"/>
      <c r="BLU133" s="105"/>
      <c r="BLV133" s="105"/>
      <c r="BLW133" s="105"/>
      <c r="BLX133" s="105"/>
      <c r="BLY133" s="105"/>
      <c r="BLZ133" s="105"/>
      <c r="BMA133" s="105"/>
      <c r="BMB133" s="105"/>
      <c r="BMC133" s="105"/>
      <c r="BMD133" s="105"/>
      <c r="BME133" s="105"/>
      <c r="BMF133" s="105"/>
      <c r="BMG133" s="105"/>
      <c r="BMH133" s="105"/>
      <c r="BMI133" s="105"/>
      <c r="BMJ133" s="105"/>
      <c r="BMK133" s="105"/>
      <c r="BML133" s="105"/>
      <c r="BMM133" s="105"/>
      <c r="BMN133" s="105"/>
      <c r="BMO133" s="105"/>
      <c r="BMP133" s="105"/>
      <c r="BMQ133" s="105"/>
      <c r="BMR133" s="105"/>
      <c r="BMS133" s="105"/>
      <c r="BMT133" s="105"/>
      <c r="BMU133" s="105"/>
      <c r="BMV133" s="105"/>
      <c r="BMW133" s="105"/>
      <c r="BMX133" s="105"/>
      <c r="BMY133" s="105"/>
      <c r="BMZ133" s="105"/>
      <c r="BNA133" s="105"/>
      <c r="BNB133" s="105"/>
      <c r="BNC133" s="105"/>
      <c r="BND133" s="105"/>
      <c r="BNE133" s="105"/>
      <c r="BNF133" s="105"/>
      <c r="BNG133" s="105"/>
      <c r="BNH133" s="105"/>
      <c r="BNI133" s="105"/>
      <c r="BNJ133" s="105"/>
      <c r="BNK133" s="105"/>
      <c r="BNL133" s="105"/>
      <c r="BNM133" s="105"/>
      <c r="BNN133" s="105"/>
      <c r="BNO133" s="105"/>
      <c r="BNP133" s="105"/>
      <c r="BNQ133" s="105"/>
      <c r="BNR133" s="105"/>
      <c r="BNS133" s="105"/>
      <c r="BNT133" s="105"/>
      <c r="BNU133" s="105"/>
      <c r="BNV133" s="105"/>
      <c r="BNW133" s="105"/>
      <c r="BNX133" s="105"/>
      <c r="BNY133" s="105"/>
      <c r="BNZ133" s="105"/>
      <c r="BOA133" s="105"/>
      <c r="BOB133" s="105"/>
      <c r="BOC133" s="105"/>
      <c r="BOD133" s="105"/>
      <c r="BOE133" s="105"/>
      <c r="BOF133" s="105"/>
      <c r="BOG133" s="105"/>
      <c r="BOH133" s="105"/>
      <c r="BOI133" s="105"/>
      <c r="BOJ133" s="105"/>
      <c r="BOK133" s="105"/>
      <c r="BOL133" s="105"/>
      <c r="BOM133" s="105"/>
      <c r="BON133" s="105"/>
      <c r="BOO133" s="105"/>
      <c r="BOP133" s="105"/>
      <c r="BOQ133" s="105"/>
      <c r="BOR133" s="105"/>
      <c r="BOS133" s="105"/>
      <c r="BOT133" s="105"/>
      <c r="BOU133" s="105"/>
      <c r="BOV133" s="105"/>
      <c r="BOW133" s="105"/>
      <c r="BOX133" s="105"/>
      <c r="BOY133" s="105"/>
      <c r="BOZ133" s="105"/>
      <c r="BPA133" s="105"/>
      <c r="BPB133" s="105"/>
      <c r="BPC133" s="105"/>
      <c r="BPD133" s="105"/>
      <c r="BPE133" s="105"/>
      <c r="BPF133" s="105"/>
      <c r="BPG133" s="105"/>
      <c r="BPH133" s="105"/>
      <c r="BPI133" s="105"/>
      <c r="BPJ133" s="105"/>
      <c r="BPK133" s="105"/>
      <c r="BPL133" s="105"/>
      <c r="BPM133" s="105"/>
      <c r="BPN133" s="105"/>
      <c r="BPO133" s="105"/>
      <c r="BPP133" s="105"/>
      <c r="BPQ133" s="105"/>
      <c r="BPR133" s="105"/>
      <c r="BPS133" s="105"/>
      <c r="BPT133" s="105"/>
      <c r="BPU133" s="105"/>
      <c r="BPV133" s="105"/>
      <c r="BPW133" s="105"/>
      <c r="BPX133" s="105"/>
      <c r="BPY133" s="105"/>
      <c r="BPZ133" s="105"/>
      <c r="BQA133" s="105"/>
      <c r="BQB133" s="105"/>
      <c r="BQC133" s="105"/>
      <c r="BQD133" s="105"/>
      <c r="BQE133" s="105"/>
      <c r="BQF133" s="105"/>
      <c r="BQG133" s="105"/>
      <c r="BQH133" s="105"/>
      <c r="BQI133" s="105"/>
      <c r="BQJ133" s="105"/>
      <c r="BQK133" s="105"/>
      <c r="BQL133" s="105"/>
      <c r="BQM133" s="105"/>
      <c r="BQN133" s="105"/>
      <c r="BQO133" s="105"/>
      <c r="BQP133" s="105"/>
      <c r="BQQ133" s="105"/>
      <c r="BQR133" s="105"/>
      <c r="BQS133" s="105"/>
      <c r="BQT133" s="105"/>
      <c r="BQU133" s="105"/>
      <c r="BQV133" s="105"/>
      <c r="BQW133" s="105"/>
      <c r="BQX133" s="105"/>
      <c r="BQY133" s="105"/>
      <c r="BQZ133" s="105"/>
      <c r="BRA133" s="105"/>
      <c r="BRB133" s="105"/>
      <c r="BRC133" s="105"/>
      <c r="BRD133" s="105"/>
      <c r="BRE133" s="105"/>
      <c r="BRF133" s="105"/>
      <c r="BRG133" s="105"/>
      <c r="BRH133" s="105"/>
      <c r="BRI133" s="105"/>
      <c r="BRJ133" s="105"/>
      <c r="BRK133" s="105"/>
      <c r="BRL133" s="105"/>
      <c r="BRM133" s="105"/>
      <c r="BRN133" s="105"/>
      <c r="BRO133" s="105"/>
      <c r="BRP133" s="105"/>
      <c r="BRQ133" s="105"/>
      <c r="BRR133" s="105"/>
      <c r="BRS133" s="105"/>
      <c r="BRT133" s="105"/>
      <c r="BRU133" s="105"/>
      <c r="BRV133" s="105"/>
      <c r="BRW133" s="105"/>
      <c r="BRX133" s="105"/>
      <c r="BRY133" s="105"/>
      <c r="BRZ133" s="105"/>
      <c r="BSA133" s="105"/>
      <c r="BSB133" s="105"/>
      <c r="BSC133" s="105"/>
      <c r="BSD133" s="105"/>
      <c r="BSE133" s="105"/>
      <c r="BSF133" s="105"/>
      <c r="BSG133" s="105"/>
      <c r="BSH133" s="105"/>
      <c r="BSI133" s="105"/>
      <c r="BSJ133" s="105"/>
      <c r="BSK133" s="105"/>
      <c r="BSL133" s="105"/>
      <c r="BSM133" s="105"/>
      <c r="BSN133" s="105"/>
      <c r="BSO133" s="105"/>
      <c r="BSP133" s="105"/>
      <c r="BSQ133" s="105"/>
      <c r="BSR133" s="105"/>
      <c r="BSS133" s="105"/>
      <c r="BST133" s="105"/>
      <c r="BSU133" s="105"/>
      <c r="BSV133" s="105"/>
      <c r="BSW133" s="105"/>
      <c r="BSX133" s="105"/>
      <c r="BSY133" s="105"/>
      <c r="BSZ133" s="105"/>
      <c r="BTA133" s="105"/>
      <c r="BTB133" s="105"/>
      <c r="BTC133" s="105"/>
      <c r="BTD133" s="105"/>
      <c r="BTE133" s="105"/>
      <c r="BTF133" s="105"/>
      <c r="BTG133" s="105"/>
      <c r="BTH133" s="105"/>
      <c r="BTI133" s="105"/>
      <c r="BTJ133" s="105"/>
      <c r="BTK133" s="105"/>
      <c r="BTL133" s="105"/>
      <c r="BTM133" s="105"/>
      <c r="BTN133" s="105"/>
      <c r="BTO133" s="105"/>
      <c r="BTP133" s="105"/>
      <c r="BTQ133" s="105"/>
      <c r="BTR133" s="105"/>
      <c r="BTS133" s="105"/>
      <c r="BTT133" s="105"/>
      <c r="BTU133" s="105"/>
      <c r="BTV133" s="105"/>
      <c r="BTW133" s="105"/>
      <c r="BTX133" s="105"/>
      <c r="BTY133" s="105"/>
      <c r="BTZ133" s="105"/>
      <c r="BUA133" s="105"/>
      <c r="BUB133" s="105"/>
      <c r="BUC133" s="105"/>
      <c r="BUD133" s="105"/>
      <c r="BUE133" s="105"/>
      <c r="BUF133" s="105"/>
      <c r="BUG133" s="105"/>
      <c r="BUH133" s="105"/>
      <c r="BUI133" s="105"/>
      <c r="BUJ133" s="105"/>
      <c r="BUK133" s="105"/>
      <c r="BUL133" s="105"/>
      <c r="BUM133" s="105"/>
      <c r="BUN133" s="105"/>
      <c r="BUO133" s="105"/>
      <c r="BUP133" s="105"/>
      <c r="BUQ133" s="105"/>
      <c r="BUR133" s="105"/>
      <c r="BUS133" s="105"/>
      <c r="BUT133" s="105"/>
      <c r="BUU133" s="105"/>
      <c r="BUV133" s="105"/>
      <c r="BUW133" s="105"/>
      <c r="BUX133" s="105"/>
      <c r="BUY133" s="105"/>
      <c r="BUZ133" s="105"/>
      <c r="BVA133" s="105"/>
      <c r="BVB133" s="105"/>
      <c r="BVC133" s="105"/>
      <c r="BVD133" s="105"/>
      <c r="BVE133" s="105"/>
      <c r="BVF133" s="105"/>
      <c r="BVG133" s="105"/>
      <c r="BVH133" s="105"/>
      <c r="BVI133" s="105"/>
      <c r="BVJ133" s="105"/>
      <c r="BVK133" s="105"/>
      <c r="BVL133" s="105"/>
      <c r="BVM133" s="105"/>
      <c r="BVN133" s="105"/>
      <c r="BVO133" s="105"/>
      <c r="BVP133" s="105"/>
      <c r="BVQ133" s="105"/>
      <c r="BVR133" s="105"/>
      <c r="BVS133" s="105"/>
      <c r="BVT133" s="105"/>
      <c r="BVU133" s="105"/>
      <c r="BVV133" s="105"/>
      <c r="BVW133" s="105"/>
      <c r="BVX133" s="105"/>
      <c r="BVY133" s="105"/>
      <c r="BVZ133" s="105"/>
      <c r="BWA133" s="105"/>
      <c r="BWB133" s="105"/>
      <c r="BWC133" s="105"/>
      <c r="BWD133" s="105"/>
      <c r="BWE133" s="105"/>
      <c r="BWF133" s="105"/>
      <c r="BWG133" s="105"/>
      <c r="BWH133" s="105"/>
      <c r="BWI133" s="105"/>
      <c r="BWJ133" s="105"/>
      <c r="BWK133" s="105"/>
      <c r="BWL133" s="105"/>
      <c r="BWM133" s="105"/>
      <c r="BWN133" s="105"/>
      <c r="BWO133" s="105"/>
      <c r="BWP133" s="105"/>
      <c r="BWQ133" s="105"/>
      <c r="BWR133" s="105"/>
      <c r="BWS133" s="105"/>
      <c r="BWT133" s="105"/>
      <c r="BWU133" s="105"/>
      <c r="BWV133" s="105"/>
      <c r="BWW133" s="105"/>
      <c r="BWX133" s="105"/>
      <c r="BWY133" s="105"/>
      <c r="BWZ133" s="105"/>
      <c r="BXA133" s="105"/>
      <c r="BXB133" s="105"/>
      <c r="BXC133" s="105"/>
      <c r="BXD133" s="105"/>
      <c r="BXE133" s="105"/>
      <c r="BXF133" s="105"/>
      <c r="BXG133" s="105"/>
      <c r="BXH133" s="105"/>
      <c r="BXI133" s="105"/>
      <c r="BXJ133" s="105"/>
      <c r="BXK133" s="105"/>
      <c r="BXL133" s="105"/>
      <c r="BXM133" s="105"/>
      <c r="BXN133" s="105"/>
      <c r="BXO133" s="105"/>
      <c r="BXP133" s="105"/>
      <c r="BXQ133" s="105"/>
      <c r="BXR133" s="105"/>
      <c r="BXS133" s="105"/>
      <c r="BXT133" s="105"/>
      <c r="BXU133" s="105"/>
      <c r="BXV133" s="105"/>
      <c r="BXW133" s="105"/>
      <c r="BXX133" s="105"/>
      <c r="BXY133" s="105"/>
      <c r="BXZ133" s="105"/>
      <c r="BYA133" s="105"/>
      <c r="BYB133" s="105"/>
      <c r="BYC133" s="105"/>
      <c r="BYD133" s="105"/>
      <c r="BYE133" s="105"/>
      <c r="BYF133" s="105"/>
      <c r="BYG133" s="105"/>
      <c r="BYH133" s="105"/>
      <c r="BYI133" s="105"/>
      <c r="BYJ133" s="105"/>
      <c r="BYK133" s="105"/>
      <c r="BYL133" s="105"/>
      <c r="BYM133" s="105"/>
      <c r="BYN133" s="105"/>
      <c r="BYO133" s="105"/>
      <c r="BYP133" s="105"/>
      <c r="BYQ133" s="105"/>
      <c r="BYR133" s="105"/>
      <c r="BYS133" s="105"/>
      <c r="BYT133" s="105"/>
      <c r="BYU133" s="105"/>
      <c r="BYV133" s="105"/>
      <c r="BYW133" s="105"/>
      <c r="BYX133" s="105"/>
      <c r="BYY133" s="105"/>
      <c r="BYZ133" s="105"/>
      <c r="BZA133" s="105"/>
      <c r="BZB133" s="105"/>
      <c r="BZC133" s="105"/>
      <c r="BZD133" s="105"/>
      <c r="BZE133" s="105"/>
      <c r="BZF133" s="105"/>
      <c r="BZG133" s="105"/>
      <c r="BZH133" s="105"/>
      <c r="BZI133" s="105"/>
      <c r="BZJ133" s="105"/>
      <c r="BZK133" s="105"/>
      <c r="BZL133" s="105"/>
      <c r="BZM133" s="105"/>
      <c r="BZN133" s="105"/>
      <c r="BZO133" s="105"/>
      <c r="BZP133" s="105"/>
      <c r="BZQ133" s="105"/>
      <c r="BZR133" s="105"/>
      <c r="BZS133" s="105"/>
      <c r="BZT133" s="105"/>
      <c r="BZU133" s="105"/>
      <c r="BZV133" s="105"/>
      <c r="BZW133" s="105"/>
      <c r="BZX133" s="105"/>
      <c r="BZY133" s="105"/>
      <c r="BZZ133" s="105"/>
      <c r="CAA133" s="105"/>
      <c r="CAB133" s="105"/>
      <c r="CAC133" s="105"/>
      <c r="CAD133" s="105"/>
      <c r="CAE133" s="105"/>
      <c r="CAF133" s="105"/>
      <c r="CAG133" s="105"/>
      <c r="CAH133" s="105"/>
      <c r="CAI133" s="105"/>
      <c r="CAJ133" s="105"/>
      <c r="CAK133" s="105"/>
      <c r="CAL133" s="105"/>
      <c r="CAM133" s="105"/>
      <c r="CAN133" s="105"/>
      <c r="CAO133" s="105"/>
      <c r="CAP133" s="105"/>
      <c r="CAQ133" s="105"/>
      <c r="CAR133" s="105"/>
      <c r="CAS133" s="105"/>
      <c r="CAT133" s="105"/>
      <c r="CAU133" s="105"/>
      <c r="CAV133" s="105"/>
      <c r="CAW133" s="105"/>
      <c r="CAX133" s="105"/>
      <c r="CAY133" s="105"/>
      <c r="CAZ133" s="105"/>
      <c r="CBA133" s="105"/>
      <c r="CBB133" s="105"/>
      <c r="CBC133" s="105"/>
      <c r="CBD133" s="105"/>
      <c r="CBE133" s="105"/>
      <c r="CBF133" s="105"/>
      <c r="CBG133" s="105"/>
      <c r="CBH133" s="105"/>
      <c r="CBI133" s="105"/>
      <c r="CBJ133" s="105"/>
      <c r="CBK133" s="105"/>
      <c r="CBL133" s="105"/>
      <c r="CBM133" s="105"/>
      <c r="CBN133" s="105"/>
      <c r="CBO133" s="105"/>
      <c r="CBP133" s="105"/>
      <c r="CBQ133" s="105"/>
      <c r="CBR133" s="105"/>
      <c r="CBS133" s="105"/>
      <c r="CBT133" s="105"/>
      <c r="CBU133" s="105"/>
      <c r="CBV133" s="105"/>
      <c r="CBW133" s="105"/>
      <c r="CBX133" s="105"/>
      <c r="CBY133" s="105"/>
      <c r="CBZ133" s="105"/>
      <c r="CCA133" s="105"/>
      <c r="CCB133" s="105"/>
      <c r="CCC133" s="105"/>
      <c r="CCD133" s="105"/>
      <c r="CCE133" s="105"/>
      <c r="CCF133" s="105"/>
      <c r="CCG133" s="105"/>
      <c r="CCH133" s="105"/>
      <c r="CCI133" s="105"/>
      <c r="CCJ133" s="105"/>
      <c r="CCK133" s="105"/>
      <c r="CCL133" s="105"/>
      <c r="CCM133" s="105"/>
      <c r="CCN133" s="105"/>
      <c r="CCO133" s="105"/>
      <c r="CCP133" s="105"/>
      <c r="CCQ133" s="105"/>
      <c r="CCR133" s="105"/>
      <c r="CCS133" s="105"/>
      <c r="CCT133" s="105"/>
      <c r="CCU133" s="105"/>
      <c r="CCV133" s="105"/>
      <c r="CCW133" s="105"/>
      <c r="CCX133" s="105"/>
      <c r="CCY133" s="105"/>
      <c r="CCZ133" s="105"/>
      <c r="CDA133" s="105"/>
      <c r="CDB133" s="105"/>
      <c r="CDC133" s="105"/>
      <c r="CDD133" s="105"/>
      <c r="CDE133" s="105"/>
      <c r="CDF133" s="105"/>
      <c r="CDG133" s="105"/>
      <c r="CDH133" s="105"/>
      <c r="CDI133" s="105"/>
      <c r="CDJ133" s="105"/>
      <c r="CDK133" s="105"/>
      <c r="CDL133" s="105"/>
      <c r="CDM133" s="105"/>
      <c r="CDN133" s="105"/>
      <c r="CDO133" s="105"/>
      <c r="CDP133" s="105"/>
      <c r="CDQ133" s="105"/>
      <c r="CDR133" s="105"/>
      <c r="CDS133" s="105"/>
      <c r="CDT133" s="105"/>
      <c r="CDU133" s="105"/>
      <c r="CDV133" s="105"/>
      <c r="CDW133" s="105"/>
      <c r="CDX133" s="105"/>
      <c r="CDY133" s="105"/>
      <c r="CDZ133" s="105"/>
      <c r="CEA133" s="105"/>
      <c r="CEB133" s="105"/>
      <c r="CEC133" s="105"/>
      <c r="CED133" s="105"/>
      <c r="CEE133" s="105"/>
      <c r="CEF133" s="105"/>
      <c r="CEG133" s="105"/>
      <c r="CEH133" s="105"/>
      <c r="CEI133" s="105"/>
      <c r="CEJ133" s="105"/>
      <c r="CEK133" s="105"/>
      <c r="CEL133" s="105"/>
      <c r="CEM133" s="105"/>
      <c r="CEN133" s="105"/>
      <c r="CEO133" s="105"/>
      <c r="CEP133" s="105"/>
      <c r="CEQ133" s="105"/>
      <c r="CER133" s="105"/>
      <c r="CES133" s="105"/>
      <c r="CET133" s="105"/>
      <c r="CEU133" s="105"/>
      <c r="CEV133" s="105"/>
      <c r="CEW133" s="105"/>
      <c r="CEX133" s="105"/>
      <c r="CEY133" s="105"/>
      <c r="CEZ133" s="105"/>
      <c r="CFA133" s="105"/>
      <c r="CFB133" s="105"/>
      <c r="CFC133" s="105"/>
      <c r="CFD133" s="105"/>
      <c r="CFE133" s="105"/>
      <c r="CFF133" s="105"/>
      <c r="CFG133" s="105"/>
      <c r="CFH133" s="105"/>
      <c r="CFI133" s="105"/>
      <c r="CFJ133" s="105"/>
      <c r="CFK133" s="105"/>
      <c r="CFL133" s="105"/>
      <c r="CFM133" s="105"/>
      <c r="CFN133" s="105"/>
      <c r="CFO133" s="105"/>
      <c r="CFP133" s="105"/>
      <c r="CFQ133" s="105"/>
      <c r="CFR133" s="105"/>
      <c r="CFS133" s="105"/>
      <c r="CFT133" s="105"/>
      <c r="CFU133" s="105"/>
      <c r="CFV133" s="105"/>
      <c r="CFW133" s="105"/>
      <c r="CFX133" s="105"/>
      <c r="CFY133" s="105"/>
      <c r="CFZ133" s="105"/>
      <c r="CGA133" s="105"/>
      <c r="CGB133" s="105"/>
      <c r="CGC133" s="105"/>
      <c r="CGD133" s="105"/>
      <c r="CGE133" s="105"/>
      <c r="CGF133" s="105"/>
      <c r="CGG133" s="105"/>
      <c r="CGH133" s="105"/>
      <c r="CGI133" s="105"/>
      <c r="CGJ133" s="105"/>
      <c r="CGK133" s="105"/>
      <c r="CGL133" s="105"/>
      <c r="CGM133" s="105"/>
      <c r="CGN133" s="105"/>
      <c r="CGO133" s="105"/>
      <c r="CGP133" s="105"/>
      <c r="CGQ133" s="105"/>
      <c r="CGR133" s="105"/>
      <c r="CGS133" s="105"/>
      <c r="CGT133" s="105"/>
      <c r="CGU133" s="105"/>
      <c r="CGV133" s="105"/>
      <c r="CGW133" s="105"/>
      <c r="CGX133" s="105"/>
      <c r="CGY133" s="105"/>
      <c r="CGZ133" s="105"/>
      <c r="CHA133" s="105"/>
      <c r="CHB133" s="105"/>
      <c r="CHC133" s="105"/>
      <c r="CHD133" s="105"/>
      <c r="CHE133" s="105"/>
      <c r="CHF133" s="105"/>
      <c r="CHG133" s="105"/>
      <c r="CHH133" s="105"/>
      <c r="CHI133" s="105"/>
      <c r="CHJ133" s="105"/>
      <c r="CHK133" s="105"/>
      <c r="CHL133" s="105"/>
      <c r="CHM133" s="105"/>
      <c r="CHN133" s="105"/>
      <c r="CHO133" s="105"/>
      <c r="CHP133" s="105"/>
      <c r="CHQ133" s="105"/>
      <c r="CHR133" s="105"/>
      <c r="CHS133" s="105"/>
      <c r="CHT133" s="105"/>
      <c r="CHU133" s="105"/>
      <c r="CHV133" s="105"/>
      <c r="CHW133" s="105"/>
      <c r="CHX133" s="105"/>
      <c r="CHY133" s="105"/>
      <c r="CHZ133" s="105"/>
      <c r="CIA133" s="105"/>
      <c r="CIB133" s="105"/>
      <c r="CIC133" s="105"/>
      <c r="CID133" s="105"/>
      <c r="CIE133" s="105"/>
      <c r="CIF133" s="105"/>
      <c r="CIG133" s="105"/>
      <c r="CIH133" s="105"/>
      <c r="CII133" s="105"/>
      <c r="CIJ133" s="105"/>
      <c r="CIK133" s="105"/>
      <c r="CIL133" s="105"/>
      <c r="CIM133" s="105"/>
      <c r="CIN133" s="105"/>
      <c r="CIO133" s="105"/>
      <c r="CIP133" s="105"/>
      <c r="CIQ133" s="105"/>
      <c r="CIR133" s="105"/>
      <c r="CIS133" s="105"/>
      <c r="CIT133" s="105"/>
      <c r="CIU133" s="105"/>
      <c r="CIV133" s="105"/>
      <c r="CIW133" s="105"/>
      <c r="CIX133" s="105"/>
      <c r="CIY133" s="105"/>
      <c r="CIZ133" s="105"/>
      <c r="CJA133" s="105"/>
      <c r="CJB133" s="105"/>
      <c r="CJC133" s="105"/>
      <c r="CJD133" s="105"/>
      <c r="CJE133" s="105"/>
      <c r="CJF133" s="105"/>
      <c r="CJG133" s="105"/>
      <c r="CJH133" s="105"/>
      <c r="CJI133" s="105"/>
      <c r="CJJ133" s="105"/>
      <c r="CJK133" s="105"/>
      <c r="CJL133" s="105"/>
      <c r="CJM133" s="105"/>
      <c r="CJN133" s="105"/>
      <c r="CJO133" s="105"/>
      <c r="CJP133" s="105"/>
      <c r="CJQ133" s="105"/>
      <c r="CJR133" s="105"/>
      <c r="CJS133" s="105"/>
      <c r="CJT133" s="105"/>
      <c r="CJU133" s="105"/>
      <c r="CJV133" s="105"/>
      <c r="CJW133" s="105"/>
      <c r="CJX133" s="105"/>
      <c r="CJY133" s="105"/>
      <c r="CJZ133" s="105"/>
      <c r="CKA133" s="105"/>
      <c r="CKB133" s="105"/>
      <c r="CKC133" s="105"/>
      <c r="CKD133" s="105"/>
      <c r="CKE133" s="105"/>
      <c r="CKF133" s="105"/>
      <c r="CKG133" s="105"/>
      <c r="CKH133" s="105"/>
      <c r="CKI133" s="105"/>
      <c r="CKJ133" s="105"/>
      <c r="CKK133" s="105"/>
      <c r="CKL133" s="105"/>
      <c r="CKM133" s="105"/>
      <c r="CKN133" s="105"/>
      <c r="CKO133" s="105"/>
      <c r="CKP133" s="105"/>
      <c r="CKQ133" s="105"/>
      <c r="CKR133" s="105"/>
      <c r="CKS133" s="105"/>
      <c r="CKT133" s="105"/>
      <c r="CKU133" s="105"/>
      <c r="CKV133" s="105"/>
      <c r="CKW133" s="105"/>
      <c r="CKX133" s="105"/>
      <c r="CKY133" s="105"/>
      <c r="CKZ133" s="105"/>
      <c r="CLA133" s="105"/>
      <c r="CLB133" s="105"/>
      <c r="CLC133" s="105"/>
      <c r="CLD133" s="105"/>
      <c r="CLE133" s="105"/>
      <c r="CLF133" s="105"/>
      <c r="CLG133" s="105"/>
      <c r="CLH133" s="105"/>
      <c r="CLI133" s="105"/>
      <c r="CLJ133" s="105"/>
      <c r="CLK133" s="105"/>
      <c r="CLL133" s="105"/>
      <c r="CLM133" s="105"/>
      <c r="CLN133" s="105"/>
      <c r="CLO133" s="105"/>
      <c r="CLP133" s="105"/>
      <c r="CLQ133" s="105"/>
      <c r="CLR133" s="105"/>
      <c r="CLS133" s="105"/>
      <c r="CLT133" s="105"/>
      <c r="CLU133" s="105"/>
      <c r="CLV133" s="105"/>
      <c r="CLW133" s="105"/>
      <c r="CLX133" s="105"/>
      <c r="CLY133" s="105"/>
      <c r="CLZ133" s="105"/>
      <c r="CMA133" s="105"/>
      <c r="CMB133" s="105"/>
      <c r="CMC133" s="105"/>
      <c r="CMD133" s="105"/>
      <c r="CME133" s="105"/>
      <c r="CMF133" s="105"/>
      <c r="CMG133" s="105"/>
      <c r="CMH133" s="105"/>
      <c r="CMI133" s="105"/>
      <c r="CMJ133" s="105"/>
      <c r="CMK133" s="105"/>
      <c r="CML133" s="105"/>
      <c r="CMM133" s="105"/>
      <c r="CMN133" s="105"/>
      <c r="CMO133" s="105"/>
      <c r="CMP133" s="105"/>
      <c r="CMQ133" s="105"/>
      <c r="CMR133" s="105"/>
      <c r="CMS133" s="105"/>
      <c r="CMT133" s="105"/>
      <c r="CMU133" s="105"/>
      <c r="CMV133" s="105"/>
      <c r="CMW133" s="105"/>
      <c r="CMX133" s="105"/>
      <c r="CMY133" s="105"/>
      <c r="CMZ133" s="105"/>
      <c r="CNA133" s="105"/>
      <c r="CNB133" s="105"/>
      <c r="CNC133" s="105"/>
      <c r="CND133" s="105"/>
      <c r="CNE133" s="105"/>
      <c r="CNF133" s="105"/>
      <c r="CNG133" s="105"/>
      <c r="CNH133" s="105"/>
      <c r="CNI133" s="105"/>
      <c r="CNJ133" s="105"/>
      <c r="CNK133" s="105"/>
      <c r="CNL133" s="105"/>
      <c r="CNM133" s="105"/>
      <c r="CNN133" s="105"/>
      <c r="CNO133" s="105"/>
      <c r="CNP133" s="105"/>
      <c r="CNQ133" s="105"/>
      <c r="CNR133" s="105"/>
      <c r="CNS133" s="105"/>
      <c r="CNT133" s="105"/>
      <c r="CNU133" s="105"/>
      <c r="CNV133" s="105"/>
      <c r="CNW133" s="105"/>
      <c r="CNX133" s="105"/>
      <c r="CNY133" s="105"/>
      <c r="CNZ133" s="105"/>
      <c r="COA133" s="105"/>
      <c r="COB133" s="105"/>
      <c r="COC133" s="105"/>
      <c r="COD133" s="105"/>
      <c r="COE133" s="105"/>
      <c r="COF133" s="105"/>
      <c r="COG133" s="105"/>
      <c r="COH133" s="105"/>
      <c r="COI133" s="105"/>
      <c r="COJ133" s="105"/>
      <c r="COK133" s="105"/>
      <c r="COL133" s="105"/>
      <c r="COM133" s="105"/>
      <c r="CON133" s="105"/>
      <c r="COO133" s="105"/>
      <c r="COP133" s="105"/>
      <c r="COQ133" s="105"/>
      <c r="COR133" s="105"/>
      <c r="COS133" s="105"/>
      <c r="COT133" s="105"/>
      <c r="COU133" s="105"/>
      <c r="COV133" s="105"/>
      <c r="COW133" s="105"/>
      <c r="COX133" s="105"/>
      <c r="COY133" s="105"/>
      <c r="COZ133" s="105"/>
      <c r="CPA133" s="105"/>
      <c r="CPB133" s="105"/>
      <c r="CPC133" s="105"/>
      <c r="CPD133" s="105"/>
      <c r="CPE133" s="105"/>
      <c r="CPF133" s="105"/>
      <c r="CPG133" s="105"/>
      <c r="CPH133" s="105"/>
      <c r="CPI133" s="105"/>
      <c r="CPJ133" s="105"/>
      <c r="CPK133" s="105"/>
      <c r="CPL133" s="105"/>
      <c r="CPM133" s="105"/>
      <c r="CPN133" s="105"/>
      <c r="CPO133" s="105"/>
      <c r="CPP133" s="105"/>
      <c r="CPQ133" s="105"/>
      <c r="CPR133" s="105"/>
      <c r="CPS133" s="105"/>
      <c r="CPT133" s="105"/>
      <c r="CPU133" s="105"/>
      <c r="CPV133" s="105"/>
      <c r="CPW133" s="105"/>
      <c r="CPX133" s="105"/>
      <c r="CPY133" s="105"/>
      <c r="CPZ133" s="105"/>
      <c r="CQA133" s="105"/>
      <c r="CQB133" s="105"/>
      <c r="CQC133" s="105"/>
      <c r="CQD133" s="105"/>
      <c r="CQE133" s="105"/>
      <c r="CQF133" s="105"/>
      <c r="CQG133" s="105"/>
      <c r="CQH133" s="105"/>
      <c r="CQI133" s="105"/>
      <c r="CQJ133" s="105"/>
      <c r="CQK133" s="105"/>
      <c r="CQL133" s="105"/>
      <c r="CQM133" s="105"/>
      <c r="CQN133" s="105"/>
      <c r="CQO133" s="105"/>
      <c r="CQP133" s="105"/>
      <c r="CQQ133" s="105"/>
      <c r="CQR133" s="105"/>
      <c r="CQS133" s="105"/>
      <c r="CQT133" s="105"/>
      <c r="CQU133" s="105"/>
      <c r="CQV133" s="105"/>
      <c r="CQW133" s="105"/>
      <c r="CQX133" s="105"/>
      <c r="CQY133" s="105"/>
      <c r="CQZ133" s="105"/>
      <c r="CRA133" s="105"/>
      <c r="CRB133" s="105"/>
      <c r="CRC133" s="105"/>
      <c r="CRD133" s="105"/>
      <c r="CRE133" s="105"/>
      <c r="CRF133" s="105"/>
      <c r="CRG133" s="105"/>
      <c r="CRH133" s="105"/>
      <c r="CRI133" s="105"/>
      <c r="CRJ133" s="105"/>
      <c r="CRK133" s="105"/>
      <c r="CRL133" s="105"/>
      <c r="CRM133" s="105"/>
      <c r="CRN133" s="105"/>
      <c r="CRO133" s="105"/>
      <c r="CRP133" s="105"/>
      <c r="CRQ133" s="105"/>
      <c r="CRR133" s="105"/>
      <c r="CRS133" s="105"/>
      <c r="CRT133" s="105"/>
      <c r="CRU133" s="105"/>
      <c r="CRV133" s="105"/>
      <c r="CRW133" s="105"/>
      <c r="CRX133" s="105"/>
      <c r="CRY133" s="105"/>
      <c r="CRZ133" s="105"/>
      <c r="CSA133" s="105"/>
      <c r="CSB133" s="105"/>
      <c r="CSC133" s="105"/>
      <c r="CSD133" s="105"/>
      <c r="CSE133" s="105"/>
      <c r="CSF133" s="105"/>
      <c r="CSG133" s="105"/>
      <c r="CSH133" s="105"/>
      <c r="CSI133" s="105"/>
      <c r="CSJ133" s="105"/>
      <c r="CSK133" s="105"/>
      <c r="CSL133" s="105"/>
      <c r="CSM133" s="105"/>
      <c r="CSN133" s="105"/>
      <c r="CSO133" s="105"/>
      <c r="CSP133" s="105"/>
      <c r="CSQ133" s="105"/>
      <c r="CSR133" s="105"/>
      <c r="CSS133" s="105"/>
      <c r="CST133" s="105"/>
      <c r="CSU133" s="105"/>
      <c r="CSV133" s="105"/>
      <c r="CSW133" s="105"/>
      <c r="CSX133" s="105"/>
      <c r="CSY133" s="105"/>
      <c r="CSZ133" s="105"/>
      <c r="CTA133" s="105"/>
      <c r="CTB133" s="105"/>
      <c r="CTC133" s="105"/>
      <c r="CTD133" s="105"/>
      <c r="CTE133" s="105"/>
      <c r="CTF133" s="105"/>
      <c r="CTG133" s="105"/>
      <c r="CTH133" s="105"/>
      <c r="CTI133" s="105"/>
      <c r="CTJ133" s="105"/>
      <c r="CTK133" s="105"/>
      <c r="CTL133" s="105"/>
      <c r="CTM133" s="105"/>
      <c r="CTN133" s="105"/>
      <c r="CTO133" s="105"/>
      <c r="CTP133" s="105"/>
      <c r="CTQ133" s="105"/>
      <c r="CTR133" s="105"/>
      <c r="CTS133" s="105"/>
      <c r="CTT133" s="105"/>
      <c r="CTU133" s="105"/>
      <c r="CTV133" s="105"/>
      <c r="CTW133" s="105"/>
      <c r="CTX133" s="105"/>
      <c r="CTY133" s="105"/>
      <c r="CTZ133" s="105"/>
      <c r="CUA133" s="105"/>
      <c r="CUB133" s="105"/>
      <c r="CUC133" s="105"/>
      <c r="CUD133" s="105"/>
      <c r="CUE133" s="105"/>
      <c r="CUF133" s="105"/>
      <c r="CUG133" s="105"/>
      <c r="CUH133" s="105"/>
      <c r="CUI133" s="105"/>
      <c r="CUJ133" s="105"/>
      <c r="CUK133" s="105"/>
      <c r="CUL133" s="105"/>
      <c r="CUM133" s="105"/>
      <c r="CUN133" s="105"/>
      <c r="CUO133" s="105"/>
      <c r="CUP133" s="105"/>
      <c r="CUQ133" s="105"/>
      <c r="CUR133" s="105"/>
      <c r="CUS133" s="105"/>
      <c r="CUT133" s="105"/>
      <c r="CUU133" s="105"/>
      <c r="CUV133" s="105"/>
      <c r="CUW133" s="105"/>
      <c r="CUX133" s="105"/>
      <c r="CUY133" s="105"/>
      <c r="CUZ133" s="105"/>
      <c r="CVA133" s="105"/>
      <c r="CVB133" s="105"/>
      <c r="CVC133" s="105"/>
      <c r="CVD133" s="105"/>
      <c r="CVE133" s="105"/>
      <c r="CVF133" s="105"/>
      <c r="CVG133" s="105"/>
      <c r="CVH133" s="105"/>
      <c r="CVI133" s="105"/>
      <c r="CVJ133" s="105"/>
      <c r="CVK133" s="105"/>
      <c r="CVL133" s="105"/>
      <c r="CVM133" s="105"/>
      <c r="CVN133" s="105"/>
      <c r="CVO133" s="105"/>
      <c r="CVP133" s="105"/>
      <c r="CVQ133" s="105"/>
      <c r="CVR133" s="105"/>
      <c r="CVS133" s="105"/>
      <c r="CVT133" s="105"/>
      <c r="CVU133" s="105"/>
      <c r="CVV133" s="105"/>
      <c r="CVW133" s="105"/>
      <c r="CVX133" s="105"/>
      <c r="CVY133" s="105"/>
      <c r="CVZ133" s="105"/>
      <c r="CWA133" s="105"/>
      <c r="CWB133" s="105"/>
      <c r="CWC133" s="105"/>
      <c r="CWD133" s="105"/>
      <c r="CWE133" s="105"/>
      <c r="CWF133" s="105"/>
      <c r="CWG133" s="105"/>
      <c r="CWH133" s="105"/>
      <c r="CWI133" s="105"/>
      <c r="CWJ133" s="105"/>
      <c r="CWK133" s="105"/>
      <c r="CWL133" s="105"/>
      <c r="CWM133" s="105"/>
      <c r="CWN133" s="105"/>
      <c r="CWO133" s="105"/>
      <c r="CWP133" s="105"/>
      <c r="CWQ133" s="105"/>
      <c r="CWR133" s="105"/>
      <c r="CWS133" s="105"/>
      <c r="CWT133" s="105"/>
      <c r="CWU133" s="105"/>
      <c r="CWV133" s="105"/>
      <c r="CWW133" s="105"/>
      <c r="CWX133" s="105"/>
      <c r="CWY133" s="105"/>
      <c r="CWZ133" s="105"/>
      <c r="CXA133" s="105"/>
      <c r="CXB133" s="105"/>
      <c r="CXC133" s="105"/>
      <c r="CXD133" s="105"/>
      <c r="CXE133" s="105"/>
      <c r="CXF133" s="105"/>
      <c r="CXG133" s="105"/>
      <c r="CXH133" s="105"/>
      <c r="CXI133" s="105"/>
      <c r="CXJ133" s="105"/>
      <c r="CXK133" s="105"/>
      <c r="CXL133" s="105"/>
      <c r="CXM133" s="105"/>
      <c r="CXN133" s="105"/>
      <c r="CXO133" s="105"/>
      <c r="CXP133" s="105"/>
      <c r="CXQ133" s="105"/>
      <c r="CXR133" s="105"/>
      <c r="CXS133" s="105"/>
      <c r="CXT133" s="105"/>
      <c r="CXU133" s="105"/>
      <c r="CXV133" s="105"/>
      <c r="CXW133" s="105"/>
      <c r="CXX133" s="105"/>
      <c r="CXY133" s="105"/>
      <c r="CXZ133" s="105"/>
      <c r="CYA133" s="105"/>
      <c r="CYB133" s="105"/>
      <c r="CYC133" s="105"/>
      <c r="CYD133" s="105"/>
      <c r="CYE133" s="105"/>
      <c r="CYF133" s="105"/>
      <c r="CYG133" s="105"/>
      <c r="CYH133" s="105"/>
      <c r="CYI133" s="105"/>
      <c r="CYJ133" s="105"/>
      <c r="CYK133" s="105"/>
      <c r="CYL133" s="105"/>
      <c r="CYM133" s="105"/>
      <c r="CYN133" s="105"/>
      <c r="CYO133" s="105"/>
      <c r="CYP133" s="105"/>
      <c r="CYQ133" s="105"/>
      <c r="CYR133" s="105"/>
      <c r="CYS133" s="105"/>
      <c r="CYT133" s="105"/>
      <c r="CYU133" s="105"/>
      <c r="CYV133" s="105"/>
      <c r="CYW133" s="105"/>
      <c r="CYX133" s="105"/>
      <c r="CYY133" s="105"/>
      <c r="CYZ133" s="105"/>
      <c r="CZA133" s="105"/>
      <c r="CZB133" s="105"/>
      <c r="CZC133" s="105"/>
      <c r="CZD133" s="105"/>
      <c r="CZE133" s="105"/>
      <c r="CZF133" s="105"/>
      <c r="CZG133" s="105"/>
      <c r="CZH133" s="105"/>
      <c r="CZI133" s="105"/>
      <c r="CZJ133" s="105"/>
      <c r="CZK133" s="105"/>
      <c r="CZL133" s="105"/>
      <c r="CZM133" s="105"/>
      <c r="CZN133" s="105"/>
      <c r="CZO133" s="105"/>
      <c r="CZP133" s="105"/>
      <c r="CZQ133" s="105"/>
      <c r="CZR133" s="105"/>
      <c r="CZS133" s="105"/>
      <c r="CZT133" s="105"/>
      <c r="CZU133" s="105"/>
      <c r="CZV133" s="105"/>
      <c r="CZW133" s="105"/>
      <c r="CZX133" s="105"/>
      <c r="CZY133" s="105"/>
      <c r="CZZ133" s="105"/>
      <c r="DAA133" s="105"/>
      <c r="DAB133" s="105"/>
      <c r="DAC133" s="105"/>
      <c r="DAD133" s="105"/>
      <c r="DAE133" s="105"/>
      <c r="DAF133" s="105"/>
      <c r="DAG133" s="105"/>
      <c r="DAH133" s="105"/>
      <c r="DAI133" s="105"/>
      <c r="DAJ133" s="105"/>
      <c r="DAK133" s="105"/>
      <c r="DAL133" s="105"/>
      <c r="DAM133" s="105"/>
      <c r="DAN133" s="105"/>
      <c r="DAO133" s="105"/>
      <c r="DAP133" s="105"/>
      <c r="DAQ133" s="105"/>
      <c r="DAR133" s="105"/>
      <c r="DAS133" s="105"/>
      <c r="DAT133" s="105"/>
      <c r="DAU133" s="105"/>
      <c r="DAV133" s="105"/>
      <c r="DAW133" s="105"/>
      <c r="DAX133" s="105"/>
      <c r="DAY133" s="105"/>
      <c r="DAZ133" s="105"/>
      <c r="DBA133" s="105"/>
      <c r="DBB133" s="105"/>
      <c r="DBC133" s="105"/>
      <c r="DBD133" s="105"/>
      <c r="DBE133" s="105"/>
      <c r="DBF133" s="105"/>
      <c r="DBG133" s="105"/>
      <c r="DBH133" s="105"/>
      <c r="DBI133" s="105"/>
      <c r="DBJ133" s="105"/>
      <c r="DBK133" s="105"/>
      <c r="DBL133" s="105"/>
      <c r="DBM133" s="105"/>
      <c r="DBN133" s="105"/>
      <c r="DBO133" s="105"/>
      <c r="DBP133" s="105"/>
      <c r="DBQ133" s="105"/>
      <c r="DBR133" s="105"/>
      <c r="DBS133" s="105"/>
      <c r="DBT133" s="105"/>
      <c r="DBU133" s="105"/>
      <c r="DBV133" s="105"/>
      <c r="DBW133" s="105"/>
      <c r="DBX133" s="105"/>
      <c r="DBY133" s="105"/>
      <c r="DBZ133" s="105"/>
      <c r="DCA133" s="105"/>
      <c r="DCB133" s="105"/>
      <c r="DCC133" s="105"/>
      <c r="DCD133" s="105"/>
      <c r="DCE133" s="105"/>
      <c r="DCF133" s="105"/>
      <c r="DCG133" s="105"/>
      <c r="DCH133" s="105"/>
      <c r="DCI133" s="105"/>
      <c r="DCJ133" s="105"/>
      <c r="DCK133" s="105"/>
      <c r="DCL133" s="105"/>
      <c r="DCM133" s="105"/>
      <c r="DCN133" s="105"/>
      <c r="DCO133" s="105"/>
      <c r="DCP133" s="105"/>
      <c r="DCQ133" s="105"/>
      <c r="DCR133" s="105"/>
      <c r="DCS133" s="105"/>
      <c r="DCT133" s="105"/>
      <c r="DCU133" s="105"/>
      <c r="DCV133" s="105"/>
      <c r="DCW133" s="105"/>
      <c r="DCX133" s="105"/>
      <c r="DCY133" s="105"/>
      <c r="DCZ133" s="105"/>
      <c r="DDA133" s="105"/>
      <c r="DDB133" s="105"/>
      <c r="DDC133" s="105"/>
      <c r="DDD133" s="105"/>
      <c r="DDE133" s="105"/>
      <c r="DDF133" s="105"/>
      <c r="DDG133" s="105"/>
      <c r="DDH133" s="105"/>
      <c r="DDI133" s="105"/>
      <c r="DDJ133" s="105"/>
      <c r="DDK133" s="105"/>
      <c r="DDL133" s="105"/>
      <c r="DDM133" s="105"/>
      <c r="DDN133" s="105"/>
      <c r="DDO133" s="105"/>
      <c r="DDP133" s="105"/>
      <c r="DDQ133" s="105"/>
      <c r="DDR133" s="105"/>
      <c r="DDS133" s="105"/>
      <c r="DDT133" s="105"/>
      <c r="DDU133" s="105"/>
      <c r="DDV133" s="105"/>
      <c r="DDW133" s="105"/>
      <c r="DDX133" s="105"/>
      <c r="DDY133" s="105"/>
      <c r="DDZ133" s="105"/>
      <c r="DEA133" s="105"/>
      <c r="DEB133" s="105"/>
      <c r="DEC133" s="105"/>
      <c r="DED133" s="105"/>
      <c r="DEE133" s="105"/>
      <c r="DEF133" s="105"/>
      <c r="DEG133" s="105"/>
      <c r="DEH133" s="105"/>
      <c r="DEI133" s="105"/>
      <c r="DEJ133" s="105"/>
      <c r="DEK133" s="105"/>
      <c r="DEL133" s="105"/>
      <c r="DEM133" s="105"/>
      <c r="DEN133" s="105"/>
      <c r="DEO133" s="105"/>
      <c r="DEP133" s="105"/>
      <c r="DEQ133" s="105"/>
      <c r="DER133" s="105"/>
      <c r="DES133" s="105"/>
      <c r="DET133" s="105"/>
      <c r="DEU133" s="105"/>
      <c r="DEV133" s="105"/>
      <c r="DEW133" s="105"/>
      <c r="DEX133" s="105"/>
      <c r="DEY133" s="105"/>
      <c r="DEZ133" s="105"/>
      <c r="DFA133" s="105"/>
      <c r="DFB133" s="105"/>
      <c r="DFC133" s="105"/>
      <c r="DFD133" s="105"/>
      <c r="DFE133" s="105"/>
      <c r="DFF133" s="105"/>
      <c r="DFG133" s="105"/>
      <c r="DFH133" s="105"/>
      <c r="DFI133" s="105"/>
      <c r="DFJ133" s="105"/>
      <c r="DFK133" s="105"/>
      <c r="DFL133" s="105"/>
      <c r="DFM133" s="105"/>
      <c r="DFN133" s="105"/>
      <c r="DFO133" s="105"/>
      <c r="DFP133" s="105"/>
      <c r="DFQ133" s="105"/>
      <c r="DFR133" s="105"/>
      <c r="DFS133" s="105"/>
      <c r="DFT133" s="105"/>
      <c r="DFU133" s="105"/>
      <c r="DFV133" s="105"/>
      <c r="DFW133" s="105"/>
      <c r="DFX133" s="105"/>
      <c r="DFY133" s="105"/>
      <c r="DFZ133" s="105"/>
      <c r="DGA133" s="105"/>
      <c r="DGB133" s="105"/>
      <c r="DGC133" s="105"/>
      <c r="DGD133" s="105"/>
      <c r="DGE133" s="105"/>
      <c r="DGF133" s="105"/>
      <c r="DGG133" s="105"/>
      <c r="DGH133" s="105"/>
      <c r="DGI133" s="105"/>
      <c r="DGJ133" s="105"/>
      <c r="DGK133" s="105"/>
      <c r="DGL133" s="105"/>
      <c r="DGM133" s="105"/>
      <c r="DGN133" s="105"/>
      <c r="DGO133" s="105"/>
      <c r="DGP133" s="105"/>
      <c r="DGQ133" s="105"/>
      <c r="DGR133" s="105"/>
      <c r="DGS133" s="105"/>
      <c r="DGT133" s="105"/>
      <c r="DGU133" s="105"/>
      <c r="DGV133" s="105"/>
      <c r="DGW133" s="105"/>
      <c r="DGX133" s="105"/>
      <c r="DGY133" s="105"/>
      <c r="DGZ133" s="105"/>
      <c r="DHA133" s="105"/>
      <c r="DHB133" s="105"/>
      <c r="DHC133" s="105"/>
      <c r="DHD133" s="105"/>
      <c r="DHE133" s="105"/>
      <c r="DHF133" s="105"/>
      <c r="DHG133" s="105"/>
      <c r="DHH133" s="105"/>
      <c r="DHI133" s="105"/>
      <c r="DHJ133" s="105"/>
      <c r="DHK133" s="105"/>
      <c r="DHL133" s="105"/>
      <c r="DHM133" s="105"/>
      <c r="DHN133" s="105"/>
      <c r="DHO133" s="105"/>
      <c r="DHP133" s="105"/>
      <c r="DHQ133" s="105"/>
      <c r="DHR133" s="105"/>
      <c r="DHS133" s="105"/>
      <c r="DHT133" s="105"/>
      <c r="DHU133" s="105"/>
      <c r="DHV133" s="105"/>
      <c r="DHW133" s="105"/>
      <c r="DHX133" s="105"/>
      <c r="DHY133" s="105"/>
      <c r="DHZ133" s="105"/>
      <c r="DIA133" s="105"/>
      <c r="DIB133" s="105"/>
      <c r="DIC133" s="105"/>
      <c r="DID133" s="105"/>
      <c r="DIE133" s="105"/>
      <c r="DIF133" s="105"/>
      <c r="DIG133" s="105"/>
      <c r="DIH133" s="105"/>
      <c r="DII133" s="105"/>
      <c r="DIJ133" s="105"/>
      <c r="DIK133" s="105"/>
      <c r="DIL133" s="105"/>
      <c r="DIM133" s="105"/>
      <c r="DIN133" s="105"/>
      <c r="DIO133" s="105"/>
      <c r="DIP133" s="105"/>
      <c r="DIQ133" s="105"/>
      <c r="DIR133" s="105"/>
      <c r="DIS133" s="105"/>
      <c r="DIT133" s="105"/>
      <c r="DIU133" s="105"/>
      <c r="DIV133" s="105"/>
      <c r="DIW133" s="105"/>
      <c r="DIX133" s="105"/>
      <c r="DIY133" s="105"/>
      <c r="DIZ133" s="105"/>
      <c r="DJA133" s="105"/>
      <c r="DJB133" s="105"/>
      <c r="DJC133" s="105"/>
      <c r="DJD133" s="105"/>
      <c r="DJE133" s="105"/>
      <c r="DJF133" s="105"/>
      <c r="DJG133" s="105"/>
      <c r="DJH133" s="105"/>
      <c r="DJI133" s="105"/>
      <c r="DJJ133" s="105"/>
      <c r="DJK133" s="105"/>
      <c r="DJL133" s="105"/>
      <c r="DJM133" s="105"/>
      <c r="DJN133" s="105"/>
      <c r="DJO133" s="105"/>
      <c r="DJP133" s="105"/>
      <c r="DJQ133" s="105"/>
      <c r="DJR133" s="105"/>
      <c r="DJS133" s="105"/>
      <c r="DJT133" s="105"/>
      <c r="DJU133" s="105"/>
      <c r="DJV133" s="105"/>
      <c r="DJW133" s="105"/>
      <c r="DJX133" s="105"/>
      <c r="DJY133" s="105"/>
      <c r="DJZ133" s="105"/>
      <c r="DKA133" s="105"/>
      <c r="DKB133" s="105"/>
      <c r="DKC133" s="105"/>
      <c r="DKD133" s="105"/>
      <c r="DKE133" s="105"/>
      <c r="DKF133" s="105"/>
      <c r="DKG133" s="105"/>
      <c r="DKH133" s="105"/>
      <c r="DKI133" s="105"/>
      <c r="DKJ133" s="105"/>
      <c r="DKK133" s="105"/>
      <c r="DKL133" s="105"/>
      <c r="DKM133" s="105"/>
      <c r="DKN133" s="105"/>
      <c r="DKO133" s="105"/>
      <c r="DKP133" s="105"/>
      <c r="DKQ133" s="105"/>
      <c r="DKR133" s="105"/>
      <c r="DKS133" s="105"/>
      <c r="DKT133" s="105"/>
      <c r="DKU133" s="105"/>
      <c r="DKV133" s="105"/>
      <c r="DKW133" s="105"/>
      <c r="DKX133" s="105"/>
      <c r="DKY133" s="105"/>
      <c r="DKZ133" s="105"/>
      <c r="DLA133" s="105"/>
      <c r="DLB133" s="105"/>
      <c r="DLC133" s="105"/>
      <c r="DLD133" s="105"/>
      <c r="DLE133" s="105"/>
      <c r="DLF133" s="105"/>
      <c r="DLG133" s="105"/>
      <c r="DLH133" s="105"/>
      <c r="DLI133" s="105"/>
      <c r="DLJ133" s="105"/>
      <c r="DLK133" s="105"/>
      <c r="DLL133" s="105"/>
      <c r="DLM133" s="105"/>
      <c r="DLN133" s="105"/>
      <c r="DLO133" s="105"/>
      <c r="DLP133" s="105"/>
      <c r="DLQ133" s="105"/>
      <c r="DLR133" s="105"/>
      <c r="DLS133" s="105"/>
      <c r="DLT133" s="105"/>
      <c r="DLU133" s="105"/>
      <c r="DLV133" s="105"/>
      <c r="DLW133" s="105"/>
      <c r="DLX133" s="105"/>
      <c r="DLY133" s="105"/>
      <c r="DLZ133" s="105"/>
      <c r="DMA133" s="105"/>
      <c r="DMB133" s="105"/>
      <c r="DMC133" s="105"/>
      <c r="DMD133" s="105"/>
      <c r="DME133" s="105"/>
      <c r="DMF133" s="105"/>
      <c r="DMG133" s="105"/>
      <c r="DMH133" s="105"/>
      <c r="DMI133" s="105"/>
      <c r="DMJ133" s="105"/>
      <c r="DMK133" s="105"/>
      <c r="DML133" s="105"/>
      <c r="DMM133" s="105"/>
      <c r="DMN133" s="105"/>
      <c r="DMO133" s="105"/>
      <c r="DMP133" s="105"/>
      <c r="DMQ133" s="105"/>
      <c r="DMR133" s="105"/>
      <c r="DMS133" s="105"/>
      <c r="DMT133" s="105"/>
      <c r="DMU133" s="105"/>
      <c r="DMV133" s="105"/>
      <c r="DMW133" s="105"/>
      <c r="DMX133" s="105"/>
      <c r="DMY133" s="105"/>
      <c r="DMZ133" s="105"/>
      <c r="DNA133" s="105"/>
      <c r="DNB133" s="105"/>
      <c r="DNC133" s="105"/>
      <c r="DND133" s="105"/>
      <c r="DNE133" s="105"/>
      <c r="DNF133" s="105"/>
      <c r="DNG133" s="105"/>
      <c r="DNH133" s="105"/>
      <c r="DNI133" s="105"/>
      <c r="DNJ133" s="105"/>
      <c r="DNK133" s="105"/>
      <c r="DNL133" s="105"/>
      <c r="DNM133" s="105"/>
      <c r="DNN133" s="105"/>
      <c r="DNO133" s="105"/>
      <c r="DNP133" s="105"/>
      <c r="DNQ133" s="105"/>
      <c r="DNR133" s="105"/>
      <c r="DNS133" s="105"/>
      <c r="DNT133" s="105"/>
      <c r="DNU133" s="105"/>
      <c r="DNV133" s="105"/>
      <c r="DNW133" s="105"/>
      <c r="DNX133" s="105"/>
      <c r="DNY133" s="105"/>
      <c r="DNZ133" s="105"/>
      <c r="DOA133" s="105"/>
      <c r="DOB133" s="105"/>
      <c r="DOC133" s="105"/>
      <c r="DOD133" s="105"/>
      <c r="DOE133" s="105"/>
      <c r="DOF133" s="105"/>
      <c r="DOG133" s="105"/>
      <c r="DOH133" s="105"/>
      <c r="DOI133" s="105"/>
      <c r="DOJ133" s="105"/>
      <c r="DOK133" s="105"/>
      <c r="DOL133" s="105"/>
      <c r="DOM133" s="105"/>
      <c r="DON133" s="105"/>
      <c r="DOO133" s="105"/>
      <c r="DOP133" s="105"/>
      <c r="DOQ133" s="105"/>
      <c r="DOR133" s="105"/>
      <c r="DOS133" s="105"/>
      <c r="DOT133" s="105"/>
      <c r="DOU133" s="105"/>
      <c r="DOV133" s="105"/>
      <c r="DOW133" s="105"/>
      <c r="DOX133" s="105"/>
      <c r="DOY133" s="105"/>
      <c r="DOZ133" s="105"/>
      <c r="DPA133" s="105"/>
      <c r="DPB133" s="105"/>
      <c r="DPC133" s="105"/>
      <c r="DPD133" s="105"/>
      <c r="DPE133" s="105"/>
      <c r="DPF133" s="105"/>
      <c r="DPG133" s="105"/>
      <c r="DPH133" s="105"/>
      <c r="DPI133" s="105"/>
      <c r="DPJ133" s="105"/>
      <c r="DPK133" s="105"/>
      <c r="DPL133" s="105"/>
      <c r="DPM133" s="105"/>
      <c r="DPN133" s="105"/>
      <c r="DPO133" s="105"/>
      <c r="DPP133" s="105"/>
      <c r="DPQ133" s="105"/>
      <c r="DPR133" s="105"/>
      <c r="DPS133" s="105"/>
      <c r="DPT133" s="105"/>
      <c r="DPU133" s="105"/>
      <c r="DPV133" s="105"/>
      <c r="DPW133" s="105"/>
      <c r="DPX133" s="105"/>
      <c r="DPY133" s="105"/>
      <c r="DPZ133" s="105"/>
      <c r="DQA133" s="105"/>
      <c r="DQB133" s="105"/>
      <c r="DQC133" s="105"/>
      <c r="DQD133" s="105"/>
      <c r="DQE133" s="105"/>
      <c r="DQF133" s="105"/>
      <c r="DQG133" s="105"/>
      <c r="DQH133" s="105"/>
      <c r="DQI133" s="105"/>
      <c r="DQJ133" s="105"/>
      <c r="DQK133" s="105"/>
      <c r="DQL133" s="105"/>
      <c r="DQM133" s="105"/>
      <c r="DQN133" s="105"/>
      <c r="DQO133" s="105"/>
      <c r="DQP133" s="105"/>
      <c r="DQQ133" s="105"/>
      <c r="DQR133" s="105"/>
      <c r="DQS133" s="105"/>
      <c r="DQT133" s="105"/>
      <c r="DQU133" s="105"/>
      <c r="DQV133" s="105"/>
      <c r="DQW133" s="105"/>
      <c r="DQX133" s="105"/>
      <c r="DQY133" s="105"/>
      <c r="DQZ133" s="105"/>
      <c r="DRA133" s="105"/>
      <c r="DRB133" s="105"/>
      <c r="DRC133" s="105"/>
      <c r="DRD133" s="105"/>
      <c r="DRE133" s="105"/>
      <c r="DRF133" s="105"/>
      <c r="DRG133" s="105"/>
      <c r="DRH133" s="105"/>
      <c r="DRI133" s="105"/>
      <c r="DRJ133" s="105"/>
      <c r="DRK133" s="105"/>
      <c r="DRL133" s="105"/>
      <c r="DRM133" s="105"/>
      <c r="DRN133" s="105"/>
      <c r="DRO133" s="105"/>
      <c r="DRP133" s="105"/>
      <c r="DRQ133" s="105"/>
      <c r="DRR133" s="105"/>
      <c r="DRS133" s="105"/>
      <c r="DRT133" s="105"/>
      <c r="DRU133" s="105"/>
      <c r="DRV133" s="105"/>
      <c r="DRW133" s="105"/>
      <c r="DRX133" s="105"/>
      <c r="DRY133" s="105"/>
      <c r="DRZ133" s="105"/>
      <c r="DSA133" s="105"/>
      <c r="DSB133" s="105"/>
      <c r="DSC133" s="105"/>
      <c r="DSD133" s="105"/>
      <c r="DSE133" s="105"/>
      <c r="DSF133" s="105"/>
      <c r="DSG133" s="105"/>
      <c r="DSH133" s="105"/>
      <c r="DSI133" s="105"/>
      <c r="DSJ133" s="105"/>
      <c r="DSK133" s="105"/>
      <c r="DSL133" s="105"/>
      <c r="DSM133" s="105"/>
      <c r="DSN133" s="105"/>
      <c r="DSO133" s="105"/>
      <c r="DSP133" s="105"/>
      <c r="DSQ133" s="105"/>
      <c r="DSR133" s="105"/>
      <c r="DSS133" s="105"/>
      <c r="DST133" s="105"/>
      <c r="DSU133" s="105"/>
      <c r="DSV133" s="105"/>
      <c r="DSW133" s="105"/>
      <c r="DSX133" s="105"/>
      <c r="DSY133" s="105"/>
      <c r="DSZ133" s="105"/>
      <c r="DTA133" s="105"/>
      <c r="DTB133" s="105"/>
      <c r="DTC133" s="105"/>
      <c r="DTD133" s="105"/>
      <c r="DTE133" s="105"/>
      <c r="DTF133" s="105"/>
      <c r="DTG133" s="105"/>
      <c r="DTH133" s="105"/>
      <c r="DTI133" s="105"/>
      <c r="DTJ133" s="105"/>
      <c r="DTK133" s="105"/>
      <c r="DTL133" s="105"/>
      <c r="DTM133" s="105"/>
      <c r="DTN133" s="105"/>
      <c r="DTO133" s="105"/>
      <c r="DTP133" s="105"/>
      <c r="DTQ133" s="105"/>
      <c r="DTR133" s="105"/>
      <c r="DTS133" s="105"/>
      <c r="DTT133" s="105"/>
      <c r="DTU133" s="105"/>
      <c r="DTV133" s="105"/>
      <c r="DTW133" s="105"/>
      <c r="DTX133" s="105"/>
      <c r="DTY133" s="105"/>
      <c r="DTZ133" s="105"/>
      <c r="DUA133" s="105"/>
      <c r="DUB133" s="105"/>
      <c r="DUC133" s="105"/>
      <c r="DUD133" s="105"/>
      <c r="DUE133" s="105"/>
      <c r="DUF133" s="105"/>
      <c r="DUG133" s="105"/>
      <c r="DUH133" s="105"/>
      <c r="DUI133" s="105"/>
      <c r="DUJ133" s="105"/>
      <c r="DUK133" s="105"/>
      <c r="DUL133" s="105"/>
      <c r="DUM133" s="105"/>
      <c r="DUN133" s="105"/>
      <c r="DUO133" s="105"/>
      <c r="DUP133" s="105"/>
      <c r="DUQ133" s="105"/>
      <c r="DUR133" s="105"/>
      <c r="DUS133" s="105"/>
      <c r="DUT133" s="105"/>
      <c r="DUU133" s="105"/>
      <c r="DUV133" s="105"/>
      <c r="DUW133" s="105"/>
      <c r="DUX133" s="105"/>
      <c r="DUY133" s="105"/>
      <c r="DUZ133" s="105"/>
      <c r="DVA133" s="105"/>
      <c r="DVB133" s="105"/>
      <c r="DVC133" s="105"/>
      <c r="DVD133" s="105"/>
      <c r="DVE133" s="105"/>
      <c r="DVF133" s="105"/>
      <c r="DVG133" s="105"/>
      <c r="DVH133" s="105"/>
      <c r="DVI133" s="105"/>
      <c r="DVJ133" s="105"/>
      <c r="DVK133" s="105"/>
      <c r="DVL133" s="105"/>
      <c r="DVM133" s="105"/>
      <c r="DVN133" s="105"/>
      <c r="DVO133" s="105"/>
      <c r="DVP133" s="105"/>
      <c r="DVQ133" s="105"/>
      <c r="DVR133" s="105"/>
      <c r="DVS133" s="105"/>
      <c r="DVT133" s="105"/>
      <c r="DVU133" s="105"/>
      <c r="DVV133" s="105"/>
      <c r="DVW133" s="105"/>
      <c r="DVX133" s="105"/>
      <c r="DVY133" s="105"/>
      <c r="DVZ133" s="105"/>
      <c r="DWA133" s="105"/>
      <c r="DWB133" s="105"/>
      <c r="DWC133" s="105"/>
      <c r="DWD133" s="105"/>
      <c r="DWE133" s="105"/>
      <c r="DWF133" s="105"/>
      <c r="DWG133" s="105"/>
      <c r="DWH133" s="105"/>
      <c r="DWI133" s="105"/>
      <c r="DWJ133" s="105"/>
      <c r="DWK133" s="105"/>
      <c r="DWL133" s="105"/>
      <c r="DWM133" s="105"/>
      <c r="DWN133" s="105"/>
      <c r="DWO133" s="105"/>
      <c r="DWP133" s="105"/>
      <c r="DWQ133" s="105"/>
      <c r="DWR133" s="105"/>
      <c r="DWS133" s="105"/>
      <c r="DWT133" s="105"/>
      <c r="DWU133" s="105"/>
      <c r="DWV133" s="105"/>
      <c r="DWW133" s="105"/>
      <c r="DWX133" s="105"/>
      <c r="DWY133" s="105"/>
      <c r="DWZ133" s="105"/>
      <c r="DXA133" s="105"/>
      <c r="DXB133" s="105"/>
      <c r="DXC133" s="105"/>
      <c r="DXD133" s="105"/>
      <c r="DXE133" s="105"/>
      <c r="DXF133" s="105"/>
      <c r="DXG133" s="105"/>
      <c r="DXH133" s="105"/>
      <c r="DXI133" s="105"/>
      <c r="DXJ133" s="105"/>
      <c r="DXK133" s="105"/>
      <c r="DXL133" s="105"/>
      <c r="DXM133" s="105"/>
      <c r="DXN133" s="105"/>
      <c r="DXO133" s="105"/>
      <c r="DXP133" s="105"/>
      <c r="DXQ133" s="105"/>
      <c r="DXR133" s="105"/>
      <c r="DXS133" s="105"/>
      <c r="DXT133" s="105"/>
      <c r="DXU133" s="105"/>
      <c r="DXV133" s="105"/>
      <c r="DXW133" s="105"/>
      <c r="DXX133" s="105"/>
      <c r="DXY133" s="105"/>
      <c r="DXZ133" s="105"/>
      <c r="DYA133" s="105"/>
      <c r="DYB133" s="105"/>
      <c r="DYC133" s="105"/>
      <c r="DYD133" s="105"/>
      <c r="DYE133" s="105"/>
      <c r="DYF133" s="105"/>
      <c r="DYG133" s="105"/>
      <c r="DYH133" s="105"/>
      <c r="DYI133" s="105"/>
      <c r="DYJ133" s="105"/>
      <c r="DYK133" s="105"/>
      <c r="DYL133" s="105"/>
      <c r="DYM133" s="105"/>
      <c r="DYN133" s="105"/>
      <c r="DYO133" s="105"/>
      <c r="DYP133" s="105"/>
      <c r="DYQ133" s="105"/>
      <c r="DYR133" s="105"/>
      <c r="DYS133" s="105"/>
      <c r="DYT133" s="105"/>
      <c r="DYU133" s="105"/>
      <c r="DYV133" s="105"/>
      <c r="DYW133" s="105"/>
      <c r="DYX133" s="105"/>
      <c r="DYY133" s="105"/>
      <c r="DYZ133" s="105"/>
      <c r="DZA133" s="105"/>
      <c r="DZB133" s="105"/>
      <c r="DZC133" s="105"/>
      <c r="DZD133" s="105"/>
      <c r="DZE133" s="105"/>
      <c r="DZF133" s="105"/>
      <c r="DZG133" s="105"/>
      <c r="DZH133" s="105"/>
      <c r="DZI133" s="105"/>
      <c r="DZJ133" s="105"/>
      <c r="DZK133" s="105"/>
      <c r="DZL133" s="105"/>
      <c r="DZM133" s="105"/>
      <c r="DZN133" s="105"/>
      <c r="DZO133" s="105"/>
      <c r="DZP133" s="105"/>
      <c r="DZQ133" s="105"/>
      <c r="DZR133" s="105"/>
      <c r="DZS133" s="105"/>
      <c r="DZT133" s="105"/>
      <c r="DZU133" s="105"/>
      <c r="DZV133" s="105"/>
      <c r="DZW133" s="105"/>
      <c r="DZX133" s="105"/>
      <c r="DZY133" s="105"/>
      <c r="DZZ133" s="105"/>
      <c r="EAA133" s="105"/>
      <c r="EAB133" s="105"/>
      <c r="EAC133" s="105"/>
      <c r="EAD133" s="105"/>
      <c r="EAE133" s="105"/>
      <c r="EAF133" s="105"/>
      <c r="EAG133" s="105"/>
      <c r="EAH133" s="105"/>
      <c r="EAI133" s="105"/>
      <c r="EAJ133" s="105"/>
      <c r="EAK133" s="105"/>
      <c r="EAL133" s="105"/>
      <c r="EAM133" s="105"/>
      <c r="EAN133" s="105"/>
      <c r="EAO133" s="105"/>
      <c r="EAP133" s="105"/>
      <c r="EAQ133" s="105"/>
      <c r="EAR133" s="105"/>
      <c r="EAS133" s="105"/>
      <c r="EAT133" s="105"/>
      <c r="EAU133" s="105"/>
      <c r="EAV133" s="105"/>
      <c r="EAW133" s="105"/>
      <c r="EAX133" s="105"/>
      <c r="EAY133" s="105"/>
      <c r="EAZ133" s="105"/>
      <c r="EBA133" s="105"/>
      <c r="EBB133" s="105"/>
      <c r="EBC133" s="105"/>
      <c r="EBD133" s="105"/>
      <c r="EBE133" s="105"/>
      <c r="EBF133" s="105"/>
      <c r="EBG133" s="105"/>
      <c r="EBH133" s="105"/>
      <c r="EBI133" s="105"/>
      <c r="EBJ133" s="105"/>
      <c r="EBK133" s="105"/>
      <c r="EBL133" s="105"/>
      <c r="EBM133" s="105"/>
      <c r="EBN133" s="105"/>
      <c r="EBO133" s="105"/>
      <c r="EBP133" s="105"/>
      <c r="EBQ133" s="105"/>
      <c r="EBR133" s="105"/>
      <c r="EBS133" s="105"/>
      <c r="EBT133" s="105"/>
      <c r="EBU133" s="105"/>
      <c r="EBV133" s="105"/>
      <c r="EBW133" s="105"/>
      <c r="EBX133" s="105"/>
      <c r="EBY133" s="105"/>
      <c r="EBZ133" s="105"/>
      <c r="ECA133" s="105"/>
      <c r="ECB133" s="105"/>
      <c r="ECC133" s="105"/>
      <c r="ECD133" s="105"/>
      <c r="ECE133" s="105"/>
      <c r="ECF133" s="105"/>
      <c r="ECG133" s="105"/>
      <c r="ECH133" s="105"/>
      <c r="ECI133" s="105"/>
      <c r="ECJ133" s="105"/>
      <c r="ECK133" s="105"/>
      <c r="ECL133" s="105"/>
      <c r="ECM133" s="105"/>
      <c r="ECN133" s="105"/>
      <c r="ECO133" s="105"/>
      <c r="ECP133" s="105"/>
      <c r="ECQ133" s="105"/>
      <c r="ECR133" s="105"/>
      <c r="ECS133" s="105"/>
      <c r="ECT133" s="105"/>
      <c r="ECU133" s="105"/>
      <c r="ECV133" s="105"/>
      <c r="ECW133" s="105"/>
      <c r="ECX133" s="105"/>
      <c r="ECY133" s="105"/>
      <c r="ECZ133" s="105"/>
      <c r="EDA133" s="105"/>
      <c r="EDB133" s="105"/>
      <c r="EDC133" s="105"/>
      <c r="EDD133" s="105"/>
      <c r="EDE133" s="105"/>
      <c r="EDF133" s="105"/>
      <c r="EDG133" s="105"/>
      <c r="EDH133" s="105"/>
      <c r="EDI133" s="105"/>
      <c r="EDJ133" s="105"/>
      <c r="EDK133" s="105"/>
      <c r="EDL133" s="105"/>
      <c r="EDM133" s="105"/>
      <c r="EDN133" s="105"/>
      <c r="EDO133" s="105"/>
      <c r="EDP133" s="105"/>
      <c r="EDQ133" s="105"/>
      <c r="EDR133" s="105"/>
      <c r="EDS133" s="105"/>
      <c r="EDT133" s="105"/>
      <c r="EDU133" s="105"/>
      <c r="EDV133" s="105"/>
      <c r="EDW133" s="105"/>
      <c r="EDX133" s="105"/>
      <c r="EDY133" s="105"/>
      <c r="EDZ133" s="105"/>
      <c r="EEA133" s="105"/>
      <c r="EEB133" s="105"/>
      <c r="EEC133" s="105"/>
      <c r="EED133" s="105"/>
      <c r="EEE133" s="105"/>
      <c r="EEF133" s="105"/>
      <c r="EEG133" s="105"/>
      <c r="EEH133" s="105"/>
      <c r="EEI133" s="105"/>
      <c r="EEJ133" s="105"/>
      <c r="EEK133" s="105"/>
      <c r="EEL133" s="105"/>
      <c r="EEM133" s="105"/>
      <c r="EEN133" s="105"/>
      <c r="EEO133" s="105"/>
      <c r="EEP133" s="105"/>
      <c r="EEQ133" s="105"/>
      <c r="EER133" s="105"/>
      <c r="EES133" s="105"/>
      <c r="EET133" s="105"/>
      <c r="EEU133" s="105"/>
      <c r="EEV133" s="105"/>
      <c r="EEW133" s="105"/>
      <c r="EEX133" s="105"/>
      <c r="EEY133" s="105"/>
      <c r="EEZ133" s="105"/>
      <c r="EFA133" s="105"/>
      <c r="EFB133" s="105"/>
      <c r="EFC133" s="105"/>
      <c r="EFD133" s="105"/>
      <c r="EFE133" s="105"/>
      <c r="EFF133" s="105"/>
      <c r="EFG133" s="105"/>
      <c r="EFH133" s="105"/>
      <c r="EFI133" s="105"/>
      <c r="EFJ133" s="105"/>
      <c r="EFK133" s="105"/>
      <c r="EFL133" s="105"/>
      <c r="EFM133" s="105"/>
      <c r="EFN133" s="105"/>
      <c r="EFO133" s="105"/>
      <c r="EFP133" s="105"/>
      <c r="EFQ133" s="105"/>
      <c r="EFR133" s="105"/>
      <c r="EFS133" s="105"/>
      <c r="EFT133" s="105"/>
      <c r="EFU133" s="105"/>
      <c r="EFV133" s="105"/>
      <c r="EFW133" s="105"/>
      <c r="EFX133" s="105"/>
      <c r="EFY133" s="105"/>
      <c r="EFZ133" s="105"/>
      <c r="EGA133" s="105"/>
      <c r="EGB133" s="105"/>
      <c r="EGC133" s="105"/>
      <c r="EGD133" s="105"/>
      <c r="EGE133" s="105"/>
      <c r="EGF133" s="105"/>
      <c r="EGG133" s="105"/>
      <c r="EGH133" s="105"/>
      <c r="EGI133" s="105"/>
      <c r="EGJ133" s="105"/>
      <c r="EGK133" s="105"/>
      <c r="EGL133" s="105"/>
      <c r="EGM133" s="105"/>
      <c r="EGN133" s="105"/>
      <c r="EGO133" s="105"/>
      <c r="EGP133" s="105"/>
      <c r="EGQ133" s="105"/>
      <c r="EGR133" s="105"/>
      <c r="EGS133" s="105"/>
      <c r="EGT133" s="105"/>
      <c r="EGU133" s="105"/>
      <c r="EGV133" s="105"/>
      <c r="EGW133" s="105"/>
      <c r="EGX133" s="105"/>
      <c r="EGY133" s="105"/>
      <c r="EGZ133" s="105"/>
      <c r="EHA133" s="105"/>
      <c r="EHB133" s="105"/>
      <c r="EHC133" s="105"/>
      <c r="EHD133" s="105"/>
      <c r="EHE133" s="105"/>
      <c r="EHF133" s="105"/>
      <c r="EHG133" s="105"/>
      <c r="EHH133" s="105"/>
      <c r="EHI133" s="105"/>
      <c r="EHJ133" s="105"/>
      <c r="EHK133" s="105"/>
      <c r="EHL133" s="105"/>
      <c r="EHM133" s="105"/>
      <c r="EHN133" s="105"/>
      <c r="EHO133" s="105"/>
      <c r="EHP133" s="105"/>
      <c r="EHQ133" s="105"/>
      <c r="EHR133" s="105"/>
      <c r="EHS133" s="105"/>
      <c r="EHT133" s="105"/>
      <c r="EHU133" s="105"/>
      <c r="EHV133" s="105"/>
      <c r="EHW133" s="105"/>
      <c r="EHX133" s="105"/>
      <c r="EHY133" s="105"/>
      <c r="EHZ133" s="105"/>
      <c r="EIA133" s="105"/>
      <c r="EIB133" s="105"/>
      <c r="EIC133" s="105"/>
      <c r="EID133" s="105"/>
      <c r="EIE133" s="105"/>
      <c r="EIF133" s="105"/>
      <c r="EIG133" s="105"/>
      <c r="EIH133" s="105"/>
      <c r="EII133" s="105"/>
      <c r="EIJ133" s="105"/>
      <c r="EIK133" s="105"/>
      <c r="EIL133" s="105"/>
      <c r="EIM133" s="105"/>
      <c r="EIN133" s="105"/>
      <c r="EIO133" s="105"/>
      <c r="EIP133" s="105"/>
      <c r="EIQ133" s="105"/>
      <c r="EIR133" s="105"/>
      <c r="EIS133" s="105"/>
      <c r="EIT133" s="105"/>
      <c r="EIU133" s="105"/>
      <c r="EIV133" s="105"/>
      <c r="EIW133" s="105"/>
      <c r="EIX133" s="105"/>
      <c r="EIY133" s="105"/>
      <c r="EIZ133" s="105"/>
      <c r="EJA133" s="105"/>
      <c r="EJB133" s="105"/>
      <c r="EJC133" s="105"/>
      <c r="EJD133" s="105"/>
      <c r="EJE133" s="105"/>
      <c r="EJF133" s="105"/>
      <c r="EJG133" s="105"/>
      <c r="EJH133" s="105"/>
      <c r="EJI133" s="105"/>
      <c r="EJJ133" s="105"/>
      <c r="EJK133" s="105"/>
      <c r="EJL133" s="105"/>
      <c r="EJM133" s="105"/>
      <c r="EJN133" s="105"/>
      <c r="EJO133" s="105"/>
      <c r="EJP133" s="105"/>
      <c r="EJQ133" s="105"/>
      <c r="EJR133" s="105"/>
      <c r="EJS133" s="105"/>
      <c r="EJT133" s="105"/>
      <c r="EJU133" s="105"/>
      <c r="EJV133" s="105"/>
      <c r="EJW133" s="105"/>
      <c r="EJX133" s="105"/>
      <c r="EJY133" s="105"/>
      <c r="EJZ133" s="105"/>
      <c r="EKA133" s="105"/>
      <c r="EKB133" s="105"/>
      <c r="EKC133" s="105"/>
      <c r="EKD133" s="105"/>
      <c r="EKE133" s="105"/>
      <c r="EKF133" s="105"/>
      <c r="EKG133" s="105"/>
      <c r="EKH133" s="105"/>
      <c r="EKI133" s="105"/>
      <c r="EKJ133" s="105"/>
      <c r="EKK133" s="105"/>
      <c r="EKL133" s="105"/>
      <c r="EKM133" s="105"/>
      <c r="EKN133" s="105"/>
      <c r="EKO133" s="105"/>
      <c r="EKP133" s="105"/>
      <c r="EKQ133" s="105"/>
      <c r="EKR133" s="105"/>
      <c r="EKS133" s="105"/>
      <c r="EKT133" s="105"/>
      <c r="EKU133" s="105"/>
      <c r="EKV133" s="105"/>
      <c r="EKW133" s="105"/>
      <c r="EKX133" s="105"/>
      <c r="EKY133" s="105"/>
      <c r="EKZ133" s="105"/>
      <c r="ELA133" s="105"/>
      <c r="ELB133" s="105"/>
      <c r="ELC133" s="105"/>
      <c r="ELD133" s="105"/>
      <c r="ELE133" s="105"/>
      <c r="ELF133" s="105"/>
      <c r="ELG133" s="105"/>
      <c r="ELH133" s="105"/>
      <c r="ELI133" s="105"/>
      <c r="ELJ133" s="105"/>
      <c r="ELK133" s="105"/>
      <c r="ELL133" s="105"/>
      <c r="ELM133" s="105"/>
      <c r="ELN133" s="105"/>
      <c r="ELO133" s="105"/>
      <c r="ELP133" s="105"/>
      <c r="ELQ133" s="105"/>
      <c r="ELR133" s="105"/>
      <c r="ELS133" s="105"/>
      <c r="ELT133" s="105"/>
      <c r="ELU133" s="105"/>
      <c r="ELV133" s="105"/>
      <c r="ELW133" s="105"/>
      <c r="ELX133" s="105"/>
      <c r="ELY133" s="105"/>
      <c r="ELZ133" s="105"/>
      <c r="EMA133" s="105"/>
      <c r="EMB133" s="105"/>
      <c r="EMC133" s="105"/>
      <c r="EMD133" s="105"/>
      <c r="EME133" s="105"/>
      <c r="EMF133" s="105"/>
      <c r="EMG133" s="105"/>
      <c r="EMH133" s="105"/>
      <c r="EMI133" s="105"/>
      <c r="EMJ133" s="105"/>
      <c r="EMK133" s="105"/>
      <c r="EML133" s="105"/>
      <c r="EMM133" s="105"/>
      <c r="EMN133" s="105"/>
      <c r="EMO133" s="105"/>
      <c r="EMP133" s="105"/>
      <c r="EMQ133" s="105"/>
      <c r="EMR133" s="105"/>
      <c r="EMS133" s="105"/>
      <c r="EMT133" s="105"/>
      <c r="EMU133" s="105"/>
      <c r="EMV133" s="105"/>
      <c r="EMW133" s="105"/>
      <c r="EMX133" s="105"/>
      <c r="EMY133" s="105"/>
      <c r="EMZ133" s="105"/>
      <c r="ENA133" s="105"/>
      <c r="ENB133" s="105"/>
      <c r="ENC133" s="105"/>
      <c r="END133" s="105"/>
      <c r="ENE133" s="105"/>
      <c r="ENF133" s="105"/>
      <c r="ENG133" s="105"/>
      <c r="ENH133" s="105"/>
      <c r="ENI133" s="105"/>
      <c r="ENJ133" s="105"/>
      <c r="ENK133" s="105"/>
      <c r="ENL133" s="105"/>
      <c r="ENM133" s="105"/>
      <c r="ENN133" s="105"/>
      <c r="ENO133" s="105"/>
      <c r="ENP133" s="105"/>
      <c r="ENQ133" s="105"/>
      <c r="ENR133" s="105"/>
      <c r="ENS133" s="105"/>
      <c r="ENT133" s="105"/>
      <c r="ENU133" s="105"/>
      <c r="ENV133" s="105"/>
      <c r="ENW133" s="105"/>
      <c r="ENX133" s="105"/>
      <c r="ENY133" s="105"/>
      <c r="ENZ133" s="105"/>
      <c r="EOA133" s="105"/>
      <c r="EOB133" s="105"/>
      <c r="EOC133" s="105"/>
      <c r="EOD133" s="105"/>
      <c r="EOE133" s="105"/>
      <c r="EOF133" s="105"/>
      <c r="EOG133" s="105"/>
      <c r="EOH133" s="105"/>
      <c r="EOI133" s="105"/>
      <c r="EOJ133" s="105"/>
      <c r="EOK133" s="105"/>
      <c r="EOL133" s="105"/>
      <c r="EOM133" s="105"/>
      <c r="EON133" s="105"/>
      <c r="EOO133" s="105"/>
      <c r="EOP133" s="105"/>
      <c r="EOQ133" s="105"/>
      <c r="EOR133" s="105"/>
      <c r="EOS133" s="105"/>
      <c r="EOT133" s="105"/>
      <c r="EOU133" s="105"/>
      <c r="EOV133" s="105"/>
      <c r="EOW133" s="105"/>
      <c r="EOX133" s="105"/>
      <c r="EOY133" s="105"/>
      <c r="EOZ133" s="105"/>
      <c r="EPA133" s="105"/>
      <c r="EPB133" s="105"/>
      <c r="EPC133" s="105"/>
      <c r="EPD133" s="105"/>
      <c r="EPE133" s="105"/>
      <c r="EPF133" s="105"/>
      <c r="EPG133" s="105"/>
      <c r="EPH133" s="105"/>
      <c r="EPI133" s="105"/>
      <c r="EPJ133" s="105"/>
      <c r="EPK133" s="105"/>
      <c r="EPL133" s="105"/>
      <c r="EPM133" s="105"/>
      <c r="EPN133" s="105"/>
      <c r="EPO133" s="105"/>
      <c r="EPP133" s="105"/>
      <c r="EPQ133" s="105"/>
      <c r="EPR133" s="105"/>
      <c r="EPS133" s="105"/>
      <c r="EPT133" s="105"/>
      <c r="EPU133" s="105"/>
      <c r="EPV133" s="105"/>
      <c r="EPW133" s="105"/>
      <c r="EPX133" s="105"/>
      <c r="EPY133" s="105"/>
      <c r="EPZ133" s="105"/>
      <c r="EQA133" s="105"/>
      <c r="EQB133" s="105"/>
      <c r="EQC133" s="105"/>
      <c r="EQD133" s="105"/>
      <c r="EQE133" s="105"/>
      <c r="EQF133" s="105"/>
      <c r="EQG133" s="105"/>
      <c r="EQH133" s="105"/>
      <c r="EQI133" s="105"/>
      <c r="EQJ133" s="105"/>
      <c r="EQK133" s="105"/>
      <c r="EQL133" s="105"/>
      <c r="EQM133" s="105"/>
      <c r="EQN133" s="105"/>
      <c r="EQO133" s="105"/>
      <c r="EQP133" s="105"/>
      <c r="EQQ133" s="105"/>
      <c r="EQR133" s="105"/>
      <c r="EQS133" s="105"/>
      <c r="EQT133" s="105"/>
      <c r="EQU133" s="105"/>
      <c r="EQV133" s="105"/>
      <c r="EQW133" s="105"/>
      <c r="EQX133" s="105"/>
      <c r="EQY133" s="105"/>
      <c r="EQZ133" s="105"/>
      <c r="ERA133" s="105"/>
      <c r="ERB133" s="105"/>
      <c r="ERC133" s="105"/>
      <c r="ERD133" s="105"/>
      <c r="ERE133" s="105"/>
      <c r="ERF133" s="105"/>
      <c r="ERG133" s="105"/>
      <c r="ERH133" s="105"/>
      <c r="ERI133" s="105"/>
      <c r="ERJ133" s="105"/>
      <c r="ERK133" s="105"/>
      <c r="ERL133" s="105"/>
      <c r="ERM133" s="105"/>
      <c r="ERN133" s="105"/>
      <c r="ERO133" s="105"/>
      <c r="ERP133" s="105"/>
      <c r="ERQ133" s="105"/>
      <c r="ERR133" s="105"/>
      <c r="ERS133" s="105"/>
      <c r="ERT133" s="105"/>
      <c r="ERU133" s="105"/>
      <c r="ERV133" s="105"/>
      <c r="ERW133" s="105"/>
      <c r="ERX133" s="105"/>
      <c r="ERY133" s="105"/>
      <c r="ERZ133" s="105"/>
      <c r="ESA133" s="105"/>
      <c r="ESB133" s="105"/>
      <c r="ESC133" s="105"/>
      <c r="ESD133" s="105"/>
      <c r="ESE133" s="105"/>
      <c r="ESF133" s="105"/>
      <c r="ESG133" s="105"/>
      <c r="ESH133" s="105"/>
      <c r="ESI133" s="105"/>
      <c r="ESJ133" s="105"/>
      <c r="ESK133" s="105"/>
      <c r="ESL133" s="105"/>
      <c r="ESM133" s="105"/>
      <c r="ESN133" s="105"/>
      <c r="ESO133" s="105"/>
      <c r="ESP133" s="105"/>
      <c r="ESQ133" s="105"/>
      <c r="ESR133" s="105"/>
      <c r="ESS133" s="105"/>
      <c r="EST133" s="105"/>
      <c r="ESU133" s="105"/>
      <c r="ESV133" s="105"/>
      <c r="ESW133" s="105"/>
      <c r="ESX133" s="105"/>
      <c r="ESY133" s="105"/>
      <c r="ESZ133" s="105"/>
      <c r="ETA133" s="105"/>
      <c r="ETB133" s="105"/>
      <c r="ETC133" s="105"/>
      <c r="ETD133" s="105"/>
      <c r="ETE133" s="105"/>
      <c r="ETF133" s="105"/>
      <c r="ETG133" s="105"/>
      <c r="ETH133" s="105"/>
      <c r="ETI133" s="105"/>
      <c r="ETJ133" s="105"/>
      <c r="ETK133" s="105"/>
      <c r="ETL133" s="105"/>
      <c r="ETM133" s="105"/>
      <c r="ETN133" s="105"/>
      <c r="ETO133" s="105"/>
      <c r="ETP133" s="105"/>
      <c r="ETQ133" s="105"/>
      <c r="ETR133" s="105"/>
      <c r="ETS133" s="105"/>
      <c r="ETT133" s="105"/>
      <c r="ETU133" s="105"/>
      <c r="ETV133" s="105"/>
      <c r="ETW133" s="105"/>
      <c r="ETX133" s="105"/>
      <c r="ETY133" s="105"/>
      <c r="ETZ133" s="105"/>
      <c r="EUA133" s="105"/>
      <c r="EUB133" s="105"/>
      <c r="EUC133" s="105"/>
      <c r="EUD133" s="105"/>
      <c r="EUE133" s="105"/>
      <c r="EUF133" s="105"/>
      <c r="EUG133" s="105"/>
      <c r="EUH133" s="105"/>
      <c r="EUI133" s="105"/>
      <c r="EUJ133" s="105"/>
      <c r="EUK133" s="105"/>
      <c r="EUL133" s="105"/>
      <c r="EUM133" s="105"/>
      <c r="EUN133" s="105"/>
      <c r="EUO133" s="105"/>
      <c r="EUP133" s="105"/>
      <c r="EUQ133" s="105"/>
      <c r="EUR133" s="105"/>
      <c r="EUS133" s="105"/>
      <c r="EUT133" s="105"/>
      <c r="EUU133" s="105"/>
      <c r="EUV133" s="105"/>
      <c r="EUW133" s="105"/>
      <c r="EUX133" s="105"/>
      <c r="EUY133" s="105"/>
      <c r="EUZ133" s="105"/>
      <c r="EVA133" s="105"/>
      <c r="EVB133" s="105"/>
      <c r="EVC133" s="105"/>
      <c r="EVD133" s="105"/>
      <c r="EVE133" s="105"/>
      <c r="EVF133" s="105"/>
      <c r="EVG133" s="105"/>
      <c r="EVH133" s="105"/>
      <c r="EVI133" s="105"/>
      <c r="EVJ133" s="105"/>
      <c r="EVK133" s="105"/>
      <c r="EVL133" s="105"/>
      <c r="EVM133" s="105"/>
      <c r="EVN133" s="105"/>
      <c r="EVO133" s="105"/>
      <c r="EVP133" s="105"/>
      <c r="EVQ133" s="105"/>
      <c r="EVR133" s="105"/>
      <c r="EVS133" s="105"/>
      <c r="EVT133" s="105"/>
      <c r="EVU133" s="105"/>
      <c r="EVV133" s="105"/>
      <c r="EVW133" s="105"/>
      <c r="EVX133" s="105"/>
      <c r="EVY133" s="105"/>
      <c r="EVZ133" s="105"/>
      <c r="EWA133" s="105"/>
      <c r="EWB133" s="105"/>
      <c r="EWC133" s="105"/>
      <c r="EWD133" s="105"/>
      <c r="EWE133" s="105"/>
      <c r="EWF133" s="105"/>
      <c r="EWG133" s="105"/>
      <c r="EWH133" s="105"/>
      <c r="EWI133" s="105"/>
      <c r="EWJ133" s="105"/>
      <c r="EWK133" s="105"/>
      <c r="EWL133" s="105"/>
      <c r="EWM133" s="105"/>
      <c r="EWN133" s="105"/>
      <c r="EWO133" s="105"/>
      <c r="EWP133" s="105"/>
      <c r="EWQ133" s="105"/>
      <c r="EWR133" s="105"/>
      <c r="EWS133" s="105"/>
      <c r="EWT133" s="105"/>
      <c r="EWU133" s="105"/>
      <c r="EWV133" s="105"/>
      <c r="EWW133" s="105"/>
      <c r="EWX133" s="105"/>
      <c r="EWY133" s="105"/>
      <c r="EWZ133" s="105"/>
      <c r="EXA133" s="105"/>
      <c r="EXB133" s="105"/>
      <c r="EXC133" s="105"/>
      <c r="EXD133" s="105"/>
      <c r="EXE133" s="105"/>
      <c r="EXF133" s="105"/>
      <c r="EXG133" s="105"/>
      <c r="EXH133" s="105"/>
      <c r="EXI133" s="105"/>
      <c r="EXJ133" s="105"/>
      <c r="EXK133" s="105"/>
      <c r="EXL133" s="105"/>
      <c r="EXM133" s="105"/>
      <c r="EXN133" s="105"/>
      <c r="EXO133" s="105"/>
      <c r="EXP133" s="105"/>
      <c r="EXQ133" s="105"/>
      <c r="EXR133" s="105"/>
      <c r="EXS133" s="105"/>
      <c r="EXT133" s="105"/>
      <c r="EXU133" s="105"/>
      <c r="EXV133" s="105"/>
      <c r="EXW133" s="105"/>
      <c r="EXX133" s="105"/>
      <c r="EXY133" s="105"/>
      <c r="EXZ133" s="105"/>
      <c r="EYA133" s="105"/>
      <c r="EYB133" s="105"/>
      <c r="EYC133" s="105"/>
      <c r="EYD133" s="105"/>
      <c r="EYE133" s="105"/>
      <c r="EYF133" s="105"/>
      <c r="EYG133" s="105"/>
      <c r="EYH133" s="105"/>
      <c r="EYI133" s="105"/>
      <c r="EYJ133" s="105"/>
      <c r="EYK133" s="105"/>
      <c r="EYL133" s="105"/>
      <c r="EYM133" s="105"/>
      <c r="EYN133" s="105"/>
      <c r="EYO133" s="105"/>
      <c r="EYP133" s="105"/>
      <c r="EYQ133" s="105"/>
      <c r="EYR133" s="105"/>
      <c r="EYS133" s="105"/>
      <c r="EYT133" s="105"/>
      <c r="EYU133" s="105"/>
      <c r="EYV133" s="105"/>
      <c r="EYW133" s="105"/>
      <c r="EYX133" s="105"/>
      <c r="EYY133" s="105"/>
      <c r="EYZ133" s="105"/>
      <c r="EZA133" s="105"/>
      <c r="EZB133" s="105"/>
      <c r="EZC133" s="105"/>
      <c r="EZD133" s="105"/>
      <c r="EZE133" s="105"/>
      <c r="EZF133" s="105"/>
      <c r="EZG133" s="105"/>
      <c r="EZH133" s="105"/>
      <c r="EZI133" s="105"/>
      <c r="EZJ133" s="105"/>
      <c r="EZK133" s="105"/>
      <c r="EZL133" s="105"/>
      <c r="EZM133" s="105"/>
      <c r="EZN133" s="105"/>
      <c r="EZO133" s="105"/>
      <c r="EZP133" s="105"/>
      <c r="EZQ133" s="105"/>
      <c r="EZR133" s="105"/>
      <c r="EZS133" s="105"/>
      <c r="EZT133" s="105"/>
      <c r="EZU133" s="105"/>
      <c r="EZV133" s="105"/>
      <c r="EZW133" s="105"/>
      <c r="EZX133" s="105"/>
      <c r="EZY133" s="105"/>
      <c r="EZZ133" s="105"/>
      <c r="FAA133" s="105"/>
      <c r="FAB133" s="105"/>
      <c r="FAC133" s="105"/>
      <c r="FAD133" s="105"/>
      <c r="FAE133" s="105"/>
      <c r="FAF133" s="105"/>
      <c r="FAG133" s="105"/>
      <c r="FAH133" s="105"/>
      <c r="FAI133" s="105"/>
      <c r="FAJ133" s="105"/>
      <c r="FAK133" s="105"/>
      <c r="FAL133" s="105"/>
      <c r="FAM133" s="105"/>
      <c r="FAN133" s="105"/>
      <c r="FAO133" s="105"/>
      <c r="FAP133" s="105"/>
      <c r="FAQ133" s="105"/>
      <c r="FAR133" s="105"/>
      <c r="FAS133" s="105"/>
      <c r="FAT133" s="105"/>
      <c r="FAU133" s="105"/>
      <c r="FAV133" s="105"/>
      <c r="FAW133" s="105"/>
      <c r="FAX133" s="105"/>
      <c r="FAY133" s="105"/>
      <c r="FAZ133" s="105"/>
      <c r="FBA133" s="105"/>
      <c r="FBB133" s="105"/>
      <c r="FBC133" s="105"/>
      <c r="FBD133" s="105"/>
      <c r="FBE133" s="105"/>
      <c r="FBF133" s="105"/>
      <c r="FBG133" s="105"/>
      <c r="FBH133" s="105"/>
      <c r="FBI133" s="105"/>
      <c r="FBJ133" s="105"/>
      <c r="FBK133" s="105"/>
      <c r="FBL133" s="105"/>
      <c r="FBM133" s="105"/>
      <c r="FBN133" s="105"/>
      <c r="FBO133" s="105"/>
      <c r="FBP133" s="105"/>
      <c r="FBQ133" s="105"/>
      <c r="FBR133" s="105"/>
      <c r="FBS133" s="105"/>
      <c r="FBT133" s="105"/>
      <c r="FBU133" s="105"/>
      <c r="FBV133" s="105"/>
      <c r="FBW133" s="105"/>
      <c r="FBX133" s="105"/>
      <c r="FBY133" s="105"/>
      <c r="FBZ133" s="105"/>
      <c r="FCA133" s="105"/>
      <c r="FCB133" s="105"/>
      <c r="FCC133" s="105"/>
      <c r="FCD133" s="105"/>
      <c r="FCE133" s="105"/>
      <c r="FCF133" s="105"/>
      <c r="FCG133" s="105"/>
      <c r="FCH133" s="105"/>
      <c r="FCI133" s="105"/>
      <c r="FCJ133" s="105"/>
      <c r="FCK133" s="105"/>
      <c r="FCL133" s="105"/>
      <c r="FCM133" s="105"/>
      <c r="FCN133" s="105"/>
      <c r="FCO133" s="105"/>
      <c r="FCP133" s="105"/>
      <c r="FCQ133" s="105"/>
      <c r="FCR133" s="105"/>
      <c r="FCS133" s="105"/>
      <c r="FCT133" s="105"/>
      <c r="FCU133" s="105"/>
      <c r="FCV133" s="105"/>
      <c r="FCW133" s="105"/>
      <c r="FCX133" s="105"/>
      <c r="FCY133" s="105"/>
      <c r="FCZ133" s="105"/>
      <c r="FDA133" s="105"/>
      <c r="FDB133" s="105"/>
      <c r="FDC133" s="105"/>
      <c r="FDD133" s="105"/>
      <c r="FDE133" s="105"/>
      <c r="FDF133" s="105"/>
      <c r="FDG133" s="105"/>
      <c r="FDH133" s="105"/>
      <c r="FDI133" s="105"/>
      <c r="FDJ133" s="105"/>
      <c r="FDK133" s="105"/>
      <c r="FDL133" s="105"/>
      <c r="FDM133" s="105"/>
      <c r="FDN133" s="105"/>
      <c r="FDO133" s="105"/>
      <c r="FDP133" s="105"/>
      <c r="FDQ133" s="105"/>
      <c r="FDR133" s="105"/>
      <c r="FDS133" s="105"/>
      <c r="FDT133" s="105"/>
      <c r="FDU133" s="105"/>
      <c r="FDV133" s="105"/>
      <c r="FDW133" s="105"/>
      <c r="FDX133" s="105"/>
      <c r="FDY133" s="105"/>
      <c r="FDZ133" s="105"/>
      <c r="FEA133" s="105"/>
      <c r="FEB133" s="105"/>
      <c r="FEC133" s="105"/>
      <c r="FED133" s="105"/>
      <c r="FEE133" s="105"/>
      <c r="FEF133" s="105"/>
      <c r="FEG133" s="105"/>
      <c r="FEH133" s="105"/>
      <c r="FEI133" s="105"/>
      <c r="FEJ133" s="105"/>
      <c r="FEK133" s="105"/>
      <c r="FEL133" s="105"/>
      <c r="FEM133" s="105"/>
      <c r="FEN133" s="105"/>
      <c r="FEO133" s="105"/>
      <c r="FEP133" s="105"/>
      <c r="FEQ133" s="105"/>
      <c r="FER133" s="105"/>
      <c r="FES133" s="105"/>
      <c r="FET133" s="105"/>
      <c r="FEU133" s="105"/>
      <c r="FEV133" s="105"/>
      <c r="FEW133" s="105"/>
      <c r="FEX133" s="105"/>
      <c r="FEY133" s="105"/>
      <c r="FEZ133" s="105"/>
      <c r="FFA133" s="105"/>
      <c r="FFB133" s="105"/>
      <c r="FFC133" s="105"/>
      <c r="FFD133" s="105"/>
      <c r="FFE133" s="105"/>
      <c r="FFF133" s="105"/>
      <c r="FFG133" s="105"/>
      <c r="FFH133" s="105"/>
      <c r="FFI133" s="105"/>
      <c r="FFJ133" s="105"/>
      <c r="FFK133" s="105"/>
      <c r="FFL133" s="105"/>
      <c r="FFM133" s="105"/>
      <c r="FFN133" s="105"/>
      <c r="FFO133" s="105"/>
      <c r="FFP133" s="105"/>
      <c r="FFQ133" s="105"/>
      <c r="FFR133" s="105"/>
      <c r="FFS133" s="105"/>
      <c r="FFT133" s="105"/>
      <c r="FFU133" s="105"/>
      <c r="FFV133" s="105"/>
      <c r="FFW133" s="105"/>
      <c r="FFX133" s="105"/>
      <c r="FFY133" s="105"/>
      <c r="FFZ133" s="105"/>
      <c r="FGA133" s="105"/>
      <c r="FGB133" s="105"/>
      <c r="FGC133" s="105"/>
      <c r="FGD133" s="105"/>
      <c r="FGE133" s="105"/>
      <c r="FGF133" s="105"/>
      <c r="FGG133" s="105"/>
      <c r="FGH133" s="105"/>
      <c r="FGI133" s="105"/>
      <c r="FGJ133" s="105"/>
      <c r="FGK133" s="105"/>
      <c r="FGL133" s="105"/>
      <c r="FGM133" s="105"/>
      <c r="FGN133" s="105"/>
      <c r="FGO133" s="105"/>
      <c r="FGP133" s="105"/>
      <c r="FGQ133" s="105"/>
      <c r="FGR133" s="105"/>
      <c r="FGS133" s="105"/>
      <c r="FGT133" s="105"/>
      <c r="FGU133" s="105"/>
      <c r="FGV133" s="105"/>
      <c r="FGW133" s="105"/>
      <c r="FGX133" s="105"/>
      <c r="FGY133" s="105"/>
      <c r="FGZ133" s="105"/>
      <c r="FHA133" s="105"/>
      <c r="FHB133" s="105"/>
      <c r="FHC133" s="105"/>
      <c r="FHD133" s="105"/>
      <c r="FHE133" s="105"/>
      <c r="FHF133" s="105"/>
      <c r="FHG133" s="105"/>
      <c r="FHH133" s="105"/>
      <c r="FHI133" s="105"/>
      <c r="FHJ133" s="105"/>
      <c r="FHK133" s="105"/>
      <c r="FHL133" s="105"/>
      <c r="FHM133" s="105"/>
      <c r="FHN133" s="105"/>
      <c r="FHO133" s="105"/>
      <c r="FHP133" s="105"/>
      <c r="FHQ133" s="105"/>
      <c r="FHR133" s="105"/>
      <c r="FHS133" s="105"/>
      <c r="FHT133" s="105"/>
      <c r="FHU133" s="105"/>
      <c r="FHV133" s="105"/>
      <c r="FHW133" s="105"/>
      <c r="FHX133" s="105"/>
      <c r="FHY133" s="105"/>
      <c r="FHZ133" s="105"/>
      <c r="FIA133" s="105"/>
      <c r="FIB133" s="105"/>
      <c r="FIC133" s="105"/>
      <c r="FID133" s="105"/>
      <c r="FIE133" s="105"/>
      <c r="FIF133" s="105"/>
      <c r="FIG133" s="105"/>
      <c r="FIH133" s="105"/>
      <c r="FII133" s="105"/>
      <c r="FIJ133" s="105"/>
      <c r="FIK133" s="105"/>
      <c r="FIL133" s="105"/>
      <c r="FIM133" s="105"/>
      <c r="FIN133" s="105"/>
      <c r="FIO133" s="105"/>
      <c r="FIP133" s="105"/>
      <c r="FIQ133" s="105"/>
      <c r="FIR133" s="105"/>
      <c r="FIS133" s="105"/>
      <c r="FIT133" s="105"/>
      <c r="FIU133" s="105"/>
      <c r="FIV133" s="105"/>
      <c r="FIW133" s="105"/>
      <c r="FIX133" s="105"/>
      <c r="FIY133" s="105"/>
      <c r="FIZ133" s="105"/>
      <c r="FJA133" s="105"/>
      <c r="FJB133" s="105"/>
      <c r="FJC133" s="105"/>
      <c r="FJD133" s="105"/>
      <c r="FJE133" s="105"/>
      <c r="FJF133" s="105"/>
      <c r="FJG133" s="105"/>
      <c r="FJH133" s="105"/>
      <c r="FJI133" s="105"/>
      <c r="FJJ133" s="105"/>
      <c r="FJK133" s="105"/>
      <c r="FJL133" s="105"/>
      <c r="FJM133" s="105"/>
      <c r="FJN133" s="105"/>
      <c r="FJO133" s="105"/>
      <c r="FJP133" s="105"/>
      <c r="FJQ133" s="105"/>
      <c r="FJR133" s="105"/>
      <c r="FJS133" s="105"/>
      <c r="FJT133" s="105"/>
      <c r="FJU133" s="105"/>
      <c r="FJV133" s="105"/>
      <c r="FJW133" s="105"/>
      <c r="FJX133" s="105"/>
      <c r="FJY133" s="105"/>
      <c r="FJZ133" s="105"/>
      <c r="FKA133" s="105"/>
      <c r="FKB133" s="105"/>
      <c r="FKC133" s="105"/>
      <c r="FKD133" s="105"/>
      <c r="FKE133" s="105"/>
      <c r="FKF133" s="105"/>
      <c r="FKG133" s="105"/>
      <c r="FKH133" s="105"/>
      <c r="FKI133" s="105"/>
      <c r="FKJ133" s="105"/>
      <c r="FKK133" s="105"/>
      <c r="FKL133" s="105"/>
      <c r="FKM133" s="105"/>
      <c r="FKN133" s="105"/>
      <c r="FKO133" s="105"/>
      <c r="FKP133" s="105"/>
      <c r="FKQ133" s="105"/>
      <c r="FKR133" s="105"/>
      <c r="FKS133" s="105"/>
      <c r="FKT133" s="105"/>
      <c r="FKU133" s="105"/>
      <c r="FKV133" s="105"/>
      <c r="FKW133" s="105"/>
      <c r="FKX133" s="105"/>
      <c r="FKY133" s="105"/>
      <c r="FKZ133" s="105"/>
      <c r="FLA133" s="105"/>
      <c r="FLB133" s="105"/>
      <c r="FLC133" s="105"/>
      <c r="FLD133" s="105"/>
      <c r="FLE133" s="105"/>
      <c r="FLF133" s="105"/>
      <c r="FLG133" s="105"/>
      <c r="FLH133" s="105"/>
      <c r="FLI133" s="105"/>
      <c r="FLJ133" s="105"/>
      <c r="FLK133" s="105"/>
      <c r="FLL133" s="105"/>
      <c r="FLM133" s="105"/>
      <c r="FLN133" s="105"/>
      <c r="FLO133" s="105"/>
      <c r="FLP133" s="105"/>
      <c r="FLQ133" s="105"/>
      <c r="FLR133" s="105"/>
      <c r="FLS133" s="105"/>
      <c r="FLT133" s="105"/>
      <c r="FLU133" s="105"/>
      <c r="FLV133" s="105"/>
      <c r="FLW133" s="105"/>
      <c r="FLX133" s="105"/>
      <c r="FLY133" s="105"/>
      <c r="FLZ133" s="105"/>
      <c r="FMA133" s="105"/>
      <c r="FMB133" s="105"/>
      <c r="FMC133" s="105"/>
      <c r="FMD133" s="105"/>
      <c r="FME133" s="105"/>
      <c r="FMF133" s="105"/>
      <c r="FMG133" s="105"/>
      <c r="FMH133" s="105"/>
      <c r="FMI133" s="105"/>
      <c r="FMJ133" s="105"/>
      <c r="FMK133" s="105"/>
      <c r="FML133" s="105"/>
      <c r="FMM133" s="105"/>
      <c r="FMN133" s="105"/>
      <c r="FMO133" s="105"/>
      <c r="FMP133" s="105"/>
      <c r="FMQ133" s="105"/>
      <c r="FMR133" s="105"/>
      <c r="FMS133" s="105"/>
      <c r="FMT133" s="105"/>
      <c r="FMU133" s="105"/>
      <c r="FMV133" s="105"/>
      <c r="FMW133" s="105"/>
      <c r="FMX133" s="105"/>
      <c r="FMY133" s="105"/>
      <c r="FMZ133" s="105"/>
      <c r="FNA133" s="105"/>
      <c r="FNB133" s="105"/>
      <c r="FNC133" s="105"/>
      <c r="FND133" s="105"/>
      <c r="FNE133" s="105"/>
      <c r="FNF133" s="105"/>
      <c r="FNG133" s="105"/>
      <c r="FNH133" s="105"/>
      <c r="FNI133" s="105"/>
      <c r="FNJ133" s="105"/>
      <c r="FNK133" s="105"/>
      <c r="FNL133" s="105"/>
      <c r="FNM133" s="105"/>
      <c r="FNN133" s="105"/>
      <c r="FNO133" s="105"/>
      <c r="FNP133" s="105"/>
      <c r="FNQ133" s="105"/>
      <c r="FNR133" s="105"/>
      <c r="FNS133" s="105"/>
      <c r="FNT133" s="105"/>
      <c r="FNU133" s="105"/>
      <c r="FNV133" s="105"/>
      <c r="FNW133" s="105"/>
      <c r="FNX133" s="105"/>
      <c r="FNY133" s="105"/>
      <c r="FNZ133" s="105"/>
      <c r="FOA133" s="105"/>
      <c r="FOB133" s="105"/>
      <c r="FOC133" s="105"/>
      <c r="FOD133" s="105"/>
      <c r="FOE133" s="105"/>
      <c r="FOF133" s="105"/>
      <c r="FOG133" s="105"/>
      <c r="FOH133" s="105"/>
      <c r="FOI133" s="105"/>
      <c r="FOJ133" s="105"/>
      <c r="FOK133" s="105"/>
      <c r="FOL133" s="105"/>
      <c r="FOM133" s="105"/>
      <c r="FON133" s="105"/>
      <c r="FOO133" s="105"/>
      <c r="FOP133" s="105"/>
      <c r="FOQ133" s="105"/>
      <c r="FOR133" s="105"/>
      <c r="FOS133" s="105"/>
      <c r="FOT133" s="105"/>
      <c r="FOU133" s="105"/>
      <c r="FOV133" s="105"/>
      <c r="FOW133" s="105"/>
      <c r="FOX133" s="105"/>
      <c r="FOY133" s="105"/>
      <c r="FOZ133" s="105"/>
      <c r="FPA133" s="105"/>
      <c r="FPB133" s="105"/>
      <c r="FPC133" s="105"/>
      <c r="FPD133" s="105"/>
      <c r="FPE133" s="105"/>
      <c r="FPF133" s="105"/>
      <c r="FPG133" s="105"/>
      <c r="FPH133" s="105"/>
      <c r="FPI133" s="105"/>
      <c r="FPJ133" s="105"/>
      <c r="FPK133" s="105"/>
      <c r="FPL133" s="105"/>
      <c r="FPM133" s="105"/>
      <c r="FPN133" s="105"/>
      <c r="FPO133" s="105"/>
      <c r="FPP133" s="105"/>
      <c r="FPQ133" s="105"/>
      <c r="FPR133" s="105"/>
      <c r="FPS133" s="105"/>
      <c r="FPT133" s="105"/>
      <c r="FPU133" s="105"/>
      <c r="FPV133" s="105"/>
      <c r="FPW133" s="105"/>
      <c r="FPX133" s="105"/>
      <c r="FPY133" s="105"/>
      <c r="FPZ133" s="105"/>
      <c r="FQA133" s="105"/>
      <c r="FQB133" s="105"/>
      <c r="FQC133" s="105"/>
      <c r="FQD133" s="105"/>
      <c r="FQE133" s="105"/>
      <c r="FQF133" s="105"/>
      <c r="FQG133" s="105"/>
      <c r="FQH133" s="105"/>
      <c r="FQI133" s="105"/>
      <c r="FQJ133" s="105"/>
      <c r="FQK133" s="105"/>
      <c r="FQL133" s="105"/>
      <c r="FQM133" s="105"/>
      <c r="FQN133" s="105"/>
      <c r="FQO133" s="105"/>
      <c r="FQP133" s="105"/>
      <c r="FQQ133" s="105"/>
      <c r="FQR133" s="105"/>
      <c r="FQS133" s="105"/>
      <c r="FQT133" s="105"/>
      <c r="FQU133" s="105"/>
      <c r="FQV133" s="105"/>
      <c r="FQW133" s="105"/>
      <c r="FQX133" s="105"/>
      <c r="FQY133" s="105"/>
      <c r="FQZ133" s="105"/>
      <c r="FRA133" s="105"/>
      <c r="FRB133" s="105"/>
      <c r="FRC133" s="105"/>
      <c r="FRD133" s="105"/>
      <c r="FRE133" s="105"/>
      <c r="FRF133" s="105"/>
      <c r="FRG133" s="105"/>
      <c r="FRH133" s="105"/>
      <c r="FRI133" s="105"/>
      <c r="FRJ133" s="105"/>
      <c r="FRK133" s="105"/>
      <c r="FRL133" s="105"/>
      <c r="FRM133" s="105"/>
      <c r="FRN133" s="105"/>
      <c r="FRO133" s="105"/>
      <c r="FRP133" s="105"/>
      <c r="FRQ133" s="105"/>
      <c r="FRR133" s="105"/>
      <c r="FRS133" s="105"/>
      <c r="FRT133" s="105"/>
      <c r="FRU133" s="105"/>
      <c r="FRV133" s="105"/>
      <c r="FRW133" s="105"/>
      <c r="FRX133" s="105"/>
      <c r="FRY133" s="105"/>
      <c r="FRZ133" s="105"/>
      <c r="FSA133" s="105"/>
      <c r="FSB133" s="105"/>
      <c r="FSC133" s="105"/>
      <c r="FSD133" s="105"/>
      <c r="FSE133" s="105"/>
      <c r="FSF133" s="105"/>
      <c r="FSG133" s="105"/>
      <c r="FSH133" s="105"/>
      <c r="FSI133" s="105"/>
      <c r="FSJ133" s="105"/>
      <c r="FSK133" s="105"/>
      <c r="FSL133" s="105"/>
      <c r="FSM133" s="105"/>
      <c r="FSN133" s="105"/>
      <c r="FSO133" s="105"/>
      <c r="FSP133" s="105"/>
      <c r="FSQ133" s="105"/>
      <c r="FSR133" s="105"/>
      <c r="FSS133" s="105"/>
      <c r="FST133" s="105"/>
      <c r="FSU133" s="105"/>
      <c r="FSV133" s="105"/>
      <c r="FSW133" s="105"/>
      <c r="FSX133" s="105"/>
      <c r="FSY133" s="105"/>
      <c r="FSZ133" s="105"/>
      <c r="FTA133" s="105"/>
      <c r="FTB133" s="105"/>
      <c r="FTC133" s="105"/>
      <c r="FTD133" s="105"/>
      <c r="FTE133" s="105"/>
      <c r="FTF133" s="105"/>
      <c r="FTG133" s="105"/>
      <c r="FTH133" s="105"/>
      <c r="FTI133" s="105"/>
      <c r="FTJ133" s="105"/>
      <c r="FTK133" s="105"/>
      <c r="FTL133" s="105"/>
      <c r="FTM133" s="105"/>
      <c r="FTN133" s="105"/>
      <c r="FTO133" s="105"/>
      <c r="FTP133" s="105"/>
      <c r="FTQ133" s="105"/>
      <c r="FTR133" s="105"/>
      <c r="FTS133" s="105"/>
      <c r="FTT133" s="105"/>
      <c r="FTU133" s="105"/>
      <c r="FTV133" s="105"/>
      <c r="FTW133" s="105"/>
      <c r="FTX133" s="105"/>
      <c r="FTY133" s="105"/>
      <c r="FTZ133" s="105"/>
      <c r="FUA133" s="105"/>
      <c r="FUB133" s="105"/>
      <c r="FUC133" s="105"/>
      <c r="FUD133" s="105"/>
      <c r="FUE133" s="105"/>
      <c r="FUF133" s="105"/>
      <c r="FUG133" s="105"/>
      <c r="FUH133" s="105"/>
      <c r="FUI133" s="105"/>
      <c r="FUJ133" s="105"/>
      <c r="FUK133" s="105"/>
      <c r="FUL133" s="105"/>
      <c r="FUM133" s="105"/>
      <c r="FUN133" s="105"/>
      <c r="FUO133" s="105"/>
      <c r="FUP133" s="105"/>
      <c r="FUQ133" s="105"/>
      <c r="FUR133" s="105"/>
      <c r="FUS133" s="105"/>
      <c r="FUT133" s="105"/>
      <c r="FUU133" s="105"/>
      <c r="FUV133" s="105"/>
      <c r="FUW133" s="105"/>
      <c r="FUX133" s="105"/>
      <c r="FUY133" s="105"/>
      <c r="FUZ133" s="105"/>
      <c r="FVA133" s="105"/>
      <c r="FVB133" s="105"/>
      <c r="FVC133" s="105"/>
      <c r="FVD133" s="105"/>
      <c r="FVE133" s="105"/>
      <c r="FVF133" s="105"/>
      <c r="FVG133" s="105"/>
      <c r="FVH133" s="105"/>
      <c r="FVI133" s="105"/>
      <c r="FVJ133" s="105"/>
      <c r="FVK133" s="105"/>
      <c r="FVL133" s="105"/>
      <c r="FVM133" s="105"/>
      <c r="FVN133" s="105"/>
      <c r="FVO133" s="105"/>
      <c r="FVP133" s="105"/>
      <c r="FVQ133" s="105"/>
      <c r="FVR133" s="105"/>
      <c r="FVS133" s="105"/>
      <c r="FVT133" s="105"/>
      <c r="FVU133" s="105"/>
      <c r="FVV133" s="105"/>
      <c r="FVW133" s="105"/>
      <c r="FVX133" s="105"/>
      <c r="FVY133" s="105"/>
      <c r="FVZ133" s="105"/>
      <c r="FWA133" s="105"/>
      <c r="FWB133" s="105"/>
      <c r="FWC133" s="105"/>
      <c r="FWD133" s="105"/>
      <c r="FWE133" s="105"/>
      <c r="FWF133" s="105"/>
      <c r="FWG133" s="105"/>
      <c r="FWH133" s="105"/>
      <c r="FWI133" s="105"/>
      <c r="FWJ133" s="105"/>
      <c r="FWK133" s="105"/>
      <c r="FWL133" s="105"/>
      <c r="FWM133" s="105"/>
      <c r="FWN133" s="105"/>
      <c r="FWO133" s="105"/>
      <c r="FWP133" s="105"/>
      <c r="FWQ133" s="105"/>
      <c r="FWR133" s="105"/>
      <c r="FWS133" s="105"/>
      <c r="FWT133" s="105"/>
      <c r="FWU133" s="105"/>
      <c r="FWV133" s="105"/>
      <c r="FWW133" s="105"/>
      <c r="FWX133" s="105"/>
      <c r="FWY133" s="105"/>
      <c r="FWZ133" s="105"/>
      <c r="FXA133" s="105"/>
      <c r="FXB133" s="105"/>
      <c r="FXC133" s="105"/>
      <c r="FXD133" s="105"/>
      <c r="FXE133" s="105"/>
      <c r="FXF133" s="105"/>
      <c r="FXG133" s="105"/>
      <c r="FXH133" s="105"/>
      <c r="FXI133" s="105"/>
      <c r="FXJ133" s="105"/>
      <c r="FXK133" s="105"/>
      <c r="FXL133" s="105"/>
      <c r="FXM133" s="105"/>
      <c r="FXN133" s="105"/>
      <c r="FXO133" s="105"/>
      <c r="FXP133" s="105"/>
      <c r="FXQ133" s="105"/>
      <c r="FXR133" s="105"/>
      <c r="FXS133" s="105"/>
      <c r="FXT133" s="105"/>
      <c r="FXU133" s="105"/>
      <c r="FXV133" s="105"/>
      <c r="FXW133" s="105"/>
      <c r="FXX133" s="105"/>
      <c r="FXY133" s="105"/>
      <c r="FXZ133" s="105"/>
      <c r="FYA133" s="105"/>
      <c r="FYB133" s="105"/>
      <c r="FYC133" s="105"/>
      <c r="FYD133" s="105"/>
      <c r="FYE133" s="105"/>
      <c r="FYF133" s="105"/>
      <c r="FYG133" s="105"/>
      <c r="FYH133" s="105"/>
      <c r="FYI133" s="105"/>
      <c r="FYJ133" s="105"/>
      <c r="FYK133" s="105"/>
      <c r="FYL133" s="105"/>
      <c r="FYM133" s="105"/>
      <c r="FYN133" s="105"/>
      <c r="FYO133" s="105"/>
      <c r="FYP133" s="105"/>
      <c r="FYQ133" s="105"/>
      <c r="FYR133" s="105"/>
      <c r="FYS133" s="105"/>
      <c r="FYT133" s="105"/>
      <c r="FYU133" s="105"/>
      <c r="FYV133" s="105"/>
      <c r="FYW133" s="105"/>
      <c r="FYX133" s="105"/>
      <c r="FYY133" s="105"/>
      <c r="FYZ133" s="105"/>
      <c r="FZA133" s="105"/>
      <c r="FZB133" s="105"/>
      <c r="FZC133" s="105"/>
      <c r="FZD133" s="105"/>
      <c r="FZE133" s="105"/>
      <c r="FZF133" s="105"/>
      <c r="FZG133" s="105"/>
      <c r="FZH133" s="105"/>
      <c r="FZI133" s="105"/>
      <c r="FZJ133" s="105"/>
      <c r="FZK133" s="105"/>
      <c r="FZL133" s="105"/>
      <c r="FZM133" s="105"/>
      <c r="FZN133" s="105"/>
      <c r="FZO133" s="105"/>
      <c r="FZP133" s="105"/>
      <c r="FZQ133" s="105"/>
      <c r="FZR133" s="105"/>
      <c r="FZS133" s="105"/>
      <c r="FZT133" s="105"/>
      <c r="FZU133" s="105"/>
      <c r="FZV133" s="105"/>
      <c r="FZW133" s="105"/>
      <c r="FZX133" s="105"/>
      <c r="FZY133" s="105"/>
      <c r="FZZ133" s="105"/>
      <c r="GAA133" s="105"/>
      <c r="GAB133" s="105"/>
      <c r="GAC133" s="105"/>
      <c r="GAD133" s="105"/>
      <c r="GAE133" s="105"/>
      <c r="GAF133" s="105"/>
      <c r="GAG133" s="105"/>
      <c r="GAH133" s="105"/>
      <c r="GAI133" s="105"/>
      <c r="GAJ133" s="105"/>
      <c r="GAK133" s="105"/>
      <c r="GAL133" s="105"/>
      <c r="GAM133" s="105"/>
      <c r="GAN133" s="105"/>
      <c r="GAO133" s="105"/>
      <c r="GAP133" s="105"/>
      <c r="GAQ133" s="105"/>
      <c r="GAR133" s="105"/>
      <c r="GAS133" s="105"/>
      <c r="GAT133" s="105"/>
      <c r="GAU133" s="105"/>
      <c r="GAV133" s="105"/>
      <c r="GAW133" s="105"/>
      <c r="GAX133" s="105"/>
      <c r="GAY133" s="105"/>
      <c r="GAZ133" s="105"/>
      <c r="GBA133" s="105"/>
      <c r="GBB133" s="105"/>
      <c r="GBC133" s="105"/>
      <c r="GBD133" s="105"/>
      <c r="GBE133" s="105"/>
      <c r="GBF133" s="105"/>
      <c r="GBG133" s="105"/>
      <c r="GBH133" s="105"/>
      <c r="GBI133" s="105"/>
      <c r="GBJ133" s="105"/>
      <c r="GBK133" s="105"/>
      <c r="GBL133" s="105"/>
      <c r="GBM133" s="105"/>
      <c r="GBN133" s="105"/>
      <c r="GBO133" s="105"/>
      <c r="GBP133" s="105"/>
      <c r="GBQ133" s="105"/>
      <c r="GBR133" s="105"/>
      <c r="GBS133" s="105"/>
      <c r="GBT133" s="105"/>
      <c r="GBU133" s="105"/>
      <c r="GBV133" s="105"/>
      <c r="GBW133" s="105"/>
      <c r="GBX133" s="105"/>
      <c r="GBY133" s="105"/>
      <c r="GBZ133" s="105"/>
      <c r="GCA133" s="105"/>
      <c r="GCB133" s="105"/>
      <c r="GCC133" s="105"/>
      <c r="GCD133" s="105"/>
      <c r="GCE133" s="105"/>
      <c r="GCF133" s="105"/>
      <c r="GCG133" s="105"/>
      <c r="GCH133" s="105"/>
      <c r="GCI133" s="105"/>
      <c r="GCJ133" s="105"/>
      <c r="GCK133" s="105"/>
      <c r="GCL133" s="105"/>
      <c r="GCM133" s="105"/>
      <c r="GCN133" s="105"/>
      <c r="GCO133" s="105"/>
      <c r="GCP133" s="105"/>
      <c r="GCQ133" s="105"/>
      <c r="GCR133" s="105"/>
      <c r="GCS133" s="105"/>
      <c r="GCT133" s="105"/>
      <c r="GCU133" s="105"/>
      <c r="GCV133" s="105"/>
      <c r="GCW133" s="105"/>
      <c r="GCX133" s="105"/>
      <c r="GCY133" s="105"/>
      <c r="GCZ133" s="105"/>
      <c r="GDA133" s="105"/>
      <c r="GDB133" s="105"/>
      <c r="GDC133" s="105"/>
      <c r="GDD133" s="105"/>
      <c r="GDE133" s="105"/>
      <c r="GDF133" s="105"/>
      <c r="GDG133" s="105"/>
      <c r="GDH133" s="105"/>
      <c r="GDI133" s="105"/>
      <c r="GDJ133" s="105"/>
      <c r="GDK133" s="105"/>
      <c r="GDL133" s="105"/>
      <c r="GDM133" s="105"/>
      <c r="GDN133" s="105"/>
      <c r="GDO133" s="105"/>
      <c r="GDP133" s="105"/>
      <c r="GDQ133" s="105"/>
      <c r="GDR133" s="105"/>
      <c r="GDS133" s="105"/>
      <c r="GDT133" s="105"/>
      <c r="GDU133" s="105"/>
      <c r="GDV133" s="105"/>
      <c r="GDW133" s="105"/>
      <c r="GDX133" s="105"/>
      <c r="GDY133" s="105"/>
      <c r="GDZ133" s="105"/>
      <c r="GEA133" s="105"/>
      <c r="GEB133" s="105"/>
      <c r="GEC133" s="105"/>
      <c r="GED133" s="105"/>
      <c r="GEE133" s="105"/>
      <c r="GEF133" s="105"/>
      <c r="GEG133" s="105"/>
      <c r="GEH133" s="105"/>
      <c r="GEI133" s="105"/>
      <c r="GEJ133" s="105"/>
      <c r="GEK133" s="105"/>
      <c r="GEL133" s="105"/>
      <c r="GEM133" s="105"/>
      <c r="GEN133" s="105"/>
      <c r="GEO133" s="105"/>
      <c r="GEP133" s="105"/>
      <c r="GEQ133" s="105"/>
      <c r="GER133" s="105"/>
      <c r="GES133" s="105"/>
      <c r="GET133" s="105"/>
      <c r="GEU133" s="105"/>
      <c r="GEV133" s="105"/>
      <c r="GEW133" s="105"/>
      <c r="GEX133" s="105"/>
      <c r="GEY133" s="105"/>
      <c r="GEZ133" s="105"/>
      <c r="GFA133" s="105"/>
      <c r="GFB133" s="105"/>
      <c r="GFC133" s="105"/>
      <c r="GFD133" s="105"/>
      <c r="GFE133" s="105"/>
      <c r="GFF133" s="105"/>
      <c r="GFG133" s="105"/>
      <c r="GFH133" s="105"/>
      <c r="GFI133" s="105"/>
      <c r="GFJ133" s="105"/>
      <c r="GFK133" s="105"/>
      <c r="GFL133" s="105"/>
      <c r="GFM133" s="105"/>
      <c r="GFN133" s="105"/>
      <c r="GFO133" s="105"/>
      <c r="GFP133" s="105"/>
      <c r="GFQ133" s="105"/>
      <c r="GFR133" s="105"/>
      <c r="GFS133" s="105"/>
      <c r="GFT133" s="105"/>
      <c r="GFU133" s="105"/>
      <c r="GFV133" s="105"/>
      <c r="GFW133" s="105"/>
      <c r="GFX133" s="105"/>
      <c r="GFY133" s="105"/>
      <c r="GFZ133" s="105"/>
      <c r="GGA133" s="105"/>
      <c r="GGB133" s="105"/>
      <c r="GGC133" s="105"/>
      <c r="GGD133" s="105"/>
      <c r="GGE133" s="105"/>
      <c r="GGF133" s="105"/>
      <c r="GGG133" s="105"/>
      <c r="GGH133" s="105"/>
      <c r="GGI133" s="105"/>
      <c r="GGJ133" s="105"/>
      <c r="GGK133" s="105"/>
      <c r="GGL133" s="105"/>
      <c r="GGM133" s="105"/>
      <c r="GGN133" s="105"/>
      <c r="GGO133" s="105"/>
      <c r="GGP133" s="105"/>
      <c r="GGQ133" s="105"/>
      <c r="GGR133" s="105"/>
      <c r="GGS133" s="105"/>
      <c r="GGT133" s="105"/>
      <c r="GGU133" s="105"/>
      <c r="GGV133" s="105"/>
      <c r="GGW133" s="105"/>
      <c r="GGX133" s="105"/>
      <c r="GGY133" s="105"/>
      <c r="GGZ133" s="105"/>
      <c r="GHA133" s="105"/>
      <c r="GHB133" s="105"/>
      <c r="GHC133" s="105"/>
      <c r="GHD133" s="105"/>
      <c r="GHE133" s="105"/>
      <c r="GHF133" s="105"/>
      <c r="GHG133" s="105"/>
      <c r="GHH133" s="105"/>
      <c r="GHI133" s="105"/>
      <c r="GHJ133" s="105"/>
      <c r="GHK133" s="105"/>
      <c r="GHL133" s="105"/>
      <c r="GHM133" s="105"/>
      <c r="GHN133" s="105"/>
      <c r="GHO133" s="105"/>
      <c r="GHP133" s="105"/>
      <c r="GHQ133" s="105"/>
      <c r="GHR133" s="105"/>
      <c r="GHS133" s="105"/>
      <c r="GHT133" s="105"/>
      <c r="GHU133" s="105"/>
      <c r="GHV133" s="105"/>
      <c r="GHW133" s="105"/>
      <c r="GHX133" s="105"/>
      <c r="GHY133" s="105"/>
      <c r="GHZ133" s="105"/>
      <c r="GIA133" s="105"/>
      <c r="GIB133" s="105"/>
      <c r="GIC133" s="105"/>
      <c r="GID133" s="105"/>
      <c r="GIE133" s="105"/>
      <c r="GIF133" s="105"/>
      <c r="GIG133" s="105"/>
      <c r="GIH133" s="105"/>
      <c r="GII133" s="105"/>
      <c r="GIJ133" s="105"/>
      <c r="GIK133" s="105"/>
      <c r="GIL133" s="105"/>
      <c r="GIM133" s="105"/>
      <c r="GIN133" s="105"/>
      <c r="GIO133" s="105"/>
      <c r="GIP133" s="105"/>
      <c r="GIQ133" s="105"/>
      <c r="GIR133" s="105"/>
      <c r="GIS133" s="105"/>
      <c r="GIT133" s="105"/>
      <c r="GIU133" s="105"/>
      <c r="GIV133" s="105"/>
      <c r="GIW133" s="105"/>
      <c r="GIX133" s="105"/>
      <c r="GIY133" s="105"/>
      <c r="GIZ133" s="105"/>
      <c r="GJA133" s="105"/>
      <c r="GJB133" s="105"/>
      <c r="GJC133" s="105"/>
      <c r="GJD133" s="105"/>
      <c r="GJE133" s="105"/>
      <c r="GJF133" s="105"/>
      <c r="GJG133" s="105"/>
      <c r="GJH133" s="105"/>
      <c r="GJI133" s="105"/>
      <c r="GJJ133" s="105"/>
      <c r="GJK133" s="105"/>
      <c r="GJL133" s="105"/>
      <c r="GJM133" s="105"/>
      <c r="GJN133" s="105"/>
      <c r="GJO133" s="105"/>
      <c r="GJP133" s="105"/>
      <c r="GJQ133" s="105"/>
      <c r="GJR133" s="105"/>
      <c r="GJS133" s="105"/>
      <c r="GJT133" s="105"/>
      <c r="GJU133" s="105"/>
      <c r="GJV133" s="105"/>
      <c r="GJW133" s="105"/>
      <c r="GJX133" s="105"/>
      <c r="GJY133" s="105"/>
      <c r="GJZ133" s="105"/>
      <c r="GKA133" s="105"/>
      <c r="GKB133" s="105"/>
      <c r="GKC133" s="105"/>
      <c r="GKD133" s="105"/>
      <c r="GKE133" s="105"/>
      <c r="GKF133" s="105"/>
      <c r="GKG133" s="105"/>
      <c r="GKH133" s="105"/>
      <c r="GKI133" s="105"/>
      <c r="GKJ133" s="105"/>
      <c r="GKK133" s="105"/>
      <c r="GKL133" s="105"/>
      <c r="GKM133" s="105"/>
      <c r="GKN133" s="105"/>
      <c r="GKO133" s="105"/>
      <c r="GKP133" s="105"/>
      <c r="GKQ133" s="105"/>
      <c r="GKR133" s="105"/>
      <c r="GKS133" s="105"/>
      <c r="GKT133" s="105"/>
      <c r="GKU133" s="105"/>
      <c r="GKV133" s="105"/>
      <c r="GKW133" s="105"/>
      <c r="GKX133" s="105"/>
      <c r="GKY133" s="105"/>
      <c r="GKZ133" s="105"/>
      <c r="GLA133" s="105"/>
      <c r="GLB133" s="105"/>
      <c r="GLC133" s="105"/>
      <c r="GLD133" s="105"/>
      <c r="GLE133" s="105"/>
      <c r="GLF133" s="105"/>
      <c r="GLG133" s="105"/>
      <c r="GLH133" s="105"/>
      <c r="GLI133" s="105"/>
      <c r="GLJ133" s="105"/>
      <c r="GLK133" s="105"/>
      <c r="GLL133" s="105"/>
      <c r="GLM133" s="105"/>
      <c r="GLN133" s="105"/>
      <c r="GLO133" s="105"/>
      <c r="GLP133" s="105"/>
      <c r="GLQ133" s="105"/>
      <c r="GLR133" s="105"/>
      <c r="GLS133" s="105"/>
      <c r="GLT133" s="105"/>
      <c r="GLU133" s="105"/>
      <c r="GLV133" s="105"/>
      <c r="GLW133" s="105"/>
      <c r="GLX133" s="105"/>
      <c r="GLY133" s="105"/>
      <c r="GLZ133" s="105"/>
      <c r="GMA133" s="105"/>
      <c r="GMB133" s="105"/>
      <c r="GMC133" s="105"/>
      <c r="GMD133" s="105"/>
      <c r="GME133" s="105"/>
      <c r="GMF133" s="105"/>
      <c r="GMG133" s="105"/>
      <c r="GMH133" s="105"/>
      <c r="GMI133" s="105"/>
      <c r="GMJ133" s="105"/>
      <c r="GMK133" s="105"/>
      <c r="GML133" s="105"/>
      <c r="GMM133" s="105"/>
      <c r="GMN133" s="105"/>
      <c r="GMO133" s="105"/>
      <c r="GMP133" s="105"/>
      <c r="GMQ133" s="105"/>
      <c r="GMR133" s="105"/>
      <c r="GMS133" s="105"/>
      <c r="GMT133" s="105"/>
      <c r="GMU133" s="105"/>
      <c r="GMV133" s="105"/>
      <c r="GMW133" s="105"/>
      <c r="GMX133" s="105"/>
      <c r="GMY133" s="105"/>
      <c r="GMZ133" s="105"/>
      <c r="GNA133" s="105"/>
      <c r="GNB133" s="105"/>
      <c r="GNC133" s="105"/>
      <c r="GND133" s="105"/>
      <c r="GNE133" s="105"/>
      <c r="GNF133" s="105"/>
      <c r="GNG133" s="105"/>
      <c r="GNH133" s="105"/>
      <c r="GNI133" s="105"/>
      <c r="GNJ133" s="105"/>
      <c r="GNK133" s="105"/>
      <c r="GNL133" s="105"/>
      <c r="GNM133" s="105"/>
      <c r="GNN133" s="105"/>
      <c r="GNO133" s="105"/>
      <c r="GNP133" s="105"/>
      <c r="GNQ133" s="105"/>
      <c r="GNR133" s="105"/>
      <c r="GNS133" s="105"/>
      <c r="GNT133" s="105"/>
      <c r="GNU133" s="105"/>
      <c r="GNV133" s="105"/>
      <c r="GNW133" s="105"/>
      <c r="GNX133" s="105"/>
      <c r="GNY133" s="105"/>
      <c r="GNZ133" s="105"/>
      <c r="GOA133" s="105"/>
      <c r="GOB133" s="105"/>
      <c r="GOC133" s="105"/>
      <c r="GOD133" s="105"/>
      <c r="GOE133" s="105"/>
      <c r="GOF133" s="105"/>
      <c r="GOG133" s="105"/>
      <c r="GOH133" s="105"/>
      <c r="GOI133" s="105"/>
      <c r="GOJ133" s="105"/>
      <c r="GOK133" s="105"/>
      <c r="GOL133" s="105"/>
      <c r="GOM133" s="105"/>
      <c r="GON133" s="105"/>
      <c r="GOO133" s="105"/>
      <c r="GOP133" s="105"/>
      <c r="GOQ133" s="105"/>
      <c r="GOR133" s="105"/>
      <c r="GOS133" s="105"/>
      <c r="GOT133" s="105"/>
      <c r="GOU133" s="105"/>
      <c r="GOV133" s="105"/>
      <c r="GOW133" s="105"/>
      <c r="GOX133" s="105"/>
      <c r="GOY133" s="105"/>
      <c r="GOZ133" s="105"/>
      <c r="GPA133" s="105"/>
      <c r="GPB133" s="105"/>
      <c r="GPC133" s="105"/>
      <c r="GPD133" s="105"/>
      <c r="GPE133" s="105"/>
      <c r="GPF133" s="105"/>
      <c r="GPG133" s="105"/>
      <c r="GPH133" s="105"/>
      <c r="GPI133" s="105"/>
      <c r="GPJ133" s="105"/>
      <c r="GPK133" s="105"/>
      <c r="GPL133" s="105"/>
      <c r="GPM133" s="105"/>
      <c r="GPN133" s="105"/>
      <c r="GPO133" s="105"/>
      <c r="GPP133" s="105"/>
      <c r="GPQ133" s="105"/>
      <c r="GPR133" s="105"/>
      <c r="GPS133" s="105"/>
      <c r="GPT133" s="105"/>
      <c r="GPU133" s="105"/>
      <c r="GPV133" s="105"/>
      <c r="GPW133" s="105"/>
      <c r="GPX133" s="105"/>
      <c r="GPY133" s="105"/>
      <c r="GPZ133" s="105"/>
      <c r="GQA133" s="105"/>
      <c r="GQB133" s="105"/>
      <c r="GQC133" s="105"/>
      <c r="GQD133" s="105"/>
      <c r="GQE133" s="105"/>
      <c r="GQF133" s="105"/>
      <c r="GQG133" s="105"/>
      <c r="GQH133" s="105"/>
      <c r="GQI133" s="105"/>
      <c r="GQJ133" s="105"/>
      <c r="GQK133" s="105"/>
      <c r="GQL133" s="105"/>
      <c r="GQM133" s="105"/>
      <c r="GQN133" s="105"/>
      <c r="GQO133" s="105"/>
      <c r="GQP133" s="105"/>
      <c r="GQQ133" s="105"/>
      <c r="GQR133" s="105"/>
      <c r="GQS133" s="105"/>
      <c r="GQT133" s="105"/>
      <c r="GQU133" s="105"/>
      <c r="GQV133" s="105"/>
      <c r="GQW133" s="105"/>
      <c r="GQX133" s="105"/>
      <c r="GQY133" s="105"/>
      <c r="GQZ133" s="105"/>
      <c r="GRA133" s="105"/>
      <c r="GRB133" s="105"/>
      <c r="GRC133" s="105"/>
      <c r="GRD133" s="105"/>
      <c r="GRE133" s="105"/>
      <c r="GRF133" s="105"/>
      <c r="GRG133" s="105"/>
      <c r="GRH133" s="105"/>
      <c r="GRI133" s="105"/>
      <c r="GRJ133" s="105"/>
      <c r="GRK133" s="105"/>
      <c r="GRL133" s="105"/>
      <c r="GRM133" s="105"/>
      <c r="GRN133" s="105"/>
      <c r="GRO133" s="105"/>
      <c r="GRP133" s="105"/>
      <c r="GRQ133" s="105"/>
      <c r="GRR133" s="105"/>
      <c r="GRS133" s="105"/>
      <c r="GRT133" s="105"/>
      <c r="GRU133" s="105"/>
      <c r="GRV133" s="105"/>
      <c r="GRW133" s="105"/>
      <c r="GRX133" s="105"/>
      <c r="GRY133" s="105"/>
      <c r="GRZ133" s="105"/>
      <c r="GSA133" s="105"/>
      <c r="GSB133" s="105"/>
      <c r="GSC133" s="105"/>
      <c r="GSD133" s="105"/>
      <c r="GSE133" s="105"/>
      <c r="GSF133" s="105"/>
      <c r="GSG133" s="105"/>
      <c r="GSH133" s="105"/>
      <c r="GSI133" s="105"/>
      <c r="GSJ133" s="105"/>
      <c r="GSK133" s="105"/>
      <c r="GSL133" s="105"/>
      <c r="GSM133" s="105"/>
      <c r="GSN133" s="105"/>
      <c r="GSO133" s="105"/>
      <c r="GSP133" s="105"/>
      <c r="GSQ133" s="105"/>
      <c r="GSR133" s="105"/>
      <c r="GSS133" s="105"/>
      <c r="GST133" s="105"/>
      <c r="GSU133" s="105"/>
      <c r="GSV133" s="105"/>
      <c r="GSW133" s="105"/>
      <c r="GSX133" s="105"/>
      <c r="GSY133" s="105"/>
      <c r="GSZ133" s="105"/>
      <c r="GTA133" s="105"/>
      <c r="GTB133" s="105"/>
      <c r="GTC133" s="105"/>
      <c r="GTD133" s="105"/>
      <c r="GTE133" s="105"/>
      <c r="GTF133" s="105"/>
      <c r="GTG133" s="105"/>
      <c r="GTH133" s="105"/>
      <c r="GTI133" s="105"/>
      <c r="GTJ133" s="105"/>
      <c r="GTK133" s="105"/>
      <c r="GTL133" s="105"/>
      <c r="GTM133" s="105"/>
      <c r="GTN133" s="105"/>
      <c r="GTO133" s="105"/>
      <c r="GTP133" s="105"/>
      <c r="GTQ133" s="105"/>
      <c r="GTR133" s="105"/>
      <c r="GTS133" s="105"/>
      <c r="GTT133" s="105"/>
      <c r="GTU133" s="105"/>
      <c r="GTV133" s="105"/>
      <c r="GTW133" s="105"/>
      <c r="GTX133" s="105"/>
      <c r="GTY133" s="105"/>
      <c r="GTZ133" s="105"/>
      <c r="GUA133" s="105"/>
      <c r="GUB133" s="105"/>
      <c r="GUC133" s="105"/>
      <c r="GUD133" s="105"/>
      <c r="GUE133" s="105"/>
      <c r="GUF133" s="105"/>
      <c r="GUG133" s="105"/>
      <c r="GUH133" s="105"/>
      <c r="GUI133" s="105"/>
      <c r="GUJ133" s="105"/>
      <c r="GUK133" s="105"/>
      <c r="GUL133" s="105"/>
      <c r="GUM133" s="105"/>
      <c r="GUN133" s="105"/>
      <c r="GUO133" s="105"/>
      <c r="GUP133" s="105"/>
      <c r="GUQ133" s="105"/>
      <c r="GUR133" s="105"/>
      <c r="GUS133" s="105"/>
      <c r="GUT133" s="105"/>
      <c r="GUU133" s="105"/>
      <c r="GUV133" s="105"/>
      <c r="GUW133" s="105"/>
      <c r="GUX133" s="105"/>
      <c r="GUY133" s="105"/>
      <c r="GUZ133" s="105"/>
      <c r="GVA133" s="105"/>
      <c r="GVB133" s="105"/>
      <c r="GVC133" s="105"/>
      <c r="GVD133" s="105"/>
      <c r="GVE133" s="105"/>
      <c r="GVF133" s="105"/>
      <c r="GVG133" s="105"/>
      <c r="GVH133" s="105"/>
      <c r="GVI133" s="105"/>
      <c r="GVJ133" s="105"/>
      <c r="GVK133" s="105"/>
      <c r="GVL133" s="105"/>
      <c r="GVM133" s="105"/>
      <c r="GVN133" s="105"/>
      <c r="GVO133" s="105"/>
      <c r="GVP133" s="105"/>
      <c r="GVQ133" s="105"/>
      <c r="GVR133" s="105"/>
      <c r="GVS133" s="105"/>
      <c r="GVT133" s="105"/>
      <c r="GVU133" s="105"/>
      <c r="GVV133" s="105"/>
      <c r="GVW133" s="105"/>
      <c r="GVX133" s="105"/>
      <c r="GVY133" s="105"/>
      <c r="GVZ133" s="105"/>
      <c r="GWA133" s="105"/>
      <c r="GWB133" s="105"/>
      <c r="GWC133" s="105"/>
      <c r="GWD133" s="105"/>
      <c r="GWE133" s="105"/>
      <c r="GWF133" s="105"/>
      <c r="GWG133" s="105"/>
      <c r="GWH133" s="105"/>
      <c r="GWI133" s="105"/>
      <c r="GWJ133" s="105"/>
      <c r="GWK133" s="105"/>
      <c r="GWL133" s="105"/>
      <c r="GWM133" s="105"/>
      <c r="GWN133" s="105"/>
      <c r="GWO133" s="105"/>
      <c r="GWP133" s="105"/>
      <c r="GWQ133" s="105"/>
      <c r="GWR133" s="105"/>
      <c r="GWS133" s="105"/>
      <c r="GWT133" s="105"/>
      <c r="GWU133" s="105"/>
      <c r="GWV133" s="105"/>
      <c r="GWW133" s="105"/>
      <c r="GWX133" s="105"/>
      <c r="GWY133" s="105"/>
      <c r="GWZ133" s="105"/>
      <c r="GXA133" s="105"/>
      <c r="GXB133" s="105"/>
      <c r="GXC133" s="105"/>
      <c r="GXD133" s="105"/>
      <c r="GXE133" s="105"/>
      <c r="GXF133" s="105"/>
      <c r="GXG133" s="105"/>
      <c r="GXH133" s="105"/>
      <c r="GXI133" s="105"/>
      <c r="GXJ133" s="105"/>
      <c r="GXK133" s="105"/>
      <c r="GXL133" s="105"/>
      <c r="GXM133" s="105"/>
      <c r="GXN133" s="105"/>
      <c r="GXO133" s="105"/>
      <c r="GXP133" s="105"/>
      <c r="GXQ133" s="105"/>
      <c r="GXR133" s="105"/>
      <c r="GXS133" s="105"/>
      <c r="GXT133" s="105"/>
      <c r="GXU133" s="105"/>
      <c r="GXV133" s="105"/>
      <c r="GXW133" s="105"/>
      <c r="GXX133" s="105"/>
      <c r="GXY133" s="105"/>
      <c r="GXZ133" s="105"/>
      <c r="GYA133" s="105"/>
      <c r="GYB133" s="105"/>
      <c r="GYC133" s="105"/>
      <c r="GYD133" s="105"/>
      <c r="GYE133" s="105"/>
      <c r="GYF133" s="105"/>
      <c r="GYG133" s="105"/>
      <c r="GYH133" s="105"/>
      <c r="GYI133" s="105"/>
      <c r="GYJ133" s="105"/>
      <c r="GYK133" s="105"/>
      <c r="GYL133" s="105"/>
      <c r="GYM133" s="105"/>
      <c r="GYN133" s="105"/>
      <c r="GYO133" s="105"/>
      <c r="GYP133" s="105"/>
      <c r="GYQ133" s="105"/>
      <c r="GYR133" s="105"/>
      <c r="GYS133" s="105"/>
      <c r="GYT133" s="105"/>
      <c r="GYU133" s="105"/>
      <c r="GYV133" s="105"/>
      <c r="GYW133" s="105"/>
      <c r="GYX133" s="105"/>
      <c r="GYY133" s="105"/>
      <c r="GYZ133" s="105"/>
      <c r="GZA133" s="105"/>
      <c r="GZB133" s="105"/>
      <c r="GZC133" s="105"/>
      <c r="GZD133" s="105"/>
      <c r="GZE133" s="105"/>
      <c r="GZF133" s="105"/>
      <c r="GZG133" s="105"/>
      <c r="GZH133" s="105"/>
      <c r="GZI133" s="105"/>
      <c r="GZJ133" s="105"/>
      <c r="GZK133" s="105"/>
      <c r="GZL133" s="105"/>
      <c r="GZM133" s="105"/>
      <c r="GZN133" s="105"/>
      <c r="GZO133" s="105"/>
      <c r="GZP133" s="105"/>
      <c r="GZQ133" s="105"/>
      <c r="GZR133" s="105"/>
      <c r="GZS133" s="105"/>
      <c r="GZT133" s="105"/>
      <c r="GZU133" s="105"/>
      <c r="GZV133" s="105"/>
      <c r="GZW133" s="105"/>
      <c r="GZX133" s="105"/>
      <c r="GZY133" s="105"/>
      <c r="GZZ133" s="105"/>
      <c r="HAA133" s="105"/>
      <c r="HAB133" s="105"/>
      <c r="HAC133" s="105"/>
      <c r="HAD133" s="105"/>
      <c r="HAE133" s="105"/>
      <c r="HAF133" s="105"/>
      <c r="HAG133" s="105"/>
      <c r="HAH133" s="105"/>
      <c r="HAI133" s="105"/>
      <c r="HAJ133" s="105"/>
      <c r="HAK133" s="105"/>
      <c r="HAL133" s="105"/>
      <c r="HAM133" s="105"/>
      <c r="HAN133" s="105"/>
      <c r="HAO133" s="105"/>
      <c r="HAP133" s="105"/>
      <c r="HAQ133" s="105"/>
      <c r="HAR133" s="105"/>
      <c r="HAS133" s="105"/>
      <c r="HAT133" s="105"/>
      <c r="HAU133" s="105"/>
      <c r="HAV133" s="105"/>
      <c r="HAW133" s="105"/>
      <c r="HAX133" s="105"/>
      <c r="HAY133" s="105"/>
      <c r="HAZ133" s="105"/>
      <c r="HBA133" s="105"/>
      <c r="HBB133" s="105"/>
      <c r="HBC133" s="105"/>
      <c r="HBD133" s="105"/>
      <c r="HBE133" s="105"/>
      <c r="HBF133" s="105"/>
      <c r="HBG133" s="105"/>
      <c r="HBH133" s="105"/>
      <c r="HBI133" s="105"/>
      <c r="HBJ133" s="105"/>
      <c r="HBK133" s="105"/>
      <c r="HBL133" s="105"/>
      <c r="HBM133" s="105"/>
      <c r="HBN133" s="105"/>
      <c r="HBO133" s="105"/>
      <c r="HBP133" s="105"/>
      <c r="HBQ133" s="105"/>
      <c r="HBR133" s="105"/>
      <c r="HBS133" s="105"/>
      <c r="HBT133" s="105"/>
      <c r="HBU133" s="105"/>
      <c r="HBV133" s="105"/>
      <c r="HBW133" s="105"/>
      <c r="HBX133" s="105"/>
      <c r="HBY133" s="105"/>
      <c r="HBZ133" s="105"/>
      <c r="HCA133" s="105"/>
      <c r="HCB133" s="105"/>
      <c r="HCC133" s="105"/>
      <c r="HCD133" s="105"/>
      <c r="HCE133" s="105"/>
      <c r="HCF133" s="105"/>
      <c r="HCG133" s="105"/>
      <c r="HCH133" s="105"/>
      <c r="HCI133" s="105"/>
      <c r="HCJ133" s="105"/>
      <c r="HCK133" s="105"/>
      <c r="HCL133" s="105"/>
      <c r="HCM133" s="105"/>
      <c r="HCN133" s="105"/>
      <c r="HCO133" s="105"/>
      <c r="HCP133" s="105"/>
      <c r="HCQ133" s="105"/>
      <c r="HCR133" s="105"/>
      <c r="HCS133" s="105"/>
      <c r="HCT133" s="105"/>
      <c r="HCU133" s="105"/>
      <c r="HCV133" s="105"/>
      <c r="HCW133" s="105"/>
      <c r="HCX133" s="105"/>
      <c r="HCY133" s="105"/>
      <c r="HCZ133" s="105"/>
      <c r="HDA133" s="105"/>
      <c r="HDB133" s="105"/>
      <c r="HDC133" s="105"/>
      <c r="HDD133" s="105"/>
      <c r="HDE133" s="105"/>
      <c r="HDF133" s="105"/>
      <c r="HDG133" s="105"/>
      <c r="HDH133" s="105"/>
      <c r="HDI133" s="105"/>
      <c r="HDJ133" s="105"/>
      <c r="HDK133" s="105"/>
      <c r="HDL133" s="105"/>
      <c r="HDM133" s="105"/>
      <c r="HDN133" s="105"/>
      <c r="HDO133" s="105"/>
      <c r="HDP133" s="105"/>
      <c r="HDQ133" s="105"/>
      <c r="HDR133" s="105"/>
      <c r="HDS133" s="105"/>
      <c r="HDT133" s="105"/>
      <c r="HDU133" s="105"/>
      <c r="HDV133" s="105"/>
      <c r="HDW133" s="105"/>
      <c r="HDX133" s="105"/>
      <c r="HDY133" s="105"/>
      <c r="HDZ133" s="105"/>
      <c r="HEA133" s="105"/>
      <c r="HEB133" s="105"/>
      <c r="HEC133" s="105"/>
      <c r="HED133" s="105"/>
      <c r="HEE133" s="105"/>
      <c r="HEF133" s="105"/>
      <c r="HEG133" s="105"/>
      <c r="HEH133" s="105"/>
      <c r="HEI133" s="105"/>
      <c r="HEJ133" s="105"/>
      <c r="HEK133" s="105"/>
      <c r="HEL133" s="105"/>
      <c r="HEM133" s="105"/>
      <c r="HEN133" s="105"/>
      <c r="HEO133" s="105"/>
      <c r="HEP133" s="105"/>
      <c r="HEQ133" s="105"/>
      <c r="HER133" s="105"/>
      <c r="HES133" s="105"/>
      <c r="HET133" s="105"/>
      <c r="HEU133" s="105"/>
      <c r="HEV133" s="105"/>
      <c r="HEW133" s="105"/>
      <c r="HEX133" s="105"/>
      <c r="HEY133" s="105"/>
      <c r="HEZ133" s="105"/>
      <c r="HFA133" s="105"/>
      <c r="HFB133" s="105"/>
      <c r="HFC133" s="105"/>
      <c r="HFD133" s="105"/>
      <c r="HFE133" s="105"/>
      <c r="HFF133" s="105"/>
      <c r="HFG133" s="105"/>
      <c r="HFH133" s="105"/>
      <c r="HFI133" s="105"/>
      <c r="HFJ133" s="105"/>
      <c r="HFK133" s="105"/>
      <c r="HFL133" s="105"/>
      <c r="HFM133" s="105"/>
      <c r="HFN133" s="105"/>
      <c r="HFO133" s="105"/>
      <c r="HFP133" s="105"/>
      <c r="HFQ133" s="105"/>
      <c r="HFR133" s="105"/>
      <c r="HFS133" s="105"/>
      <c r="HFT133" s="105"/>
      <c r="HFU133" s="105"/>
      <c r="HFV133" s="105"/>
      <c r="HFW133" s="105"/>
      <c r="HFX133" s="105"/>
      <c r="HFY133" s="105"/>
      <c r="HFZ133" s="105"/>
      <c r="HGA133" s="105"/>
      <c r="HGB133" s="105"/>
      <c r="HGC133" s="105"/>
      <c r="HGD133" s="105"/>
      <c r="HGE133" s="105"/>
      <c r="HGF133" s="105"/>
      <c r="HGG133" s="105"/>
      <c r="HGH133" s="105"/>
      <c r="HGI133" s="105"/>
      <c r="HGJ133" s="105"/>
      <c r="HGK133" s="105"/>
      <c r="HGL133" s="105"/>
      <c r="HGM133" s="105"/>
      <c r="HGN133" s="105"/>
      <c r="HGO133" s="105"/>
      <c r="HGP133" s="105"/>
      <c r="HGQ133" s="105"/>
      <c r="HGR133" s="105"/>
      <c r="HGS133" s="105"/>
      <c r="HGT133" s="105"/>
      <c r="HGU133" s="105"/>
      <c r="HGV133" s="105"/>
      <c r="HGW133" s="105"/>
      <c r="HGX133" s="105"/>
      <c r="HGY133" s="105"/>
      <c r="HGZ133" s="105"/>
      <c r="HHA133" s="105"/>
      <c r="HHB133" s="105"/>
      <c r="HHC133" s="105"/>
      <c r="HHD133" s="105"/>
      <c r="HHE133" s="105"/>
      <c r="HHF133" s="105"/>
      <c r="HHG133" s="105"/>
      <c r="HHH133" s="105"/>
      <c r="HHI133" s="105"/>
      <c r="HHJ133" s="105"/>
      <c r="HHK133" s="105"/>
      <c r="HHL133" s="105"/>
      <c r="HHM133" s="105"/>
      <c r="HHN133" s="105"/>
      <c r="HHO133" s="105"/>
      <c r="HHP133" s="105"/>
      <c r="HHQ133" s="105"/>
      <c r="HHR133" s="105"/>
      <c r="HHS133" s="105"/>
      <c r="HHT133" s="105"/>
      <c r="HHU133" s="105"/>
      <c r="HHV133" s="105"/>
      <c r="HHW133" s="105"/>
      <c r="HHX133" s="105"/>
      <c r="HHY133" s="105"/>
      <c r="HHZ133" s="105"/>
      <c r="HIA133" s="105"/>
      <c r="HIB133" s="105"/>
      <c r="HIC133" s="105"/>
      <c r="HID133" s="105"/>
      <c r="HIE133" s="105"/>
      <c r="HIF133" s="105"/>
      <c r="HIG133" s="105"/>
      <c r="HIH133" s="105"/>
      <c r="HII133" s="105"/>
      <c r="HIJ133" s="105"/>
      <c r="HIK133" s="105"/>
      <c r="HIL133" s="105"/>
      <c r="HIM133" s="105"/>
      <c r="HIN133" s="105"/>
      <c r="HIO133" s="105"/>
      <c r="HIP133" s="105"/>
      <c r="HIQ133" s="105"/>
      <c r="HIR133" s="105"/>
      <c r="HIS133" s="105"/>
      <c r="HIT133" s="105"/>
      <c r="HIU133" s="105"/>
      <c r="HIV133" s="105"/>
      <c r="HIW133" s="105"/>
      <c r="HIX133" s="105"/>
      <c r="HIY133" s="105"/>
      <c r="HIZ133" s="105"/>
      <c r="HJA133" s="105"/>
      <c r="HJB133" s="105"/>
      <c r="HJC133" s="105"/>
      <c r="HJD133" s="105"/>
      <c r="HJE133" s="105"/>
      <c r="HJF133" s="105"/>
      <c r="HJG133" s="105"/>
      <c r="HJH133" s="105"/>
      <c r="HJI133" s="105"/>
      <c r="HJJ133" s="105"/>
      <c r="HJK133" s="105"/>
      <c r="HJL133" s="105"/>
      <c r="HJM133" s="105"/>
      <c r="HJN133" s="105"/>
      <c r="HJO133" s="105"/>
      <c r="HJP133" s="105"/>
      <c r="HJQ133" s="105"/>
      <c r="HJR133" s="105"/>
      <c r="HJS133" s="105"/>
      <c r="HJT133" s="105"/>
      <c r="HJU133" s="105"/>
      <c r="HJV133" s="105"/>
      <c r="HJW133" s="105"/>
      <c r="HJX133" s="105"/>
      <c r="HJY133" s="105"/>
      <c r="HJZ133" s="105"/>
      <c r="HKA133" s="105"/>
      <c r="HKB133" s="105"/>
      <c r="HKC133" s="105"/>
      <c r="HKD133" s="105"/>
      <c r="HKE133" s="105"/>
      <c r="HKF133" s="105"/>
      <c r="HKG133" s="105"/>
      <c r="HKH133" s="105"/>
      <c r="HKI133" s="105"/>
      <c r="HKJ133" s="105"/>
      <c r="HKK133" s="105"/>
      <c r="HKL133" s="105"/>
      <c r="HKM133" s="105"/>
      <c r="HKN133" s="105"/>
      <c r="HKO133" s="105"/>
      <c r="HKP133" s="105"/>
      <c r="HKQ133" s="105"/>
      <c r="HKR133" s="105"/>
      <c r="HKS133" s="105"/>
      <c r="HKT133" s="105"/>
      <c r="HKU133" s="105"/>
      <c r="HKV133" s="105"/>
      <c r="HKW133" s="105"/>
      <c r="HKX133" s="105"/>
      <c r="HKY133" s="105"/>
      <c r="HKZ133" s="105"/>
      <c r="HLA133" s="105"/>
      <c r="HLB133" s="105"/>
      <c r="HLC133" s="105"/>
      <c r="HLD133" s="105"/>
      <c r="HLE133" s="105"/>
      <c r="HLF133" s="105"/>
      <c r="HLG133" s="105"/>
      <c r="HLH133" s="105"/>
      <c r="HLI133" s="105"/>
      <c r="HLJ133" s="105"/>
      <c r="HLK133" s="105"/>
      <c r="HLL133" s="105"/>
      <c r="HLM133" s="105"/>
      <c r="HLN133" s="105"/>
      <c r="HLO133" s="105"/>
      <c r="HLP133" s="105"/>
      <c r="HLQ133" s="105"/>
      <c r="HLR133" s="105"/>
      <c r="HLS133" s="105"/>
      <c r="HLT133" s="105"/>
      <c r="HLU133" s="105"/>
      <c r="HLV133" s="105"/>
      <c r="HLW133" s="105"/>
      <c r="HLX133" s="105"/>
      <c r="HLY133" s="105"/>
      <c r="HLZ133" s="105"/>
      <c r="HMA133" s="105"/>
      <c r="HMB133" s="105"/>
      <c r="HMC133" s="105"/>
      <c r="HMD133" s="105"/>
      <c r="HME133" s="105"/>
      <c r="HMF133" s="105"/>
      <c r="HMG133" s="105"/>
      <c r="HMH133" s="105"/>
      <c r="HMI133" s="105"/>
      <c r="HMJ133" s="105"/>
      <c r="HMK133" s="105"/>
      <c r="HML133" s="105"/>
      <c r="HMM133" s="105"/>
      <c r="HMN133" s="105"/>
      <c r="HMO133" s="105"/>
      <c r="HMP133" s="105"/>
      <c r="HMQ133" s="105"/>
      <c r="HMR133" s="105"/>
      <c r="HMS133" s="105"/>
      <c r="HMT133" s="105"/>
      <c r="HMU133" s="105"/>
      <c r="HMV133" s="105"/>
      <c r="HMW133" s="105"/>
      <c r="HMX133" s="105"/>
      <c r="HMY133" s="105"/>
      <c r="HMZ133" s="105"/>
      <c r="HNA133" s="105"/>
      <c r="HNB133" s="105"/>
      <c r="HNC133" s="105"/>
      <c r="HND133" s="105"/>
      <c r="HNE133" s="105"/>
      <c r="HNF133" s="105"/>
      <c r="HNG133" s="105"/>
      <c r="HNH133" s="105"/>
      <c r="HNI133" s="105"/>
      <c r="HNJ133" s="105"/>
      <c r="HNK133" s="105"/>
      <c r="HNL133" s="105"/>
      <c r="HNM133" s="105"/>
      <c r="HNN133" s="105"/>
      <c r="HNO133" s="105"/>
      <c r="HNP133" s="105"/>
      <c r="HNQ133" s="105"/>
      <c r="HNR133" s="105"/>
      <c r="HNS133" s="105"/>
      <c r="HNT133" s="105"/>
      <c r="HNU133" s="105"/>
      <c r="HNV133" s="105"/>
      <c r="HNW133" s="105"/>
      <c r="HNX133" s="105"/>
      <c r="HNY133" s="105"/>
      <c r="HNZ133" s="105"/>
      <c r="HOA133" s="105"/>
      <c r="HOB133" s="105"/>
      <c r="HOC133" s="105"/>
      <c r="HOD133" s="105"/>
      <c r="HOE133" s="105"/>
      <c r="HOF133" s="105"/>
      <c r="HOG133" s="105"/>
      <c r="HOH133" s="105"/>
      <c r="HOI133" s="105"/>
      <c r="HOJ133" s="105"/>
      <c r="HOK133" s="105"/>
      <c r="HOL133" s="105"/>
      <c r="HOM133" s="105"/>
      <c r="HON133" s="105"/>
      <c r="HOO133" s="105"/>
      <c r="HOP133" s="105"/>
      <c r="HOQ133" s="105"/>
      <c r="HOR133" s="105"/>
      <c r="HOS133" s="105"/>
      <c r="HOT133" s="105"/>
      <c r="HOU133" s="105"/>
      <c r="HOV133" s="105"/>
      <c r="HOW133" s="105"/>
      <c r="HOX133" s="105"/>
      <c r="HOY133" s="105"/>
      <c r="HOZ133" s="105"/>
      <c r="HPA133" s="105"/>
      <c r="HPB133" s="105"/>
      <c r="HPC133" s="105"/>
      <c r="HPD133" s="105"/>
      <c r="HPE133" s="105"/>
      <c r="HPF133" s="105"/>
      <c r="HPG133" s="105"/>
      <c r="HPH133" s="105"/>
      <c r="HPI133" s="105"/>
      <c r="HPJ133" s="105"/>
      <c r="HPK133" s="105"/>
      <c r="HPL133" s="105"/>
      <c r="HPM133" s="105"/>
      <c r="HPN133" s="105"/>
      <c r="HPO133" s="105"/>
      <c r="HPP133" s="105"/>
      <c r="HPQ133" s="105"/>
      <c r="HPR133" s="105"/>
      <c r="HPS133" s="105"/>
      <c r="HPT133" s="105"/>
      <c r="HPU133" s="105"/>
      <c r="HPV133" s="105"/>
      <c r="HPW133" s="105"/>
      <c r="HPX133" s="105"/>
      <c r="HPY133" s="105"/>
      <c r="HPZ133" s="105"/>
      <c r="HQA133" s="105"/>
      <c r="HQB133" s="105"/>
      <c r="HQC133" s="105"/>
      <c r="HQD133" s="105"/>
      <c r="HQE133" s="105"/>
      <c r="HQF133" s="105"/>
      <c r="HQG133" s="105"/>
      <c r="HQH133" s="105"/>
      <c r="HQI133" s="105"/>
      <c r="HQJ133" s="105"/>
      <c r="HQK133" s="105"/>
      <c r="HQL133" s="105"/>
      <c r="HQM133" s="105"/>
      <c r="HQN133" s="105"/>
      <c r="HQO133" s="105"/>
      <c r="HQP133" s="105"/>
      <c r="HQQ133" s="105"/>
      <c r="HQR133" s="105"/>
      <c r="HQS133" s="105"/>
      <c r="HQT133" s="105"/>
      <c r="HQU133" s="105"/>
      <c r="HQV133" s="105"/>
      <c r="HQW133" s="105"/>
      <c r="HQX133" s="105"/>
      <c r="HQY133" s="105"/>
      <c r="HQZ133" s="105"/>
      <c r="HRA133" s="105"/>
      <c r="HRB133" s="105"/>
      <c r="HRC133" s="105"/>
      <c r="HRD133" s="105"/>
      <c r="HRE133" s="105"/>
      <c r="HRF133" s="105"/>
      <c r="HRG133" s="105"/>
      <c r="HRH133" s="105"/>
      <c r="HRI133" s="105"/>
      <c r="HRJ133" s="105"/>
      <c r="HRK133" s="105"/>
      <c r="HRL133" s="105"/>
      <c r="HRM133" s="105"/>
      <c r="HRN133" s="105"/>
      <c r="HRO133" s="105"/>
      <c r="HRP133" s="105"/>
      <c r="HRQ133" s="105"/>
      <c r="HRR133" s="105"/>
      <c r="HRS133" s="105"/>
      <c r="HRT133" s="105"/>
      <c r="HRU133" s="105"/>
      <c r="HRV133" s="105"/>
      <c r="HRW133" s="105"/>
      <c r="HRX133" s="105"/>
      <c r="HRY133" s="105"/>
      <c r="HRZ133" s="105"/>
      <c r="HSA133" s="105"/>
      <c r="HSB133" s="105"/>
      <c r="HSC133" s="105"/>
      <c r="HSD133" s="105"/>
      <c r="HSE133" s="105"/>
      <c r="HSF133" s="105"/>
      <c r="HSG133" s="105"/>
      <c r="HSH133" s="105"/>
      <c r="HSI133" s="105"/>
      <c r="HSJ133" s="105"/>
      <c r="HSK133" s="105"/>
      <c r="HSL133" s="105"/>
      <c r="HSM133" s="105"/>
      <c r="HSN133" s="105"/>
      <c r="HSO133" s="105"/>
      <c r="HSP133" s="105"/>
      <c r="HSQ133" s="105"/>
      <c r="HSR133" s="105"/>
      <c r="HSS133" s="105"/>
      <c r="HST133" s="105"/>
      <c r="HSU133" s="105"/>
      <c r="HSV133" s="105"/>
      <c r="HSW133" s="105"/>
      <c r="HSX133" s="105"/>
      <c r="HSY133" s="105"/>
      <c r="HSZ133" s="105"/>
      <c r="HTA133" s="105"/>
      <c r="HTB133" s="105"/>
      <c r="HTC133" s="105"/>
      <c r="HTD133" s="105"/>
      <c r="HTE133" s="105"/>
      <c r="HTF133" s="105"/>
      <c r="HTG133" s="105"/>
      <c r="HTH133" s="105"/>
      <c r="HTI133" s="105"/>
      <c r="HTJ133" s="105"/>
      <c r="HTK133" s="105"/>
      <c r="HTL133" s="105"/>
      <c r="HTM133" s="105"/>
      <c r="HTN133" s="105"/>
      <c r="HTO133" s="105"/>
      <c r="HTP133" s="105"/>
      <c r="HTQ133" s="105"/>
      <c r="HTR133" s="105"/>
      <c r="HTS133" s="105"/>
      <c r="HTT133" s="105"/>
      <c r="HTU133" s="105"/>
      <c r="HTV133" s="105"/>
      <c r="HTW133" s="105"/>
      <c r="HTX133" s="105"/>
      <c r="HTY133" s="105"/>
      <c r="HTZ133" s="105"/>
      <c r="HUA133" s="105"/>
      <c r="HUB133" s="105"/>
      <c r="HUC133" s="105"/>
      <c r="HUD133" s="105"/>
      <c r="HUE133" s="105"/>
      <c r="HUF133" s="105"/>
      <c r="HUG133" s="105"/>
      <c r="HUH133" s="105"/>
      <c r="HUI133" s="105"/>
      <c r="HUJ133" s="105"/>
      <c r="HUK133" s="105"/>
      <c r="HUL133" s="105"/>
      <c r="HUM133" s="105"/>
      <c r="HUN133" s="105"/>
      <c r="HUO133" s="105"/>
      <c r="HUP133" s="105"/>
      <c r="HUQ133" s="105"/>
      <c r="HUR133" s="105"/>
      <c r="HUS133" s="105"/>
      <c r="HUT133" s="105"/>
      <c r="HUU133" s="105"/>
      <c r="HUV133" s="105"/>
      <c r="HUW133" s="105"/>
      <c r="HUX133" s="105"/>
      <c r="HUY133" s="105"/>
      <c r="HUZ133" s="105"/>
      <c r="HVA133" s="105"/>
      <c r="HVB133" s="105"/>
      <c r="HVC133" s="105"/>
      <c r="HVD133" s="105"/>
      <c r="HVE133" s="105"/>
      <c r="HVF133" s="105"/>
      <c r="HVG133" s="105"/>
      <c r="HVH133" s="105"/>
      <c r="HVI133" s="105"/>
      <c r="HVJ133" s="105"/>
      <c r="HVK133" s="105"/>
      <c r="HVL133" s="105"/>
      <c r="HVM133" s="105"/>
      <c r="HVN133" s="105"/>
      <c r="HVO133" s="105"/>
      <c r="HVP133" s="105"/>
      <c r="HVQ133" s="105"/>
      <c r="HVR133" s="105"/>
      <c r="HVS133" s="105"/>
      <c r="HVT133" s="105"/>
      <c r="HVU133" s="105"/>
      <c r="HVV133" s="105"/>
      <c r="HVW133" s="105"/>
      <c r="HVX133" s="105"/>
      <c r="HVY133" s="105"/>
      <c r="HVZ133" s="105"/>
      <c r="HWA133" s="105"/>
      <c r="HWB133" s="105"/>
      <c r="HWC133" s="105"/>
      <c r="HWD133" s="105"/>
      <c r="HWE133" s="105"/>
      <c r="HWF133" s="105"/>
      <c r="HWG133" s="105"/>
      <c r="HWH133" s="105"/>
      <c r="HWI133" s="105"/>
      <c r="HWJ133" s="105"/>
      <c r="HWK133" s="105"/>
      <c r="HWL133" s="105"/>
      <c r="HWM133" s="105"/>
      <c r="HWN133" s="105"/>
      <c r="HWO133" s="105"/>
      <c r="HWP133" s="105"/>
      <c r="HWQ133" s="105"/>
      <c r="HWR133" s="105"/>
      <c r="HWS133" s="105"/>
      <c r="HWT133" s="105"/>
      <c r="HWU133" s="105"/>
      <c r="HWV133" s="105"/>
      <c r="HWW133" s="105"/>
      <c r="HWX133" s="105"/>
      <c r="HWY133" s="105"/>
      <c r="HWZ133" s="105"/>
      <c r="HXA133" s="105"/>
      <c r="HXB133" s="105"/>
      <c r="HXC133" s="105"/>
      <c r="HXD133" s="105"/>
      <c r="HXE133" s="105"/>
      <c r="HXF133" s="105"/>
      <c r="HXG133" s="105"/>
      <c r="HXH133" s="105"/>
      <c r="HXI133" s="105"/>
      <c r="HXJ133" s="105"/>
      <c r="HXK133" s="105"/>
      <c r="HXL133" s="105"/>
      <c r="HXM133" s="105"/>
      <c r="HXN133" s="105"/>
      <c r="HXO133" s="105"/>
      <c r="HXP133" s="105"/>
      <c r="HXQ133" s="105"/>
      <c r="HXR133" s="105"/>
      <c r="HXS133" s="105"/>
      <c r="HXT133" s="105"/>
      <c r="HXU133" s="105"/>
      <c r="HXV133" s="105"/>
      <c r="HXW133" s="105"/>
      <c r="HXX133" s="105"/>
      <c r="HXY133" s="105"/>
      <c r="HXZ133" s="105"/>
      <c r="HYA133" s="105"/>
      <c r="HYB133" s="105"/>
      <c r="HYC133" s="105"/>
      <c r="HYD133" s="105"/>
      <c r="HYE133" s="105"/>
      <c r="HYF133" s="105"/>
      <c r="HYG133" s="105"/>
      <c r="HYH133" s="105"/>
      <c r="HYI133" s="105"/>
      <c r="HYJ133" s="105"/>
      <c r="HYK133" s="105"/>
      <c r="HYL133" s="105"/>
      <c r="HYM133" s="105"/>
      <c r="HYN133" s="105"/>
      <c r="HYO133" s="105"/>
      <c r="HYP133" s="105"/>
      <c r="HYQ133" s="105"/>
      <c r="HYR133" s="105"/>
      <c r="HYS133" s="105"/>
      <c r="HYT133" s="105"/>
      <c r="HYU133" s="105"/>
      <c r="HYV133" s="105"/>
      <c r="HYW133" s="105"/>
      <c r="HYX133" s="105"/>
      <c r="HYY133" s="105"/>
      <c r="HYZ133" s="105"/>
      <c r="HZA133" s="105"/>
      <c r="HZB133" s="105"/>
      <c r="HZC133" s="105"/>
      <c r="HZD133" s="105"/>
      <c r="HZE133" s="105"/>
      <c r="HZF133" s="105"/>
      <c r="HZG133" s="105"/>
      <c r="HZH133" s="105"/>
      <c r="HZI133" s="105"/>
      <c r="HZJ133" s="105"/>
      <c r="HZK133" s="105"/>
      <c r="HZL133" s="105"/>
      <c r="HZM133" s="105"/>
      <c r="HZN133" s="105"/>
      <c r="HZO133" s="105"/>
      <c r="HZP133" s="105"/>
      <c r="HZQ133" s="105"/>
      <c r="HZR133" s="105"/>
      <c r="HZS133" s="105"/>
      <c r="HZT133" s="105"/>
      <c r="HZU133" s="105"/>
      <c r="HZV133" s="105"/>
      <c r="HZW133" s="105"/>
      <c r="HZX133" s="105"/>
      <c r="HZY133" s="105"/>
      <c r="HZZ133" s="105"/>
      <c r="IAA133" s="105"/>
      <c r="IAB133" s="105"/>
      <c r="IAC133" s="105"/>
      <c r="IAD133" s="105"/>
      <c r="IAE133" s="105"/>
      <c r="IAF133" s="105"/>
      <c r="IAG133" s="105"/>
      <c r="IAH133" s="105"/>
      <c r="IAI133" s="105"/>
      <c r="IAJ133" s="105"/>
      <c r="IAK133" s="105"/>
      <c r="IAL133" s="105"/>
      <c r="IAM133" s="105"/>
      <c r="IAN133" s="105"/>
      <c r="IAO133" s="105"/>
      <c r="IAP133" s="105"/>
      <c r="IAQ133" s="105"/>
      <c r="IAR133" s="105"/>
      <c r="IAS133" s="105"/>
      <c r="IAT133" s="105"/>
      <c r="IAU133" s="105"/>
      <c r="IAV133" s="105"/>
      <c r="IAW133" s="105"/>
      <c r="IAX133" s="105"/>
      <c r="IAY133" s="105"/>
      <c r="IAZ133" s="105"/>
      <c r="IBA133" s="105"/>
      <c r="IBB133" s="105"/>
      <c r="IBC133" s="105"/>
      <c r="IBD133" s="105"/>
      <c r="IBE133" s="105"/>
      <c r="IBF133" s="105"/>
      <c r="IBG133" s="105"/>
      <c r="IBH133" s="105"/>
      <c r="IBI133" s="105"/>
      <c r="IBJ133" s="105"/>
      <c r="IBK133" s="105"/>
      <c r="IBL133" s="105"/>
      <c r="IBM133" s="105"/>
      <c r="IBN133" s="105"/>
      <c r="IBO133" s="105"/>
      <c r="IBP133" s="105"/>
      <c r="IBQ133" s="105"/>
      <c r="IBR133" s="105"/>
      <c r="IBS133" s="105"/>
      <c r="IBT133" s="105"/>
      <c r="IBU133" s="105"/>
      <c r="IBV133" s="105"/>
      <c r="IBW133" s="105"/>
      <c r="IBX133" s="105"/>
      <c r="IBY133" s="105"/>
      <c r="IBZ133" s="105"/>
      <c r="ICA133" s="105"/>
      <c r="ICB133" s="105"/>
      <c r="ICC133" s="105"/>
      <c r="ICD133" s="105"/>
      <c r="ICE133" s="105"/>
      <c r="ICF133" s="105"/>
      <c r="ICG133" s="105"/>
      <c r="ICH133" s="105"/>
      <c r="ICI133" s="105"/>
      <c r="ICJ133" s="105"/>
      <c r="ICK133" s="105"/>
      <c r="ICL133" s="105"/>
      <c r="ICM133" s="105"/>
      <c r="ICN133" s="105"/>
      <c r="ICO133" s="105"/>
      <c r="ICP133" s="105"/>
      <c r="ICQ133" s="105"/>
      <c r="ICR133" s="105"/>
      <c r="ICS133" s="105"/>
      <c r="ICT133" s="105"/>
      <c r="ICU133" s="105"/>
      <c r="ICV133" s="105"/>
      <c r="ICW133" s="105"/>
      <c r="ICX133" s="105"/>
      <c r="ICY133" s="105"/>
      <c r="ICZ133" s="105"/>
      <c r="IDA133" s="105"/>
      <c r="IDB133" s="105"/>
      <c r="IDC133" s="105"/>
      <c r="IDD133" s="105"/>
      <c r="IDE133" s="105"/>
      <c r="IDF133" s="105"/>
      <c r="IDG133" s="105"/>
      <c r="IDH133" s="105"/>
      <c r="IDI133" s="105"/>
      <c r="IDJ133" s="105"/>
      <c r="IDK133" s="105"/>
      <c r="IDL133" s="105"/>
      <c r="IDM133" s="105"/>
      <c r="IDN133" s="105"/>
      <c r="IDO133" s="105"/>
      <c r="IDP133" s="105"/>
      <c r="IDQ133" s="105"/>
      <c r="IDR133" s="105"/>
      <c r="IDS133" s="105"/>
      <c r="IDT133" s="105"/>
      <c r="IDU133" s="105"/>
      <c r="IDV133" s="105"/>
      <c r="IDW133" s="105"/>
      <c r="IDX133" s="105"/>
      <c r="IDY133" s="105"/>
      <c r="IDZ133" s="105"/>
      <c r="IEA133" s="105"/>
      <c r="IEB133" s="105"/>
      <c r="IEC133" s="105"/>
      <c r="IED133" s="105"/>
      <c r="IEE133" s="105"/>
      <c r="IEF133" s="105"/>
      <c r="IEG133" s="105"/>
      <c r="IEH133" s="105"/>
      <c r="IEI133" s="105"/>
      <c r="IEJ133" s="105"/>
      <c r="IEK133" s="105"/>
      <c r="IEL133" s="105"/>
      <c r="IEM133" s="105"/>
      <c r="IEN133" s="105"/>
      <c r="IEO133" s="105"/>
      <c r="IEP133" s="105"/>
      <c r="IEQ133" s="105"/>
      <c r="IER133" s="105"/>
      <c r="IES133" s="105"/>
      <c r="IET133" s="105"/>
      <c r="IEU133" s="105"/>
      <c r="IEV133" s="105"/>
      <c r="IEW133" s="105"/>
      <c r="IEX133" s="105"/>
      <c r="IEY133" s="105"/>
      <c r="IEZ133" s="105"/>
      <c r="IFA133" s="105"/>
      <c r="IFB133" s="105"/>
      <c r="IFC133" s="105"/>
      <c r="IFD133" s="105"/>
      <c r="IFE133" s="105"/>
      <c r="IFF133" s="105"/>
      <c r="IFG133" s="105"/>
      <c r="IFH133" s="105"/>
      <c r="IFI133" s="105"/>
      <c r="IFJ133" s="105"/>
      <c r="IFK133" s="105"/>
      <c r="IFL133" s="105"/>
      <c r="IFM133" s="105"/>
      <c r="IFN133" s="105"/>
      <c r="IFO133" s="105"/>
      <c r="IFP133" s="105"/>
      <c r="IFQ133" s="105"/>
      <c r="IFR133" s="105"/>
      <c r="IFS133" s="105"/>
      <c r="IFT133" s="105"/>
      <c r="IFU133" s="105"/>
      <c r="IFV133" s="105"/>
      <c r="IFW133" s="105"/>
      <c r="IFX133" s="105"/>
      <c r="IFY133" s="105"/>
      <c r="IFZ133" s="105"/>
      <c r="IGA133" s="105"/>
      <c r="IGB133" s="105"/>
      <c r="IGC133" s="105"/>
      <c r="IGD133" s="105"/>
      <c r="IGE133" s="105"/>
      <c r="IGF133" s="105"/>
      <c r="IGG133" s="105"/>
      <c r="IGH133" s="105"/>
      <c r="IGI133" s="105"/>
      <c r="IGJ133" s="105"/>
      <c r="IGK133" s="105"/>
      <c r="IGL133" s="105"/>
      <c r="IGM133" s="105"/>
      <c r="IGN133" s="105"/>
      <c r="IGO133" s="105"/>
      <c r="IGP133" s="105"/>
      <c r="IGQ133" s="105"/>
      <c r="IGR133" s="105"/>
      <c r="IGS133" s="105"/>
      <c r="IGT133" s="105"/>
      <c r="IGU133" s="105"/>
      <c r="IGV133" s="105"/>
      <c r="IGW133" s="105"/>
      <c r="IGX133" s="105"/>
      <c r="IGY133" s="105"/>
      <c r="IGZ133" s="105"/>
      <c r="IHA133" s="105"/>
      <c r="IHB133" s="105"/>
      <c r="IHC133" s="105"/>
      <c r="IHD133" s="105"/>
      <c r="IHE133" s="105"/>
      <c r="IHF133" s="105"/>
      <c r="IHG133" s="105"/>
      <c r="IHH133" s="105"/>
      <c r="IHI133" s="105"/>
      <c r="IHJ133" s="105"/>
      <c r="IHK133" s="105"/>
      <c r="IHL133" s="105"/>
      <c r="IHM133" s="105"/>
      <c r="IHN133" s="105"/>
      <c r="IHO133" s="105"/>
      <c r="IHP133" s="105"/>
      <c r="IHQ133" s="105"/>
      <c r="IHR133" s="105"/>
      <c r="IHS133" s="105"/>
      <c r="IHT133" s="105"/>
      <c r="IHU133" s="105"/>
      <c r="IHV133" s="105"/>
      <c r="IHW133" s="105"/>
      <c r="IHX133" s="105"/>
      <c r="IHY133" s="105"/>
      <c r="IHZ133" s="105"/>
      <c r="IIA133" s="105"/>
      <c r="IIB133" s="105"/>
      <c r="IIC133" s="105"/>
      <c r="IID133" s="105"/>
      <c r="IIE133" s="105"/>
      <c r="IIF133" s="105"/>
      <c r="IIG133" s="105"/>
      <c r="IIH133" s="105"/>
      <c r="III133" s="105"/>
      <c r="IIJ133" s="105"/>
      <c r="IIK133" s="105"/>
      <c r="IIL133" s="105"/>
      <c r="IIM133" s="105"/>
      <c r="IIN133" s="105"/>
      <c r="IIO133" s="105"/>
      <c r="IIP133" s="105"/>
      <c r="IIQ133" s="105"/>
      <c r="IIR133" s="105"/>
      <c r="IIS133" s="105"/>
      <c r="IIT133" s="105"/>
      <c r="IIU133" s="105"/>
      <c r="IIV133" s="105"/>
      <c r="IIW133" s="105"/>
      <c r="IIX133" s="105"/>
      <c r="IIY133" s="105"/>
      <c r="IIZ133" s="105"/>
      <c r="IJA133" s="105"/>
      <c r="IJB133" s="105"/>
      <c r="IJC133" s="105"/>
      <c r="IJD133" s="105"/>
      <c r="IJE133" s="105"/>
      <c r="IJF133" s="105"/>
      <c r="IJG133" s="105"/>
      <c r="IJH133" s="105"/>
      <c r="IJI133" s="105"/>
      <c r="IJJ133" s="105"/>
      <c r="IJK133" s="105"/>
      <c r="IJL133" s="105"/>
      <c r="IJM133" s="105"/>
      <c r="IJN133" s="105"/>
      <c r="IJO133" s="105"/>
      <c r="IJP133" s="105"/>
      <c r="IJQ133" s="105"/>
      <c r="IJR133" s="105"/>
      <c r="IJS133" s="105"/>
      <c r="IJT133" s="105"/>
      <c r="IJU133" s="105"/>
      <c r="IJV133" s="105"/>
      <c r="IJW133" s="105"/>
      <c r="IJX133" s="105"/>
      <c r="IJY133" s="105"/>
      <c r="IJZ133" s="105"/>
      <c r="IKA133" s="105"/>
      <c r="IKB133" s="105"/>
      <c r="IKC133" s="105"/>
      <c r="IKD133" s="105"/>
      <c r="IKE133" s="105"/>
      <c r="IKF133" s="105"/>
      <c r="IKG133" s="105"/>
      <c r="IKH133" s="105"/>
      <c r="IKI133" s="105"/>
      <c r="IKJ133" s="105"/>
      <c r="IKK133" s="105"/>
      <c r="IKL133" s="105"/>
      <c r="IKM133" s="105"/>
      <c r="IKN133" s="105"/>
      <c r="IKO133" s="105"/>
      <c r="IKP133" s="105"/>
      <c r="IKQ133" s="105"/>
      <c r="IKR133" s="105"/>
      <c r="IKS133" s="105"/>
      <c r="IKT133" s="105"/>
      <c r="IKU133" s="105"/>
      <c r="IKV133" s="105"/>
      <c r="IKW133" s="105"/>
      <c r="IKX133" s="105"/>
      <c r="IKY133" s="105"/>
      <c r="IKZ133" s="105"/>
      <c r="ILA133" s="105"/>
      <c r="ILB133" s="105"/>
      <c r="ILC133" s="105"/>
      <c r="ILD133" s="105"/>
      <c r="ILE133" s="105"/>
      <c r="ILF133" s="105"/>
      <c r="ILG133" s="105"/>
      <c r="ILH133" s="105"/>
      <c r="ILI133" s="105"/>
      <c r="ILJ133" s="105"/>
      <c r="ILK133" s="105"/>
      <c r="ILL133" s="105"/>
      <c r="ILM133" s="105"/>
      <c r="ILN133" s="105"/>
      <c r="ILO133" s="105"/>
      <c r="ILP133" s="105"/>
      <c r="ILQ133" s="105"/>
      <c r="ILR133" s="105"/>
      <c r="ILS133" s="105"/>
      <c r="ILT133" s="105"/>
      <c r="ILU133" s="105"/>
      <c r="ILV133" s="105"/>
      <c r="ILW133" s="105"/>
      <c r="ILX133" s="105"/>
      <c r="ILY133" s="105"/>
      <c r="ILZ133" s="105"/>
      <c r="IMA133" s="105"/>
      <c r="IMB133" s="105"/>
      <c r="IMC133" s="105"/>
      <c r="IMD133" s="105"/>
      <c r="IME133" s="105"/>
      <c r="IMF133" s="105"/>
      <c r="IMG133" s="105"/>
      <c r="IMH133" s="105"/>
      <c r="IMI133" s="105"/>
      <c r="IMJ133" s="105"/>
      <c r="IMK133" s="105"/>
      <c r="IML133" s="105"/>
      <c r="IMM133" s="105"/>
      <c r="IMN133" s="105"/>
      <c r="IMO133" s="105"/>
      <c r="IMP133" s="105"/>
      <c r="IMQ133" s="105"/>
      <c r="IMR133" s="105"/>
      <c r="IMS133" s="105"/>
      <c r="IMT133" s="105"/>
      <c r="IMU133" s="105"/>
      <c r="IMV133" s="105"/>
      <c r="IMW133" s="105"/>
      <c r="IMX133" s="105"/>
      <c r="IMY133" s="105"/>
      <c r="IMZ133" s="105"/>
      <c r="INA133" s="105"/>
      <c r="INB133" s="105"/>
      <c r="INC133" s="105"/>
      <c r="IND133" s="105"/>
      <c r="INE133" s="105"/>
      <c r="INF133" s="105"/>
      <c r="ING133" s="105"/>
      <c r="INH133" s="105"/>
      <c r="INI133" s="105"/>
      <c r="INJ133" s="105"/>
      <c r="INK133" s="105"/>
      <c r="INL133" s="105"/>
      <c r="INM133" s="105"/>
      <c r="INN133" s="105"/>
      <c r="INO133" s="105"/>
      <c r="INP133" s="105"/>
      <c r="INQ133" s="105"/>
      <c r="INR133" s="105"/>
      <c r="INS133" s="105"/>
      <c r="INT133" s="105"/>
      <c r="INU133" s="105"/>
      <c r="INV133" s="105"/>
      <c r="INW133" s="105"/>
      <c r="INX133" s="105"/>
      <c r="INY133" s="105"/>
      <c r="INZ133" s="105"/>
      <c r="IOA133" s="105"/>
      <c r="IOB133" s="105"/>
      <c r="IOC133" s="105"/>
      <c r="IOD133" s="105"/>
      <c r="IOE133" s="105"/>
      <c r="IOF133" s="105"/>
      <c r="IOG133" s="105"/>
      <c r="IOH133" s="105"/>
      <c r="IOI133" s="105"/>
      <c r="IOJ133" s="105"/>
      <c r="IOK133" s="105"/>
      <c r="IOL133" s="105"/>
      <c r="IOM133" s="105"/>
      <c r="ION133" s="105"/>
      <c r="IOO133" s="105"/>
      <c r="IOP133" s="105"/>
      <c r="IOQ133" s="105"/>
      <c r="IOR133" s="105"/>
      <c r="IOS133" s="105"/>
      <c r="IOT133" s="105"/>
      <c r="IOU133" s="105"/>
      <c r="IOV133" s="105"/>
      <c r="IOW133" s="105"/>
      <c r="IOX133" s="105"/>
      <c r="IOY133" s="105"/>
      <c r="IOZ133" s="105"/>
      <c r="IPA133" s="105"/>
      <c r="IPB133" s="105"/>
      <c r="IPC133" s="105"/>
      <c r="IPD133" s="105"/>
      <c r="IPE133" s="105"/>
      <c r="IPF133" s="105"/>
      <c r="IPG133" s="105"/>
      <c r="IPH133" s="105"/>
      <c r="IPI133" s="105"/>
      <c r="IPJ133" s="105"/>
      <c r="IPK133" s="105"/>
      <c r="IPL133" s="105"/>
      <c r="IPM133" s="105"/>
      <c r="IPN133" s="105"/>
      <c r="IPO133" s="105"/>
      <c r="IPP133" s="105"/>
      <c r="IPQ133" s="105"/>
      <c r="IPR133" s="105"/>
      <c r="IPS133" s="105"/>
      <c r="IPT133" s="105"/>
      <c r="IPU133" s="105"/>
      <c r="IPV133" s="105"/>
      <c r="IPW133" s="105"/>
      <c r="IPX133" s="105"/>
      <c r="IPY133" s="105"/>
      <c r="IPZ133" s="105"/>
      <c r="IQA133" s="105"/>
      <c r="IQB133" s="105"/>
      <c r="IQC133" s="105"/>
      <c r="IQD133" s="105"/>
      <c r="IQE133" s="105"/>
      <c r="IQF133" s="105"/>
      <c r="IQG133" s="105"/>
      <c r="IQH133" s="105"/>
      <c r="IQI133" s="105"/>
      <c r="IQJ133" s="105"/>
      <c r="IQK133" s="105"/>
      <c r="IQL133" s="105"/>
      <c r="IQM133" s="105"/>
      <c r="IQN133" s="105"/>
      <c r="IQO133" s="105"/>
      <c r="IQP133" s="105"/>
      <c r="IQQ133" s="105"/>
      <c r="IQR133" s="105"/>
      <c r="IQS133" s="105"/>
      <c r="IQT133" s="105"/>
      <c r="IQU133" s="105"/>
      <c r="IQV133" s="105"/>
      <c r="IQW133" s="105"/>
      <c r="IQX133" s="105"/>
      <c r="IQY133" s="105"/>
      <c r="IQZ133" s="105"/>
      <c r="IRA133" s="105"/>
      <c r="IRB133" s="105"/>
      <c r="IRC133" s="105"/>
      <c r="IRD133" s="105"/>
      <c r="IRE133" s="105"/>
      <c r="IRF133" s="105"/>
      <c r="IRG133" s="105"/>
      <c r="IRH133" s="105"/>
      <c r="IRI133" s="105"/>
      <c r="IRJ133" s="105"/>
      <c r="IRK133" s="105"/>
      <c r="IRL133" s="105"/>
      <c r="IRM133" s="105"/>
      <c r="IRN133" s="105"/>
      <c r="IRO133" s="105"/>
      <c r="IRP133" s="105"/>
      <c r="IRQ133" s="105"/>
      <c r="IRR133" s="105"/>
      <c r="IRS133" s="105"/>
      <c r="IRT133" s="105"/>
      <c r="IRU133" s="105"/>
      <c r="IRV133" s="105"/>
      <c r="IRW133" s="105"/>
      <c r="IRX133" s="105"/>
      <c r="IRY133" s="105"/>
      <c r="IRZ133" s="105"/>
      <c r="ISA133" s="105"/>
      <c r="ISB133" s="105"/>
      <c r="ISC133" s="105"/>
      <c r="ISD133" s="105"/>
      <c r="ISE133" s="105"/>
      <c r="ISF133" s="105"/>
      <c r="ISG133" s="105"/>
      <c r="ISH133" s="105"/>
      <c r="ISI133" s="105"/>
      <c r="ISJ133" s="105"/>
      <c r="ISK133" s="105"/>
      <c r="ISL133" s="105"/>
      <c r="ISM133" s="105"/>
      <c r="ISN133" s="105"/>
      <c r="ISO133" s="105"/>
      <c r="ISP133" s="105"/>
      <c r="ISQ133" s="105"/>
      <c r="ISR133" s="105"/>
      <c r="ISS133" s="105"/>
      <c r="IST133" s="105"/>
      <c r="ISU133" s="105"/>
      <c r="ISV133" s="105"/>
      <c r="ISW133" s="105"/>
      <c r="ISX133" s="105"/>
      <c r="ISY133" s="105"/>
      <c r="ISZ133" s="105"/>
      <c r="ITA133" s="105"/>
      <c r="ITB133" s="105"/>
      <c r="ITC133" s="105"/>
      <c r="ITD133" s="105"/>
      <c r="ITE133" s="105"/>
      <c r="ITF133" s="105"/>
      <c r="ITG133" s="105"/>
      <c r="ITH133" s="105"/>
      <c r="ITI133" s="105"/>
      <c r="ITJ133" s="105"/>
      <c r="ITK133" s="105"/>
      <c r="ITL133" s="105"/>
      <c r="ITM133" s="105"/>
      <c r="ITN133" s="105"/>
      <c r="ITO133" s="105"/>
      <c r="ITP133" s="105"/>
      <c r="ITQ133" s="105"/>
      <c r="ITR133" s="105"/>
      <c r="ITS133" s="105"/>
      <c r="ITT133" s="105"/>
      <c r="ITU133" s="105"/>
      <c r="ITV133" s="105"/>
      <c r="ITW133" s="105"/>
      <c r="ITX133" s="105"/>
      <c r="ITY133" s="105"/>
      <c r="ITZ133" s="105"/>
      <c r="IUA133" s="105"/>
      <c r="IUB133" s="105"/>
      <c r="IUC133" s="105"/>
      <c r="IUD133" s="105"/>
      <c r="IUE133" s="105"/>
      <c r="IUF133" s="105"/>
      <c r="IUG133" s="105"/>
      <c r="IUH133" s="105"/>
      <c r="IUI133" s="105"/>
      <c r="IUJ133" s="105"/>
      <c r="IUK133" s="105"/>
      <c r="IUL133" s="105"/>
      <c r="IUM133" s="105"/>
      <c r="IUN133" s="105"/>
      <c r="IUO133" s="105"/>
      <c r="IUP133" s="105"/>
      <c r="IUQ133" s="105"/>
      <c r="IUR133" s="105"/>
      <c r="IUS133" s="105"/>
      <c r="IUT133" s="105"/>
      <c r="IUU133" s="105"/>
      <c r="IUV133" s="105"/>
      <c r="IUW133" s="105"/>
      <c r="IUX133" s="105"/>
      <c r="IUY133" s="105"/>
      <c r="IUZ133" s="105"/>
      <c r="IVA133" s="105"/>
      <c r="IVB133" s="105"/>
      <c r="IVC133" s="105"/>
      <c r="IVD133" s="105"/>
      <c r="IVE133" s="105"/>
      <c r="IVF133" s="105"/>
      <c r="IVG133" s="105"/>
      <c r="IVH133" s="105"/>
      <c r="IVI133" s="105"/>
      <c r="IVJ133" s="105"/>
      <c r="IVK133" s="105"/>
      <c r="IVL133" s="105"/>
      <c r="IVM133" s="105"/>
      <c r="IVN133" s="105"/>
      <c r="IVO133" s="105"/>
      <c r="IVP133" s="105"/>
      <c r="IVQ133" s="105"/>
      <c r="IVR133" s="105"/>
      <c r="IVS133" s="105"/>
      <c r="IVT133" s="105"/>
      <c r="IVU133" s="105"/>
      <c r="IVV133" s="105"/>
      <c r="IVW133" s="105"/>
      <c r="IVX133" s="105"/>
      <c r="IVY133" s="105"/>
      <c r="IVZ133" s="105"/>
      <c r="IWA133" s="105"/>
      <c r="IWB133" s="105"/>
      <c r="IWC133" s="105"/>
      <c r="IWD133" s="105"/>
      <c r="IWE133" s="105"/>
      <c r="IWF133" s="105"/>
      <c r="IWG133" s="105"/>
      <c r="IWH133" s="105"/>
      <c r="IWI133" s="105"/>
      <c r="IWJ133" s="105"/>
      <c r="IWK133" s="105"/>
      <c r="IWL133" s="105"/>
      <c r="IWM133" s="105"/>
      <c r="IWN133" s="105"/>
      <c r="IWO133" s="105"/>
      <c r="IWP133" s="105"/>
      <c r="IWQ133" s="105"/>
      <c r="IWR133" s="105"/>
      <c r="IWS133" s="105"/>
      <c r="IWT133" s="105"/>
      <c r="IWU133" s="105"/>
      <c r="IWV133" s="105"/>
      <c r="IWW133" s="105"/>
      <c r="IWX133" s="105"/>
      <c r="IWY133" s="105"/>
      <c r="IWZ133" s="105"/>
      <c r="IXA133" s="105"/>
      <c r="IXB133" s="105"/>
      <c r="IXC133" s="105"/>
      <c r="IXD133" s="105"/>
      <c r="IXE133" s="105"/>
      <c r="IXF133" s="105"/>
      <c r="IXG133" s="105"/>
      <c r="IXH133" s="105"/>
      <c r="IXI133" s="105"/>
      <c r="IXJ133" s="105"/>
      <c r="IXK133" s="105"/>
      <c r="IXL133" s="105"/>
      <c r="IXM133" s="105"/>
      <c r="IXN133" s="105"/>
      <c r="IXO133" s="105"/>
      <c r="IXP133" s="105"/>
      <c r="IXQ133" s="105"/>
      <c r="IXR133" s="105"/>
      <c r="IXS133" s="105"/>
      <c r="IXT133" s="105"/>
      <c r="IXU133" s="105"/>
      <c r="IXV133" s="105"/>
      <c r="IXW133" s="105"/>
      <c r="IXX133" s="105"/>
      <c r="IXY133" s="105"/>
      <c r="IXZ133" s="105"/>
      <c r="IYA133" s="105"/>
      <c r="IYB133" s="105"/>
      <c r="IYC133" s="105"/>
      <c r="IYD133" s="105"/>
      <c r="IYE133" s="105"/>
      <c r="IYF133" s="105"/>
      <c r="IYG133" s="105"/>
      <c r="IYH133" s="105"/>
      <c r="IYI133" s="105"/>
      <c r="IYJ133" s="105"/>
      <c r="IYK133" s="105"/>
      <c r="IYL133" s="105"/>
      <c r="IYM133" s="105"/>
      <c r="IYN133" s="105"/>
      <c r="IYO133" s="105"/>
      <c r="IYP133" s="105"/>
      <c r="IYQ133" s="105"/>
      <c r="IYR133" s="105"/>
      <c r="IYS133" s="105"/>
      <c r="IYT133" s="105"/>
      <c r="IYU133" s="105"/>
      <c r="IYV133" s="105"/>
      <c r="IYW133" s="105"/>
      <c r="IYX133" s="105"/>
      <c r="IYY133" s="105"/>
      <c r="IYZ133" s="105"/>
      <c r="IZA133" s="105"/>
      <c r="IZB133" s="105"/>
      <c r="IZC133" s="105"/>
      <c r="IZD133" s="105"/>
      <c r="IZE133" s="105"/>
      <c r="IZF133" s="105"/>
      <c r="IZG133" s="105"/>
      <c r="IZH133" s="105"/>
      <c r="IZI133" s="105"/>
      <c r="IZJ133" s="105"/>
      <c r="IZK133" s="105"/>
      <c r="IZL133" s="105"/>
      <c r="IZM133" s="105"/>
      <c r="IZN133" s="105"/>
      <c r="IZO133" s="105"/>
      <c r="IZP133" s="105"/>
      <c r="IZQ133" s="105"/>
      <c r="IZR133" s="105"/>
      <c r="IZS133" s="105"/>
      <c r="IZT133" s="105"/>
      <c r="IZU133" s="105"/>
      <c r="IZV133" s="105"/>
      <c r="IZW133" s="105"/>
      <c r="IZX133" s="105"/>
      <c r="IZY133" s="105"/>
      <c r="IZZ133" s="105"/>
      <c r="JAA133" s="105"/>
      <c r="JAB133" s="105"/>
      <c r="JAC133" s="105"/>
      <c r="JAD133" s="105"/>
      <c r="JAE133" s="105"/>
      <c r="JAF133" s="105"/>
      <c r="JAG133" s="105"/>
      <c r="JAH133" s="105"/>
      <c r="JAI133" s="105"/>
      <c r="JAJ133" s="105"/>
      <c r="JAK133" s="105"/>
      <c r="JAL133" s="105"/>
      <c r="JAM133" s="105"/>
      <c r="JAN133" s="105"/>
      <c r="JAO133" s="105"/>
      <c r="JAP133" s="105"/>
      <c r="JAQ133" s="105"/>
      <c r="JAR133" s="105"/>
      <c r="JAS133" s="105"/>
      <c r="JAT133" s="105"/>
      <c r="JAU133" s="105"/>
      <c r="JAV133" s="105"/>
      <c r="JAW133" s="105"/>
      <c r="JAX133" s="105"/>
      <c r="JAY133" s="105"/>
      <c r="JAZ133" s="105"/>
      <c r="JBA133" s="105"/>
      <c r="JBB133" s="105"/>
      <c r="JBC133" s="105"/>
      <c r="JBD133" s="105"/>
      <c r="JBE133" s="105"/>
      <c r="JBF133" s="105"/>
      <c r="JBG133" s="105"/>
      <c r="JBH133" s="105"/>
      <c r="JBI133" s="105"/>
      <c r="JBJ133" s="105"/>
      <c r="JBK133" s="105"/>
      <c r="JBL133" s="105"/>
      <c r="JBM133" s="105"/>
      <c r="JBN133" s="105"/>
      <c r="JBO133" s="105"/>
      <c r="JBP133" s="105"/>
      <c r="JBQ133" s="105"/>
      <c r="JBR133" s="105"/>
      <c r="JBS133" s="105"/>
      <c r="JBT133" s="105"/>
      <c r="JBU133" s="105"/>
      <c r="JBV133" s="105"/>
      <c r="JBW133" s="105"/>
      <c r="JBX133" s="105"/>
      <c r="JBY133" s="105"/>
      <c r="JBZ133" s="105"/>
      <c r="JCA133" s="105"/>
      <c r="JCB133" s="105"/>
      <c r="JCC133" s="105"/>
      <c r="JCD133" s="105"/>
      <c r="JCE133" s="105"/>
      <c r="JCF133" s="105"/>
      <c r="JCG133" s="105"/>
      <c r="JCH133" s="105"/>
      <c r="JCI133" s="105"/>
      <c r="JCJ133" s="105"/>
      <c r="JCK133" s="105"/>
      <c r="JCL133" s="105"/>
      <c r="JCM133" s="105"/>
      <c r="JCN133" s="105"/>
      <c r="JCO133" s="105"/>
      <c r="JCP133" s="105"/>
      <c r="JCQ133" s="105"/>
      <c r="JCR133" s="105"/>
      <c r="JCS133" s="105"/>
      <c r="JCT133" s="105"/>
      <c r="JCU133" s="105"/>
      <c r="JCV133" s="105"/>
      <c r="JCW133" s="105"/>
      <c r="JCX133" s="105"/>
      <c r="JCY133" s="105"/>
      <c r="JCZ133" s="105"/>
      <c r="JDA133" s="105"/>
      <c r="JDB133" s="105"/>
      <c r="JDC133" s="105"/>
      <c r="JDD133" s="105"/>
      <c r="JDE133" s="105"/>
      <c r="JDF133" s="105"/>
      <c r="JDG133" s="105"/>
      <c r="JDH133" s="105"/>
      <c r="JDI133" s="105"/>
      <c r="JDJ133" s="105"/>
      <c r="JDK133" s="105"/>
      <c r="JDL133" s="105"/>
      <c r="JDM133" s="105"/>
      <c r="JDN133" s="105"/>
      <c r="JDO133" s="105"/>
      <c r="JDP133" s="105"/>
      <c r="JDQ133" s="105"/>
      <c r="JDR133" s="105"/>
      <c r="JDS133" s="105"/>
      <c r="JDT133" s="105"/>
      <c r="JDU133" s="105"/>
      <c r="JDV133" s="105"/>
      <c r="JDW133" s="105"/>
      <c r="JDX133" s="105"/>
      <c r="JDY133" s="105"/>
      <c r="JDZ133" s="105"/>
      <c r="JEA133" s="105"/>
      <c r="JEB133" s="105"/>
      <c r="JEC133" s="105"/>
      <c r="JED133" s="105"/>
      <c r="JEE133" s="105"/>
      <c r="JEF133" s="105"/>
      <c r="JEG133" s="105"/>
      <c r="JEH133" s="105"/>
      <c r="JEI133" s="105"/>
      <c r="JEJ133" s="105"/>
      <c r="JEK133" s="105"/>
      <c r="JEL133" s="105"/>
      <c r="JEM133" s="105"/>
      <c r="JEN133" s="105"/>
      <c r="JEO133" s="105"/>
      <c r="JEP133" s="105"/>
      <c r="JEQ133" s="105"/>
      <c r="JER133" s="105"/>
      <c r="JES133" s="105"/>
      <c r="JET133" s="105"/>
      <c r="JEU133" s="105"/>
      <c r="JEV133" s="105"/>
      <c r="JEW133" s="105"/>
      <c r="JEX133" s="105"/>
      <c r="JEY133" s="105"/>
      <c r="JEZ133" s="105"/>
      <c r="JFA133" s="105"/>
      <c r="JFB133" s="105"/>
      <c r="JFC133" s="105"/>
      <c r="JFD133" s="105"/>
      <c r="JFE133" s="105"/>
      <c r="JFF133" s="105"/>
      <c r="JFG133" s="105"/>
      <c r="JFH133" s="105"/>
      <c r="JFI133" s="105"/>
      <c r="JFJ133" s="105"/>
      <c r="JFK133" s="105"/>
      <c r="JFL133" s="105"/>
      <c r="JFM133" s="105"/>
      <c r="JFN133" s="105"/>
      <c r="JFO133" s="105"/>
      <c r="JFP133" s="105"/>
      <c r="JFQ133" s="105"/>
      <c r="JFR133" s="105"/>
      <c r="JFS133" s="105"/>
      <c r="JFT133" s="105"/>
      <c r="JFU133" s="105"/>
      <c r="JFV133" s="105"/>
      <c r="JFW133" s="105"/>
      <c r="JFX133" s="105"/>
      <c r="JFY133" s="105"/>
      <c r="JFZ133" s="105"/>
      <c r="JGA133" s="105"/>
      <c r="JGB133" s="105"/>
      <c r="JGC133" s="105"/>
      <c r="JGD133" s="105"/>
      <c r="JGE133" s="105"/>
      <c r="JGF133" s="105"/>
      <c r="JGG133" s="105"/>
      <c r="JGH133" s="105"/>
      <c r="JGI133" s="105"/>
      <c r="JGJ133" s="105"/>
      <c r="JGK133" s="105"/>
      <c r="JGL133" s="105"/>
      <c r="JGM133" s="105"/>
      <c r="JGN133" s="105"/>
      <c r="JGO133" s="105"/>
      <c r="JGP133" s="105"/>
      <c r="JGQ133" s="105"/>
      <c r="JGR133" s="105"/>
      <c r="JGS133" s="105"/>
      <c r="JGT133" s="105"/>
      <c r="JGU133" s="105"/>
      <c r="JGV133" s="105"/>
      <c r="JGW133" s="105"/>
      <c r="JGX133" s="105"/>
      <c r="JGY133" s="105"/>
      <c r="JGZ133" s="105"/>
      <c r="JHA133" s="105"/>
      <c r="JHB133" s="105"/>
      <c r="JHC133" s="105"/>
      <c r="JHD133" s="105"/>
      <c r="JHE133" s="105"/>
      <c r="JHF133" s="105"/>
      <c r="JHG133" s="105"/>
      <c r="JHH133" s="105"/>
      <c r="JHI133" s="105"/>
      <c r="JHJ133" s="105"/>
      <c r="JHK133" s="105"/>
      <c r="JHL133" s="105"/>
      <c r="JHM133" s="105"/>
      <c r="JHN133" s="105"/>
      <c r="JHO133" s="105"/>
      <c r="JHP133" s="105"/>
      <c r="JHQ133" s="105"/>
      <c r="JHR133" s="105"/>
      <c r="JHS133" s="105"/>
      <c r="JHT133" s="105"/>
      <c r="JHU133" s="105"/>
      <c r="JHV133" s="105"/>
      <c r="JHW133" s="105"/>
      <c r="JHX133" s="105"/>
      <c r="JHY133" s="105"/>
      <c r="JHZ133" s="105"/>
      <c r="JIA133" s="105"/>
      <c r="JIB133" s="105"/>
      <c r="JIC133" s="105"/>
      <c r="JID133" s="105"/>
      <c r="JIE133" s="105"/>
      <c r="JIF133" s="105"/>
      <c r="JIG133" s="105"/>
      <c r="JIH133" s="105"/>
      <c r="JII133" s="105"/>
      <c r="JIJ133" s="105"/>
      <c r="JIK133" s="105"/>
      <c r="JIL133" s="105"/>
      <c r="JIM133" s="105"/>
      <c r="JIN133" s="105"/>
      <c r="JIO133" s="105"/>
      <c r="JIP133" s="105"/>
      <c r="JIQ133" s="105"/>
      <c r="JIR133" s="105"/>
      <c r="JIS133" s="105"/>
      <c r="JIT133" s="105"/>
      <c r="JIU133" s="105"/>
      <c r="JIV133" s="105"/>
      <c r="JIW133" s="105"/>
      <c r="JIX133" s="105"/>
      <c r="JIY133" s="105"/>
      <c r="JIZ133" s="105"/>
      <c r="JJA133" s="105"/>
      <c r="JJB133" s="105"/>
      <c r="JJC133" s="105"/>
      <c r="JJD133" s="105"/>
      <c r="JJE133" s="105"/>
      <c r="JJF133" s="105"/>
      <c r="JJG133" s="105"/>
      <c r="JJH133" s="105"/>
      <c r="JJI133" s="105"/>
      <c r="JJJ133" s="105"/>
      <c r="JJK133" s="105"/>
      <c r="JJL133" s="105"/>
      <c r="JJM133" s="105"/>
      <c r="JJN133" s="105"/>
      <c r="JJO133" s="105"/>
      <c r="JJP133" s="105"/>
      <c r="JJQ133" s="105"/>
      <c r="JJR133" s="105"/>
      <c r="JJS133" s="105"/>
      <c r="JJT133" s="105"/>
      <c r="JJU133" s="105"/>
      <c r="JJV133" s="105"/>
      <c r="JJW133" s="105"/>
      <c r="JJX133" s="105"/>
      <c r="JJY133" s="105"/>
      <c r="JJZ133" s="105"/>
      <c r="JKA133" s="105"/>
      <c r="JKB133" s="105"/>
      <c r="JKC133" s="105"/>
      <c r="JKD133" s="105"/>
      <c r="JKE133" s="105"/>
      <c r="JKF133" s="105"/>
      <c r="JKG133" s="105"/>
      <c r="JKH133" s="105"/>
      <c r="JKI133" s="105"/>
      <c r="JKJ133" s="105"/>
      <c r="JKK133" s="105"/>
      <c r="JKL133" s="105"/>
      <c r="JKM133" s="105"/>
      <c r="JKN133" s="105"/>
      <c r="JKO133" s="105"/>
      <c r="JKP133" s="105"/>
      <c r="JKQ133" s="105"/>
      <c r="JKR133" s="105"/>
      <c r="JKS133" s="105"/>
      <c r="JKT133" s="105"/>
      <c r="JKU133" s="105"/>
      <c r="JKV133" s="105"/>
      <c r="JKW133" s="105"/>
      <c r="JKX133" s="105"/>
      <c r="JKY133" s="105"/>
      <c r="JKZ133" s="105"/>
      <c r="JLA133" s="105"/>
      <c r="JLB133" s="105"/>
      <c r="JLC133" s="105"/>
      <c r="JLD133" s="105"/>
      <c r="JLE133" s="105"/>
      <c r="JLF133" s="105"/>
      <c r="JLG133" s="105"/>
      <c r="JLH133" s="105"/>
      <c r="JLI133" s="105"/>
      <c r="JLJ133" s="105"/>
      <c r="JLK133" s="105"/>
      <c r="JLL133" s="105"/>
      <c r="JLM133" s="105"/>
      <c r="JLN133" s="105"/>
      <c r="JLO133" s="105"/>
      <c r="JLP133" s="105"/>
      <c r="JLQ133" s="105"/>
      <c r="JLR133" s="105"/>
      <c r="JLS133" s="105"/>
      <c r="JLT133" s="105"/>
      <c r="JLU133" s="105"/>
      <c r="JLV133" s="105"/>
      <c r="JLW133" s="105"/>
      <c r="JLX133" s="105"/>
      <c r="JLY133" s="105"/>
      <c r="JLZ133" s="105"/>
      <c r="JMA133" s="105"/>
      <c r="JMB133" s="105"/>
      <c r="JMC133" s="105"/>
      <c r="JMD133" s="105"/>
      <c r="JME133" s="105"/>
      <c r="JMF133" s="105"/>
      <c r="JMG133" s="105"/>
      <c r="JMH133" s="105"/>
      <c r="JMI133" s="105"/>
      <c r="JMJ133" s="105"/>
      <c r="JMK133" s="105"/>
      <c r="JML133" s="105"/>
      <c r="JMM133" s="105"/>
      <c r="JMN133" s="105"/>
      <c r="JMO133" s="105"/>
      <c r="JMP133" s="105"/>
      <c r="JMQ133" s="105"/>
      <c r="JMR133" s="105"/>
      <c r="JMS133" s="105"/>
      <c r="JMT133" s="105"/>
      <c r="JMU133" s="105"/>
      <c r="JMV133" s="105"/>
      <c r="JMW133" s="105"/>
      <c r="JMX133" s="105"/>
      <c r="JMY133" s="105"/>
      <c r="JMZ133" s="105"/>
      <c r="JNA133" s="105"/>
      <c r="JNB133" s="105"/>
      <c r="JNC133" s="105"/>
      <c r="JND133" s="105"/>
      <c r="JNE133" s="105"/>
      <c r="JNF133" s="105"/>
      <c r="JNG133" s="105"/>
      <c r="JNH133" s="105"/>
      <c r="JNI133" s="105"/>
      <c r="JNJ133" s="105"/>
      <c r="JNK133" s="105"/>
      <c r="JNL133" s="105"/>
      <c r="JNM133" s="105"/>
      <c r="JNN133" s="105"/>
      <c r="JNO133" s="105"/>
      <c r="JNP133" s="105"/>
      <c r="JNQ133" s="105"/>
      <c r="JNR133" s="105"/>
      <c r="JNS133" s="105"/>
      <c r="JNT133" s="105"/>
      <c r="JNU133" s="105"/>
      <c r="JNV133" s="105"/>
      <c r="JNW133" s="105"/>
      <c r="JNX133" s="105"/>
      <c r="JNY133" s="105"/>
      <c r="JNZ133" s="105"/>
      <c r="JOA133" s="105"/>
      <c r="JOB133" s="105"/>
      <c r="JOC133" s="105"/>
      <c r="JOD133" s="105"/>
      <c r="JOE133" s="105"/>
      <c r="JOF133" s="105"/>
      <c r="JOG133" s="105"/>
      <c r="JOH133" s="105"/>
      <c r="JOI133" s="105"/>
      <c r="JOJ133" s="105"/>
      <c r="JOK133" s="105"/>
      <c r="JOL133" s="105"/>
      <c r="JOM133" s="105"/>
      <c r="JON133" s="105"/>
      <c r="JOO133" s="105"/>
      <c r="JOP133" s="105"/>
      <c r="JOQ133" s="105"/>
      <c r="JOR133" s="105"/>
      <c r="JOS133" s="105"/>
      <c r="JOT133" s="105"/>
      <c r="JOU133" s="105"/>
      <c r="JOV133" s="105"/>
      <c r="JOW133" s="105"/>
      <c r="JOX133" s="105"/>
      <c r="JOY133" s="105"/>
      <c r="JOZ133" s="105"/>
      <c r="JPA133" s="105"/>
      <c r="JPB133" s="105"/>
      <c r="JPC133" s="105"/>
      <c r="JPD133" s="105"/>
      <c r="JPE133" s="105"/>
      <c r="JPF133" s="105"/>
      <c r="JPG133" s="105"/>
      <c r="JPH133" s="105"/>
      <c r="JPI133" s="105"/>
      <c r="JPJ133" s="105"/>
      <c r="JPK133" s="105"/>
      <c r="JPL133" s="105"/>
      <c r="JPM133" s="105"/>
      <c r="JPN133" s="105"/>
      <c r="JPO133" s="105"/>
      <c r="JPP133" s="105"/>
      <c r="JPQ133" s="105"/>
      <c r="JPR133" s="105"/>
      <c r="JPS133" s="105"/>
      <c r="JPT133" s="105"/>
      <c r="JPU133" s="105"/>
      <c r="JPV133" s="105"/>
      <c r="JPW133" s="105"/>
      <c r="JPX133" s="105"/>
      <c r="JPY133" s="105"/>
      <c r="JPZ133" s="105"/>
      <c r="JQA133" s="105"/>
      <c r="JQB133" s="105"/>
      <c r="JQC133" s="105"/>
      <c r="JQD133" s="105"/>
      <c r="JQE133" s="105"/>
      <c r="JQF133" s="105"/>
      <c r="JQG133" s="105"/>
      <c r="JQH133" s="105"/>
      <c r="JQI133" s="105"/>
      <c r="JQJ133" s="105"/>
      <c r="JQK133" s="105"/>
      <c r="JQL133" s="105"/>
      <c r="JQM133" s="105"/>
      <c r="JQN133" s="105"/>
      <c r="JQO133" s="105"/>
      <c r="JQP133" s="105"/>
      <c r="JQQ133" s="105"/>
      <c r="JQR133" s="105"/>
      <c r="JQS133" s="105"/>
      <c r="JQT133" s="105"/>
      <c r="JQU133" s="105"/>
      <c r="JQV133" s="105"/>
      <c r="JQW133" s="105"/>
      <c r="JQX133" s="105"/>
      <c r="JQY133" s="105"/>
      <c r="JQZ133" s="105"/>
      <c r="JRA133" s="105"/>
      <c r="JRB133" s="105"/>
      <c r="JRC133" s="105"/>
      <c r="JRD133" s="105"/>
      <c r="JRE133" s="105"/>
      <c r="JRF133" s="105"/>
      <c r="JRG133" s="105"/>
      <c r="JRH133" s="105"/>
      <c r="JRI133" s="105"/>
      <c r="JRJ133" s="105"/>
      <c r="JRK133" s="105"/>
      <c r="JRL133" s="105"/>
      <c r="JRM133" s="105"/>
      <c r="JRN133" s="105"/>
      <c r="JRO133" s="105"/>
      <c r="JRP133" s="105"/>
      <c r="JRQ133" s="105"/>
      <c r="JRR133" s="105"/>
      <c r="JRS133" s="105"/>
      <c r="JRT133" s="105"/>
      <c r="JRU133" s="105"/>
      <c r="JRV133" s="105"/>
      <c r="JRW133" s="105"/>
      <c r="JRX133" s="105"/>
      <c r="JRY133" s="105"/>
      <c r="JRZ133" s="105"/>
      <c r="JSA133" s="105"/>
      <c r="JSB133" s="105"/>
      <c r="JSC133" s="105"/>
      <c r="JSD133" s="105"/>
      <c r="JSE133" s="105"/>
      <c r="JSF133" s="105"/>
      <c r="JSG133" s="105"/>
      <c r="JSH133" s="105"/>
      <c r="JSI133" s="105"/>
      <c r="JSJ133" s="105"/>
      <c r="JSK133" s="105"/>
      <c r="JSL133" s="105"/>
      <c r="JSM133" s="105"/>
      <c r="JSN133" s="105"/>
      <c r="JSO133" s="105"/>
      <c r="JSP133" s="105"/>
      <c r="JSQ133" s="105"/>
      <c r="JSR133" s="105"/>
      <c r="JSS133" s="105"/>
      <c r="JST133" s="105"/>
      <c r="JSU133" s="105"/>
      <c r="JSV133" s="105"/>
      <c r="JSW133" s="105"/>
      <c r="JSX133" s="105"/>
      <c r="JSY133" s="105"/>
      <c r="JSZ133" s="105"/>
      <c r="JTA133" s="105"/>
      <c r="JTB133" s="105"/>
      <c r="JTC133" s="105"/>
      <c r="JTD133" s="105"/>
      <c r="JTE133" s="105"/>
      <c r="JTF133" s="105"/>
      <c r="JTG133" s="105"/>
      <c r="JTH133" s="105"/>
      <c r="JTI133" s="105"/>
      <c r="JTJ133" s="105"/>
      <c r="JTK133" s="105"/>
      <c r="JTL133" s="105"/>
      <c r="JTM133" s="105"/>
      <c r="JTN133" s="105"/>
      <c r="JTO133" s="105"/>
      <c r="JTP133" s="105"/>
      <c r="JTQ133" s="105"/>
      <c r="JTR133" s="105"/>
      <c r="JTS133" s="105"/>
      <c r="JTT133" s="105"/>
      <c r="JTU133" s="105"/>
      <c r="JTV133" s="105"/>
      <c r="JTW133" s="105"/>
      <c r="JTX133" s="105"/>
      <c r="JTY133" s="105"/>
      <c r="JTZ133" s="105"/>
      <c r="JUA133" s="105"/>
      <c r="JUB133" s="105"/>
      <c r="JUC133" s="105"/>
      <c r="JUD133" s="105"/>
      <c r="JUE133" s="105"/>
      <c r="JUF133" s="105"/>
      <c r="JUG133" s="105"/>
      <c r="JUH133" s="105"/>
      <c r="JUI133" s="105"/>
      <c r="JUJ133" s="105"/>
      <c r="JUK133" s="105"/>
      <c r="JUL133" s="105"/>
      <c r="JUM133" s="105"/>
      <c r="JUN133" s="105"/>
      <c r="JUO133" s="105"/>
      <c r="JUP133" s="105"/>
      <c r="JUQ133" s="105"/>
      <c r="JUR133" s="105"/>
      <c r="JUS133" s="105"/>
      <c r="JUT133" s="105"/>
      <c r="JUU133" s="105"/>
      <c r="JUV133" s="105"/>
      <c r="JUW133" s="105"/>
      <c r="JUX133" s="105"/>
      <c r="JUY133" s="105"/>
      <c r="JUZ133" s="105"/>
      <c r="JVA133" s="105"/>
      <c r="JVB133" s="105"/>
      <c r="JVC133" s="105"/>
      <c r="JVD133" s="105"/>
      <c r="JVE133" s="105"/>
      <c r="JVF133" s="105"/>
      <c r="JVG133" s="105"/>
      <c r="JVH133" s="105"/>
      <c r="JVI133" s="105"/>
      <c r="JVJ133" s="105"/>
      <c r="JVK133" s="105"/>
      <c r="JVL133" s="105"/>
      <c r="JVM133" s="105"/>
      <c r="JVN133" s="105"/>
      <c r="JVO133" s="105"/>
      <c r="JVP133" s="105"/>
      <c r="JVQ133" s="105"/>
      <c r="JVR133" s="105"/>
      <c r="JVS133" s="105"/>
      <c r="JVT133" s="105"/>
      <c r="JVU133" s="105"/>
      <c r="JVV133" s="105"/>
      <c r="JVW133" s="105"/>
      <c r="JVX133" s="105"/>
      <c r="JVY133" s="105"/>
      <c r="JVZ133" s="105"/>
      <c r="JWA133" s="105"/>
      <c r="JWB133" s="105"/>
      <c r="JWC133" s="105"/>
      <c r="JWD133" s="105"/>
      <c r="JWE133" s="105"/>
      <c r="JWF133" s="105"/>
      <c r="JWG133" s="105"/>
      <c r="JWH133" s="105"/>
      <c r="JWI133" s="105"/>
      <c r="JWJ133" s="105"/>
      <c r="JWK133" s="105"/>
      <c r="JWL133" s="105"/>
      <c r="JWM133" s="105"/>
      <c r="JWN133" s="105"/>
      <c r="JWO133" s="105"/>
      <c r="JWP133" s="105"/>
      <c r="JWQ133" s="105"/>
      <c r="JWR133" s="105"/>
      <c r="JWS133" s="105"/>
      <c r="JWT133" s="105"/>
      <c r="JWU133" s="105"/>
      <c r="JWV133" s="105"/>
      <c r="JWW133" s="105"/>
      <c r="JWX133" s="105"/>
      <c r="JWY133" s="105"/>
      <c r="JWZ133" s="105"/>
      <c r="JXA133" s="105"/>
      <c r="JXB133" s="105"/>
      <c r="JXC133" s="105"/>
      <c r="JXD133" s="105"/>
      <c r="JXE133" s="105"/>
      <c r="JXF133" s="105"/>
      <c r="JXG133" s="105"/>
      <c r="JXH133" s="105"/>
      <c r="JXI133" s="105"/>
      <c r="JXJ133" s="105"/>
      <c r="JXK133" s="105"/>
      <c r="JXL133" s="105"/>
      <c r="JXM133" s="105"/>
      <c r="JXN133" s="105"/>
      <c r="JXO133" s="105"/>
      <c r="JXP133" s="105"/>
      <c r="JXQ133" s="105"/>
      <c r="JXR133" s="105"/>
      <c r="JXS133" s="105"/>
      <c r="JXT133" s="105"/>
      <c r="JXU133" s="105"/>
      <c r="JXV133" s="105"/>
      <c r="JXW133" s="105"/>
      <c r="JXX133" s="105"/>
      <c r="JXY133" s="105"/>
      <c r="JXZ133" s="105"/>
      <c r="JYA133" s="105"/>
      <c r="JYB133" s="105"/>
      <c r="JYC133" s="105"/>
      <c r="JYD133" s="105"/>
      <c r="JYE133" s="105"/>
      <c r="JYF133" s="105"/>
      <c r="JYG133" s="105"/>
      <c r="JYH133" s="105"/>
      <c r="JYI133" s="105"/>
      <c r="JYJ133" s="105"/>
      <c r="JYK133" s="105"/>
      <c r="JYL133" s="105"/>
      <c r="JYM133" s="105"/>
      <c r="JYN133" s="105"/>
      <c r="JYO133" s="105"/>
      <c r="JYP133" s="105"/>
      <c r="JYQ133" s="105"/>
      <c r="JYR133" s="105"/>
      <c r="JYS133" s="105"/>
      <c r="JYT133" s="105"/>
      <c r="JYU133" s="105"/>
      <c r="JYV133" s="105"/>
      <c r="JYW133" s="105"/>
      <c r="JYX133" s="105"/>
      <c r="JYY133" s="105"/>
      <c r="JYZ133" s="105"/>
      <c r="JZA133" s="105"/>
      <c r="JZB133" s="105"/>
      <c r="JZC133" s="105"/>
      <c r="JZD133" s="105"/>
      <c r="JZE133" s="105"/>
      <c r="JZF133" s="105"/>
      <c r="JZG133" s="105"/>
      <c r="JZH133" s="105"/>
      <c r="JZI133" s="105"/>
      <c r="JZJ133" s="105"/>
      <c r="JZK133" s="105"/>
      <c r="JZL133" s="105"/>
      <c r="JZM133" s="105"/>
      <c r="JZN133" s="105"/>
      <c r="JZO133" s="105"/>
      <c r="JZP133" s="105"/>
      <c r="JZQ133" s="105"/>
      <c r="JZR133" s="105"/>
      <c r="JZS133" s="105"/>
      <c r="JZT133" s="105"/>
      <c r="JZU133" s="105"/>
      <c r="JZV133" s="105"/>
      <c r="JZW133" s="105"/>
      <c r="JZX133" s="105"/>
      <c r="JZY133" s="105"/>
      <c r="JZZ133" s="105"/>
      <c r="KAA133" s="105"/>
      <c r="KAB133" s="105"/>
      <c r="KAC133" s="105"/>
      <c r="KAD133" s="105"/>
      <c r="KAE133" s="105"/>
      <c r="KAF133" s="105"/>
      <c r="KAG133" s="105"/>
      <c r="KAH133" s="105"/>
      <c r="KAI133" s="105"/>
      <c r="KAJ133" s="105"/>
      <c r="KAK133" s="105"/>
      <c r="KAL133" s="105"/>
      <c r="KAM133" s="105"/>
      <c r="KAN133" s="105"/>
      <c r="KAO133" s="105"/>
      <c r="KAP133" s="105"/>
      <c r="KAQ133" s="105"/>
      <c r="KAR133" s="105"/>
      <c r="KAS133" s="105"/>
      <c r="KAT133" s="105"/>
      <c r="KAU133" s="105"/>
      <c r="KAV133" s="105"/>
      <c r="KAW133" s="105"/>
      <c r="KAX133" s="105"/>
      <c r="KAY133" s="105"/>
      <c r="KAZ133" s="105"/>
      <c r="KBA133" s="105"/>
      <c r="KBB133" s="105"/>
      <c r="KBC133" s="105"/>
      <c r="KBD133" s="105"/>
      <c r="KBE133" s="105"/>
      <c r="KBF133" s="105"/>
      <c r="KBG133" s="105"/>
      <c r="KBH133" s="105"/>
      <c r="KBI133" s="105"/>
      <c r="KBJ133" s="105"/>
      <c r="KBK133" s="105"/>
      <c r="KBL133" s="105"/>
      <c r="KBM133" s="105"/>
      <c r="KBN133" s="105"/>
      <c r="KBO133" s="105"/>
      <c r="KBP133" s="105"/>
      <c r="KBQ133" s="105"/>
      <c r="KBR133" s="105"/>
      <c r="KBS133" s="105"/>
      <c r="KBT133" s="105"/>
      <c r="KBU133" s="105"/>
      <c r="KBV133" s="105"/>
      <c r="KBW133" s="105"/>
      <c r="KBX133" s="105"/>
      <c r="KBY133" s="105"/>
      <c r="KBZ133" s="105"/>
      <c r="KCA133" s="105"/>
      <c r="KCB133" s="105"/>
      <c r="KCC133" s="105"/>
      <c r="KCD133" s="105"/>
      <c r="KCE133" s="105"/>
      <c r="KCF133" s="105"/>
      <c r="KCG133" s="105"/>
      <c r="KCH133" s="105"/>
      <c r="KCI133" s="105"/>
      <c r="KCJ133" s="105"/>
      <c r="KCK133" s="105"/>
      <c r="KCL133" s="105"/>
      <c r="KCM133" s="105"/>
      <c r="KCN133" s="105"/>
      <c r="KCO133" s="105"/>
      <c r="KCP133" s="105"/>
      <c r="KCQ133" s="105"/>
      <c r="KCR133" s="105"/>
      <c r="KCS133" s="105"/>
      <c r="KCT133" s="105"/>
      <c r="KCU133" s="105"/>
      <c r="KCV133" s="105"/>
      <c r="KCW133" s="105"/>
      <c r="KCX133" s="105"/>
      <c r="KCY133" s="105"/>
      <c r="KCZ133" s="105"/>
      <c r="KDA133" s="105"/>
      <c r="KDB133" s="105"/>
      <c r="KDC133" s="105"/>
      <c r="KDD133" s="105"/>
      <c r="KDE133" s="105"/>
      <c r="KDF133" s="105"/>
      <c r="KDG133" s="105"/>
      <c r="KDH133" s="105"/>
      <c r="KDI133" s="105"/>
      <c r="KDJ133" s="105"/>
      <c r="KDK133" s="105"/>
      <c r="KDL133" s="105"/>
      <c r="KDM133" s="105"/>
      <c r="KDN133" s="105"/>
      <c r="KDO133" s="105"/>
      <c r="KDP133" s="105"/>
      <c r="KDQ133" s="105"/>
      <c r="KDR133" s="105"/>
      <c r="KDS133" s="105"/>
      <c r="KDT133" s="105"/>
      <c r="KDU133" s="105"/>
      <c r="KDV133" s="105"/>
      <c r="KDW133" s="105"/>
      <c r="KDX133" s="105"/>
      <c r="KDY133" s="105"/>
      <c r="KDZ133" s="105"/>
      <c r="KEA133" s="105"/>
      <c r="KEB133" s="105"/>
      <c r="KEC133" s="105"/>
      <c r="KED133" s="105"/>
      <c r="KEE133" s="105"/>
      <c r="KEF133" s="105"/>
      <c r="KEG133" s="105"/>
      <c r="KEH133" s="105"/>
      <c r="KEI133" s="105"/>
      <c r="KEJ133" s="105"/>
      <c r="KEK133" s="105"/>
      <c r="KEL133" s="105"/>
      <c r="KEM133" s="105"/>
      <c r="KEN133" s="105"/>
      <c r="KEO133" s="105"/>
      <c r="KEP133" s="105"/>
      <c r="KEQ133" s="105"/>
      <c r="KER133" s="105"/>
      <c r="KES133" s="105"/>
      <c r="KET133" s="105"/>
      <c r="KEU133" s="105"/>
      <c r="KEV133" s="105"/>
      <c r="KEW133" s="105"/>
      <c r="KEX133" s="105"/>
      <c r="KEY133" s="105"/>
      <c r="KEZ133" s="105"/>
      <c r="KFA133" s="105"/>
      <c r="KFB133" s="105"/>
      <c r="KFC133" s="105"/>
      <c r="KFD133" s="105"/>
      <c r="KFE133" s="105"/>
      <c r="KFF133" s="105"/>
      <c r="KFG133" s="105"/>
      <c r="KFH133" s="105"/>
      <c r="KFI133" s="105"/>
      <c r="KFJ133" s="105"/>
      <c r="KFK133" s="105"/>
      <c r="KFL133" s="105"/>
      <c r="KFM133" s="105"/>
      <c r="KFN133" s="105"/>
      <c r="KFO133" s="105"/>
      <c r="KFP133" s="105"/>
      <c r="KFQ133" s="105"/>
      <c r="KFR133" s="105"/>
      <c r="KFS133" s="105"/>
      <c r="KFT133" s="105"/>
      <c r="KFU133" s="105"/>
      <c r="KFV133" s="105"/>
      <c r="KFW133" s="105"/>
      <c r="KFX133" s="105"/>
      <c r="KFY133" s="105"/>
      <c r="KFZ133" s="105"/>
      <c r="KGA133" s="105"/>
      <c r="KGB133" s="105"/>
      <c r="KGC133" s="105"/>
      <c r="KGD133" s="105"/>
      <c r="KGE133" s="105"/>
      <c r="KGF133" s="105"/>
      <c r="KGG133" s="105"/>
      <c r="KGH133" s="105"/>
      <c r="KGI133" s="105"/>
      <c r="KGJ133" s="105"/>
      <c r="KGK133" s="105"/>
      <c r="KGL133" s="105"/>
      <c r="KGM133" s="105"/>
      <c r="KGN133" s="105"/>
      <c r="KGO133" s="105"/>
      <c r="KGP133" s="105"/>
      <c r="KGQ133" s="105"/>
      <c r="KGR133" s="105"/>
      <c r="KGS133" s="105"/>
      <c r="KGT133" s="105"/>
      <c r="KGU133" s="105"/>
      <c r="KGV133" s="105"/>
      <c r="KGW133" s="105"/>
      <c r="KGX133" s="105"/>
      <c r="KGY133" s="105"/>
      <c r="KGZ133" s="105"/>
      <c r="KHA133" s="105"/>
      <c r="KHB133" s="105"/>
      <c r="KHC133" s="105"/>
      <c r="KHD133" s="105"/>
      <c r="KHE133" s="105"/>
      <c r="KHF133" s="105"/>
      <c r="KHG133" s="105"/>
      <c r="KHH133" s="105"/>
      <c r="KHI133" s="105"/>
      <c r="KHJ133" s="105"/>
      <c r="KHK133" s="105"/>
      <c r="KHL133" s="105"/>
      <c r="KHM133" s="105"/>
      <c r="KHN133" s="105"/>
      <c r="KHO133" s="105"/>
      <c r="KHP133" s="105"/>
      <c r="KHQ133" s="105"/>
      <c r="KHR133" s="105"/>
      <c r="KHS133" s="105"/>
      <c r="KHT133" s="105"/>
      <c r="KHU133" s="105"/>
      <c r="KHV133" s="105"/>
      <c r="KHW133" s="105"/>
      <c r="KHX133" s="105"/>
      <c r="KHY133" s="105"/>
      <c r="KHZ133" s="105"/>
      <c r="KIA133" s="105"/>
      <c r="KIB133" s="105"/>
      <c r="KIC133" s="105"/>
      <c r="KID133" s="105"/>
      <c r="KIE133" s="105"/>
      <c r="KIF133" s="105"/>
      <c r="KIG133" s="105"/>
      <c r="KIH133" s="105"/>
      <c r="KII133" s="105"/>
      <c r="KIJ133" s="105"/>
      <c r="KIK133" s="105"/>
      <c r="KIL133" s="105"/>
      <c r="KIM133" s="105"/>
      <c r="KIN133" s="105"/>
      <c r="KIO133" s="105"/>
      <c r="KIP133" s="105"/>
      <c r="KIQ133" s="105"/>
      <c r="KIR133" s="105"/>
      <c r="KIS133" s="105"/>
      <c r="KIT133" s="105"/>
      <c r="KIU133" s="105"/>
      <c r="KIV133" s="105"/>
      <c r="KIW133" s="105"/>
      <c r="KIX133" s="105"/>
      <c r="KIY133" s="105"/>
      <c r="KIZ133" s="105"/>
      <c r="KJA133" s="105"/>
      <c r="KJB133" s="105"/>
      <c r="KJC133" s="105"/>
      <c r="KJD133" s="105"/>
      <c r="KJE133" s="105"/>
      <c r="KJF133" s="105"/>
      <c r="KJG133" s="105"/>
      <c r="KJH133" s="105"/>
      <c r="KJI133" s="105"/>
      <c r="KJJ133" s="105"/>
      <c r="KJK133" s="105"/>
      <c r="KJL133" s="105"/>
      <c r="KJM133" s="105"/>
      <c r="KJN133" s="105"/>
      <c r="KJO133" s="105"/>
      <c r="KJP133" s="105"/>
      <c r="KJQ133" s="105"/>
      <c r="KJR133" s="105"/>
      <c r="KJS133" s="105"/>
      <c r="KJT133" s="105"/>
      <c r="KJU133" s="105"/>
      <c r="KJV133" s="105"/>
      <c r="KJW133" s="105"/>
      <c r="KJX133" s="105"/>
      <c r="KJY133" s="105"/>
      <c r="KJZ133" s="105"/>
      <c r="KKA133" s="105"/>
      <c r="KKB133" s="105"/>
      <c r="KKC133" s="105"/>
      <c r="KKD133" s="105"/>
      <c r="KKE133" s="105"/>
      <c r="KKF133" s="105"/>
      <c r="KKG133" s="105"/>
      <c r="KKH133" s="105"/>
      <c r="KKI133" s="105"/>
      <c r="KKJ133" s="105"/>
      <c r="KKK133" s="105"/>
      <c r="KKL133" s="105"/>
      <c r="KKM133" s="105"/>
      <c r="KKN133" s="105"/>
      <c r="KKO133" s="105"/>
      <c r="KKP133" s="105"/>
      <c r="KKQ133" s="105"/>
      <c r="KKR133" s="105"/>
      <c r="KKS133" s="105"/>
      <c r="KKT133" s="105"/>
      <c r="KKU133" s="105"/>
      <c r="KKV133" s="105"/>
      <c r="KKW133" s="105"/>
      <c r="KKX133" s="105"/>
      <c r="KKY133" s="105"/>
      <c r="KKZ133" s="105"/>
      <c r="KLA133" s="105"/>
      <c r="KLB133" s="105"/>
      <c r="KLC133" s="105"/>
      <c r="KLD133" s="105"/>
      <c r="KLE133" s="105"/>
      <c r="KLF133" s="105"/>
      <c r="KLG133" s="105"/>
      <c r="KLH133" s="105"/>
      <c r="KLI133" s="105"/>
      <c r="KLJ133" s="105"/>
      <c r="KLK133" s="105"/>
      <c r="KLL133" s="105"/>
      <c r="KLM133" s="105"/>
      <c r="KLN133" s="105"/>
      <c r="KLO133" s="105"/>
      <c r="KLP133" s="105"/>
      <c r="KLQ133" s="105"/>
      <c r="KLR133" s="105"/>
      <c r="KLS133" s="105"/>
      <c r="KLT133" s="105"/>
      <c r="KLU133" s="105"/>
      <c r="KLV133" s="105"/>
      <c r="KLW133" s="105"/>
      <c r="KLX133" s="105"/>
      <c r="KLY133" s="105"/>
      <c r="KLZ133" s="105"/>
      <c r="KMA133" s="105"/>
      <c r="KMB133" s="105"/>
      <c r="KMC133" s="105"/>
      <c r="KMD133" s="105"/>
      <c r="KME133" s="105"/>
      <c r="KMF133" s="105"/>
      <c r="KMG133" s="105"/>
      <c r="KMH133" s="105"/>
      <c r="KMI133" s="105"/>
      <c r="KMJ133" s="105"/>
      <c r="KMK133" s="105"/>
      <c r="KML133" s="105"/>
      <c r="KMM133" s="105"/>
      <c r="KMN133" s="105"/>
      <c r="KMO133" s="105"/>
      <c r="KMP133" s="105"/>
      <c r="KMQ133" s="105"/>
      <c r="KMR133" s="105"/>
      <c r="KMS133" s="105"/>
      <c r="KMT133" s="105"/>
      <c r="KMU133" s="105"/>
      <c r="KMV133" s="105"/>
      <c r="KMW133" s="105"/>
      <c r="KMX133" s="105"/>
      <c r="KMY133" s="105"/>
      <c r="KMZ133" s="105"/>
      <c r="KNA133" s="105"/>
      <c r="KNB133" s="105"/>
      <c r="KNC133" s="105"/>
      <c r="KND133" s="105"/>
      <c r="KNE133" s="105"/>
      <c r="KNF133" s="105"/>
      <c r="KNG133" s="105"/>
      <c r="KNH133" s="105"/>
      <c r="KNI133" s="105"/>
      <c r="KNJ133" s="105"/>
      <c r="KNK133" s="105"/>
      <c r="KNL133" s="105"/>
      <c r="KNM133" s="105"/>
      <c r="KNN133" s="105"/>
      <c r="KNO133" s="105"/>
      <c r="KNP133" s="105"/>
      <c r="KNQ133" s="105"/>
      <c r="KNR133" s="105"/>
      <c r="KNS133" s="105"/>
      <c r="KNT133" s="105"/>
      <c r="KNU133" s="105"/>
      <c r="KNV133" s="105"/>
      <c r="KNW133" s="105"/>
      <c r="KNX133" s="105"/>
      <c r="KNY133" s="105"/>
      <c r="KNZ133" s="105"/>
      <c r="KOA133" s="105"/>
      <c r="KOB133" s="105"/>
      <c r="KOC133" s="105"/>
      <c r="KOD133" s="105"/>
      <c r="KOE133" s="105"/>
      <c r="KOF133" s="105"/>
      <c r="KOG133" s="105"/>
      <c r="KOH133" s="105"/>
      <c r="KOI133" s="105"/>
      <c r="KOJ133" s="105"/>
      <c r="KOK133" s="105"/>
      <c r="KOL133" s="105"/>
      <c r="KOM133" s="105"/>
      <c r="KON133" s="105"/>
      <c r="KOO133" s="105"/>
      <c r="KOP133" s="105"/>
      <c r="KOQ133" s="105"/>
      <c r="KOR133" s="105"/>
      <c r="KOS133" s="105"/>
      <c r="KOT133" s="105"/>
      <c r="KOU133" s="105"/>
      <c r="KOV133" s="105"/>
      <c r="KOW133" s="105"/>
      <c r="KOX133" s="105"/>
      <c r="KOY133" s="105"/>
      <c r="KOZ133" s="105"/>
      <c r="KPA133" s="105"/>
      <c r="KPB133" s="105"/>
      <c r="KPC133" s="105"/>
      <c r="KPD133" s="105"/>
      <c r="KPE133" s="105"/>
      <c r="KPF133" s="105"/>
      <c r="KPG133" s="105"/>
      <c r="KPH133" s="105"/>
      <c r="KPI133" s="105"/>
      <c r="KPJ133" s="105"/>
      <c r="KPK133" s="105"/>
      <c r="KPL133" s="105"/>
      <c r="KPM133" s="105"/>
      <c r="KPN133" s="105"/>
      <c r="KPO133" s="105"/>
      <c r="KPP133" s="105"/>
      <c r="KPQ133" s="105"/>
      <c r="KPR133" s="105"/>
      <c r="KPS133" s="105"/>
      <c r="KPT133" s="105"/>
      <c r="KPU133" s="105"/>
      <c r="KPV133" s="105"/>
      <c r="KPW133" s="105"/>
      <c r="KPX133" s="105"/>
      <c r="KPY133" s="105"/>
      <c r="KPZ133" s="105"/>
      <c r="KQA133" s="105"/>
      <c r="KQB133" s="105"/>
      <c r="KQC133" s="105"/>
      <c r="KQD133" s="105"/>
      <c r="KQE133" s="105"/>
      <c r="KQF133" s="105"/>
      <c r="KQG133" s="105"/>
      <c r="KQH133" s="105"/>
      <c r="KQI133" s="105"/>
      <c r="KQJ133" s="105"/>
      <c r="KQK133" s="105"/>
      <c r="KQL133" s="105"/>
      <c r="KQM133" s="105"/>
      <c r="KQN133" s="105"/>
      <c r="KQO133" s="105"/>
      <c r="KQP133" s="105"/>
      <c r="KQQ133" s="105"/>
      <c r="KQR133" s="105"/>
      <c r="KQS133" s="105"/>
      <c r="KQT133" s="105"/>
      <c r="KQU133" s="105"/>
      <c r="KQV133" s="105"/>
      <c r="KQW133" s="105"/>
      <c r="KQX133" s="105"/>
      <c r="KQY133" s="105"/>
      <c r="KQZ133" s="105"/>
      <c r="KRA133" s="105"/>
      <c r="KRB133" s="105"/>
      <c r="KRC133" s="105"/>
      <c r="KRD133" s="105"/>
      <c r="KRE133" s="105"/>
      <c r="KRF133" s="105"/>
      <c r="KRG133" s="105"/>
      <c r="KRH133" s="105"/>
      <c r="KRI133" s="105"/>
      <c r="KRJ133" s="105"/>
      <c r="KRK133" s="105"/>
      <c r="KRL133" s="105"/>
      <c r="KRM133" s="105"/>
      <c r="KRN133" s="105"/>
      <c r="KRO133" s="105"/>
      <c r="KRP133" s="105"/>
      <c r="KRQ133" s="105"/>
      <c r="KRR133" s="105"/>
      <c r="KRS133" s="105"/>
      <c r="KRT133" s="105"/>
      <c r="KRU133" s="105"/>
      <c r="KRV133" s="105"/>
      <c r="KRW133" s="105"/>
      <c r="KRX133" s="105"/>
      <c r="KRY133" s="105"/>
      <c r="KRZ133" s="105"/>
      <c r="KSA133" s="105"/>
      <c r="KSB133" s="105"/>
      <c r="KSC133" s="105"/>
      <c r="KSD133" s="105"/>
      <c r="KSE133" s="105"/>
      <c r="KSF133" s="105"/>
      <c r="KSG133" s="105"/>
      <c r="KSH133" s="105"/>
      <c r="KSI133" s="105"/>
      <c r="KSJ133" s="105"/>
      <c r="KSK133" s="105"/>
      <c r="KSL133" s="105"/>
      <c r="KSM133" s="105"/>
      <c r="KSN133" s="105"/>
      <c r="KSO133" s="105"/>
      <c r="KSP133" s="105"/>
      <c r="KSQ133" s="105"/>
      <c r="KSR133" s="105"/>
      <c r="KSS133" s="105"/>
      <c r="KST133" s="105"/>
      <c r="KSU133" s="105"/>
      <c r="KSV133" s="105"/>
      <c r="KSW133" s="105"/>
      <c r="KSX133" s="105"/>
      <c r="KSY133" s="105"/>
      <c r="KSZ133" s="105"/>
      <c r="KTA133" s="105"/>
      <c r="KTB133" s="105"/>
      <c r="KTC133" s="105"/>
      <c r="KTD133" s="105"/>
      <c r="KTE133" s="105"/>
      <c r="KTF133" s="105"/>
      <c r="KTG133" s="105"/>
      <c r="KTH133" s="105"/>
      <c r="KTI133" s="105"/>
      <c r="KTJ133" s="105"/>
      <c r="KTK133" s="105"/>
      <c r="KTL133" s="105"/>
      <c r="KTM133" s="105"/>
      <c r="KTN133" s="105"/>
      <c r="KTO133" s="105"/>
      <c r="KTP133" s="105"/>
      <c r="KTQ133" s="105"/>
      <c r="KTR133" s="105"/>
      <c r="KTS133" s="105"/>
      <c r="KTT133" s="105"/>
      <c r="KTU133" s="105"/>
      <c r="KTV133" s="105"/>
      <c r="KTW133" s="105"/>
      <c r="KTX133" s="105"/>
      <c r="KTY133" s="105"/>
      <c r="KTZ133" s="105"/>
      <c r="KUA133" s="105"/>
      <c r="KUB133" s="105"/>
      <c r="KUC133" s="105"/>
      <c r="KUD133" s="105"/>
      <c r="KUE133" s="105"/>
      <c r="KUF133" s="105"/>
      <c r="KUG133" s="105"/>
      <c r="KUH133" s="105"/>
      <c r="KUI133" s="105"/>
      <c r="KUJ133" s="105"/>
      <c r="KUK133" s="105"/>
      <c r="KUL133" s="105"/>
      <c r="KUM133" s="105"/>
      <c r="KUN133" s="105"/>
      <c r="KUO133" s="105"/>
      <c r="KUP133" s="105"/>
      <c r="KUQ133" s="105"/>
      <c r="KUR133" s="105"/>
      <c r="KUS133" s="105"/>
      <c r="KUT133" s="105"/>
      <c r="KUU133" s="105"/>
      <c r="KUV133" s="105"/>
      <c r="KUW133" s="105"/>
      <c r="KUX133" s="105"/>
      <c r="KUY133" s="105"/>
      <c r="KUZ133" s="105"/>
      <c r="KVA133" s="105"/>
      <c r="KVB133" s="105"/>
      <c r="KVC133" s="105"/>
      <c r="KVD133" s="105"/>
      <c r="KVE133" s="105"/>
      <c r="KVF133" s="105"/>
      <c r="KVG133" s="105"/>
      <c r="KVH133" s="105"/>
      <c r="KVI133" s="105"/>
      <c r="KVJ133" s="105"/>
      <c r="KVK133" s="105"/>
      <c r="KVL133" s="105"/>
      <c r="KVM133" s="105"/>
      <c r="KVN133" s="105"/>
      <c r="KVO133" s="105"/>
      <c r="KVP133" s="105"/>
      <c r="KVQ133" s="105"/>
      <c r="KVR133" s="105"/>
      <c r="KVS133" s="105"/>
      <c r="KVT133" s="105"/>
      <c r="KVU133" s="105"/>
      <c r="KVV133" s="105"/>
      <c r="KVW133" s="105"/>
      <c r="KVX133" s="105"/>
      <c r="KVY133" s="105"/>
      <c r="KVZ133" s="105"/>
      <c r="KWA133" s="105"/>
      <c r="KWB133" s="105"/>
      <c r="KWC133" s="105"/>
      <c r="KWD133" s="105"/>
      <c r="KWE133" s="105"/>
      <c r="KWF133" s="105"/>
      <c r="KWG133" s="105"/>
      <c r="KWH133" s="105"/>
      <c r="KWI133" s="105"/>
      <c r="KWJ133" s="105"/>
      <c r="KWK133" s="105"/>
      <c r="KWL133" s="105"/>
      <c r="KWM133" s="105"/>
      <c r="KWN133" s="105"/>
      <c r="KWO133" s="105"/>
      <c r="KWP133" s="105"/>
      <c r="KWQ133" s="105"/>
      <c r="KWR133" s="105"/>
      <c r="KWS133" s="105"/>
      <c r="KWT133" s="105"/>
      <c r="KWU133" s="105"/>
      <c r="KWV133" s="105"/>
      <c r="KWW133" s="105"/>
      <c r="KWX133" s="105"/>
      <c r="KWY133" s="105"/>
      <c r="KWZ133" s="105"/>
      <c r="KXA133" s="105"/>
      <c r="KXB133" s="105"/>
      <c r="KXC133" s="105"/>
      <c r="KXD133" s="105"/>
      <c r="KXE133" s="105"/>
      <c r="KXF133" s="105"/>
      <c r="KXG133" s="105"/>
      <c r="KXH133" s="105"/>
      <c r="KXI133" s="105"/>
      <c r="KXJ133" s="105"/>
      <c r="KXK133" s="105"/>
      <c r="KXL133" s="105"/>
      <c r="KXM133" s="105"/>
      <c r="KXN133" s="105"/>
      <c r="KXO133" s="105"/>
      <c r="KXP133" s="105"/>
      <c r="KXQ133" s="105"/>
      <c r="KXR133" s="105"/>
      <c r="KXS133" s="105"/>
      <c r="KXT133" s="105"/>
      <c r="KXU133" s="105"/>
      <c r="KXV133" s="105"/>
      <c r="KXW133" s="105"/>
      <c r="KXX133" s="105"/>
      <c r="KXY133" s="105"/>
      <c r="KXZ133" s="105"/>
      <c r="KYA133" s="105"/>
      <c r="KYB133" s="105"/>
      <c r="KYC133" s="105"/>
      <c r="KYD133" s="105"/>
      <c r="KYE133" s="105"/>
      <c r="KYF133" s="105"/>
      <c r="KYG133" s="105"/>
      <c r="KYH133" s="105"/>
      <c r="KYI133" s="105"/>
      <c r="KYJ133" s="105"/>
      <c r="KYK133" s="105"/>
      <c r="KYL133" s="105"/>
      <c r="KYM133" s="105"/>
      <c r="KYN133" s="105"/>
      <c r="KYO133" s="105"/>
      <c r="KYP133" s="105"/>
      <c r="KYQ133" s="105"/>
      <c r="KYR133" s="105"/>
      <c r="KYS133" s="105"/>
      <c r="KYT133" s="105"/>
      <c r="KYU133" s="105"/>
      <c r="KYV133" s="105"/>
      <c r="KYW133" s="105"/>
      <c r="KYX133" s="105"/>
      <c r="KYY133" s="105"/>
      <c r="KYZ133" s="105"/>
      <c r="KZA133" s="105"/>
      <c r="KZB133" s="105"/>
      <c r="KZC133" s="105"/>
      <c r="KZD133" s="105"/>
      <c r="KZE133" s="105"/>
      <c r="KZF133" s="105"/>
      <c r="KZG133" s="105"/>
      <c r="KZH133" s="105"/>
      <c r="KZI133" s="105"/>
      <c r="KZJ133" s="105"/>
      <c r="KZK133" s="105"/>
      <c r="KZL133" s="105"/>
      <c r="KZM133" s="105"/>
      <c r="KZN133" s="105"/>
      <c r="KZO133" s="105"/>
      <c r="KZP133" s="105"/>
      <c r="KZQ133" s="105"/>
      <c r="KZR133" s="105"/>
      <c r="KZS133" s="105"/>
      <c r="KZT133" s="105"/>
      <c r="KZU133" s="105"/>
      <c r="KZV133" s="105"/>
      <c r="KZW133" s="105"/>
      <c r="KZX133" s="105"/>
      <c r="KZY133" s="105"/>
      <c r="KZZ133" s="105"/>
      <c r="LAA133" s="105"/>
      <c r="LAB133" s="105"/>
      <c r="LAC133" s="105"/>
      <c r="LAD133" s="105"/>
      <c r="LAE133" s="105"/>
      <c r="LAF133" s="105"/>
      <c r="LAG133" s="105"/>
      <c r="LAH133" s="105"/>
      <c r="LAI133" s="105"/>
      <c r="LAJ133" s="105"/>
      <c r="LAK133" s="105"/>
      <c r="LAL133" s="105"/>
      <c r="LAM133" s="105"/>
      <c r="LAN133" s="105"/>
      <c r="LAO133" s="105"/>
      <c r="LAP133" s="105"/>
      <c r="LAQ133" s="105"/>
      <c r="LAR133" s="105"/>
      <c r="LAS133" s="105"/>
      <c r="LAT133" s="105"/>
      <c r="LAU133" s="105"/>
      <c r="LAV133" s="105"/>
      <c r="LAW133" s="105"/>
      <c r="LAX133" s="105"/>
      <c r="LAY133" s="105"/>
      <c r="LAZ133" s="105"/>
      <c r="LBA133" s="105"/>
      <c r="LBB133" s="105"/>
      <c r="LBC133" s="105"/>
      <c r="LBD133" s="105"/>
      <c r="LBE133" s="105"/>
      <c r="LBF133" s="105"/>
      <c r="LBG133" s="105"/>
      <c r="LBH133" s="105"/>
      <c r="LBI133" s="105"/>
      <c r="LBJ133" s="105"/>
      <c r="LBK133" s="105"/>
      <c r="LBL133" s="105"/>
      <c r="LBM133" s="105"/>
      <c r="LBN133" s="105"/>
      <c r="LBO133" s="105"/>
      <c r="LBP133" s="105"/>
      <c r="LBQ133" s="105"/>
      <c r="LBR133" s="105"/>
      <c r="LBS133" s="105"/>
      <c r="LBT133" s="105"/>
      <c r="LBU133" s="105"/>
      <c r="LBV133" s="105"/>
      <c r="LBW133" s="105"/>
      <c r="LBX133" s="105"/>
      <c r="LBY133" s="105"/>
      <c r="LBZ133" s="105"/>
      <c r="LCA133" s="105"/>
      <c r="LCB133" s="105"/>
      <c r="LCC133" s="105"/>
      <c r="LCD133" s="105"/>
      <c r="LCE133" s="105"/>
      <c r="LCF133" s="105"/>
      <c r="LCG133" s="105"/>
      <c r="LCH133" s="105"/>
      <c r="LCI133" s="105"/>
      <c r="LCJ133" s="105"/>
      <c r="LCK133" s="105"/>
      <c r="LCL133" s="105"/>
      <c r="LCM133" s="105"/>
      <c r="LCN133" s="105"/>
      <c r="LCO133" s="105"/>
      <c r="LCP133" s="105"/>
      <c r="LCQ133" s="105"/>
      <c r="LCR133" s="105"/>
      <c r="LCS133" s="105"/>
      <c r="LCT133" s="105"/>
      <c r="LCU133" s="105"/>
      <c r="LCV133" s="105"/>
      <c r="LCW133" s="105"/>
      <c r="LCX133" s="105"/>
      <c r="LCY133" s="105"/>
      <c r="LCZ133" s="105"/>
      <c r="LDA133" s="105"/>
      <c r="LDB133" s="105"/>
      <c r="LDC133" s="105"/>
      <c r="LDD133" s="105"/>
      <c r="LDE133" s="105"/>
      <c r="LDF133" s="105"/>
      <c r="LDG133" s="105"/>
      <c r="LDH133" s="105"/>
      <c r="LDI133" s="105"/>
      <c r="LDJ133" s="105"/>
      <c r="LDK133" s="105"/>
      <c r="LDL133" s="105"/>
      <c r="LDM133" s="105"/>
      <c r="LDN133" s="105"/>
      <c r="LDO133" s="105"/>
      <c r="LDP133" s="105"/>
      <c r="LDQ133" s="105"/>
      <c r="LDR133" s="105"/>
      <c r="LDS133" s="105"/>
      <c r="LDT133" s="105"/>
      <c r="LDU133" s="105"/>
      <c r="LDV133" s="105"/>
      <c r="LDW133" s="105"/>
      <c r="LDX133" s="105"/>
      <c r="LDY133" s="105"/>
      <c r="LDZ133" s="105"/>
      <c r="LEA133" s="105"/>
      <c r="LEB133" s="105"/>
      <c r="LEC133" s="105"/>
      <c r="LED133" s="105"/>
      <c r="LEE133" s="105"/>
      <c r="LEF133" s="105"/>
      <c r="LEG133" s="105"/>
      <c r="LEH133" s="105"/>
      <c r="LEI133" s="105"/>
      <c r="LEJ133" s="105"/>
      <c r="LEK133" s="105"/>
      <c r="LEL133" s="105"/>
      <c r="LEM133" s="105"/>
      <c r="LEN133" s="105"/>
      <c r="LEO133" s="105"/>
      <c r="LEP133" s="105"/>
      <c r="LEQ133" s="105"/>
      <c r="LER133" s="105"/>
      <c r="LES133" s="105"/>
      <c r="LET133" s="105"/>
      <c r="LEU133" s="105"/>
      <c r="LEV133" s="105"/>
      <c r="LEW133" s="105"/>
      <c r="LEX133" s="105"/>
      <c r="LEY133" s="105"/>
      <c r="LEZ133" s="105"/>
      <c r="LFA133" s="105"/>
      <c r="LFB133" s="105"/>
      <c r="LFC133" s="105"/>
      <c r="LFD133" s="105"/>
      <c r="LFE133" s="105"/>
      <c r="LFF133" s="105"/>
      <c r="LFG133" s="105"/>
      <c r="LFH133" s="105"/>
      <c r="LFI133" s="105"/>
      <c r="LFJ133" s="105"/>
      <c r="LFK133" s="105"/>
      <c r="LFL133" s="105"/>
      <c r="LFM133" s="105"/>
      <c r="LFN133" s="105"/>
      <c r="LFO133" s="105"/>
      <c r="LFP133" s="105"/>
      <c r="LFQ133" s="105"/>
      <c r="LFR133" s="105"/>
      <c r="LFS133" s="105"/>
      <c r="LFT133" s="105"/>
      <c r="LFU133" s="105"/>
      <c r="LFV133" s="105"/>
      <c r="LFW133" s="105"/>
      <c r="LFX133" s="105"/>
      <c r="LFY133" s="105"/>
      <c r="LFZ133" s="105"/>
      <c r="LGA133" s="105"/>
      <c r="LGB133" s="105"/>
      <c r="LGC133" s="105"/>
      <c r="LGD133" s="105"/>
      <c r="LGE133" s="105"/>
      <c r="LGF133" s="105"/>
      <c r="LGG133" s="105"/>
      <c r="LGH133" s="105"/>
      <c r="LGI133" s="105"/>
      <c r="LGJ133" s="105"/>
      <c r="LGK133" s="105"/>
      <c r="LGL133" s="105"/>
      <c r="LGM133" s="105"/>
      <c r="LGN133" s="105"/>
      <c r="LGO133" s="105"/>
      <c r="LGP133" s="105"/>
      <c r="LGQ133" s="105"/>
      <c r="LGR133" s="105"/>
      <c r="LGS133" s="105"/>
      <c r="LGT133" s="105"/>
      <c r="LGU133" s="105"/>
      <c r="LGV133" s="105"/>
      <c r="LGW133" s="105"/>
      <c r="LGX133" s="105"/>
      <c r="LGY133" s="105"/>
      <c r="LGZ133" s="105"/>
      <c r="LHA133" s="105"/>
      <c r="LHB133" s="105"/>
      <c r="LHC133" s="105"/>
      <c r="LHD133" s="105"/>
      <c r="LHE133" s="105"/>
      <c r="LHF133" s="105"/>
      <c r="LHG133" s="105"/>
      <c r="LHH133" s="105"/>
      <c r="LHI133" s="105"/>
      <c r="LHJ133" s="105"/>
      <c r="LHK133" s="105"/>
      <c r="LHL133" s="105"/>
      <c r="LHM133" s="105"/>
      <c r="LHN133" s="105"/>
      <c r="LHO133" s="105"/>
      <c r="LHP133" s="105"/>
      <c r="LHQ133" s="105"/>
      <c r="LHR133" s="105"/>
      <c r="LHS133" s="105"/>
      <c r="LHT133" s="105"/>
      <c r="LHU133" s="105"/>
      <c r="LHV133" s="105"/>
      <c r="LHW133" s="105"/>
      <c r="LHX133" s="105"/>
      <c r="LHY133" s="105"/>
      <c r="LHZ133" s="105"/>
      <c r="LIA133" s="105"/>
      <c r="LIB133" s="105"/>
      <c r="LIC133" s="105"/>
      <c r="LID133" s="105"/>
      <c r="LIE133" s="105"/>
      <c r="LIF133" s="105"/>
      <c r="LIG133" s="105"/>
      <c r="LIH133" s="105"/>
      <c r="LII133" s="105"/>
      <c r="LIJ133" s="105"/>
      <c r="LIK133" s="105"/>
      <c r="LIL133" s="105"/>
      <c r="LIM133" s="105"/>
      <c r="LIN133" s="105"/>
      <c r="LIO133" s="105"/>
      <c r="LIP133" s="105"/>
      <c r="LIQ133" s="105"/>
      <c r="LIR133" s="105"/>
      <c r="LIS133" s="105"/>
      <c r="LIT133" s="105"/>
      <c r="LIU133" s="105"/>
      <c r="LIV133" s="105"/>
      <c r="LIW133" s="105"/>
      <c r="LIX133" s="105"/>
      <c r="LIY133" s="105"/>
      <c r="LIZ133" s="105"/>
      <c r="LJA133" s="105"/>
      <c r="LJB133" s="105"/>
      <c r="LJC133" s="105"/>
      <c r="LJD133" s="105"/>
      <c r="LJE133" s="105"/>
      <c r="LJF133" s="105"/>
      <c r="LJG133" s="105"/>
      <c r="LJH133" s="105"/>
      <c r="LJI133" s="105"/>
      <c r="LJJ133" s="105"/>
      <c r="LJK133" s="105"/>
      <c r="LJL133" s="105"/>
      <c r="LJM133" s="105"/>
      <c r="LJN133" s="105"/>
      <c r="LJO133" s="105"/>
      <c r="LJP133" s="105"/>
      <c r="LJQ133" s="105"/>
      <c r="LJR133" s="105"/>
      <c r="LJS133" s="105"/>
      <c r="LJT133" s="105"/>
      <c r="LJU133" s="105"/>
      <c r="LJV133" s="105"/>
      <c r="LJW133" s="105"/>
      <c r="LJX133" s="105"/>
      <c r="LJY133" s="105"/>
      <c r="LJZ133" s="105"/>
      <c r="LKA133" s="105"/>
      <c r="LKB133" s="105"/>
      <c r="LKC133" s="105"/>
      <c r="LKD133" s="105"/>
      <c r="LKE133" s="105"/>
      <c r="LKF133" s="105"/>
      <c r="LKG133" s="105"/>
      <c r="LKH133" s="105"/>
      <c r="LKI133" s="105"/>
      <c r="LKJ133" s="105"/>
      <c r="LKK133" s="105"/>
      <c r="LKL133" s="105"/>
      <c r="LKM133" s="105"/>
      <c r="LKN133" s="105"/>
      <c r="LKO133" s="105"/>
      <c r="LKP133" s="105"/>
      <c r="LKQ133" s="105"/>
      <c r="LKR133" s="105"/>
      <c r="LKS133" s="105"/>
      <c r="LKT133" s="105"/>
      <c r="LKU133" s="105"/>
      <c r="LKV133" s="105"/>
      <c r="LKW133" s="105"/>
      <c r="LKX133" s="105"/>
      <c r="LKY133" s="105"/>
      <c r="LKZ133" s="105"/>
      <c r="LLA133" s="105"/>
      <c r="LLB133" s="105"/>
      <c r="LLC133" s="105"/>
      <c r="LLD133" s="105"/>
      <c r="LLE133" s="105"/>
      <c r="LLF133" s="105"/>
      <c r="LLG133" s="105"/>
      <c r="LLH133" s="105"/>
      <c r="LLI133" s="105"/>
      <c r="LLJ133" s="105"/>
      <c r="LLK133" s="105"/>
      <c r="LLL133" s="105"/>
      <c r="LLM133" s="105"/>
      <c r="LLN133" s="105"/>
      <c r="LLO133" s="105"/>
      <c r="LLP133" s="105"/>
      <c r="LLQ133" s="105"/>
      <c r="LLR133" s="105"/>
      <c r="LLS133" s="105"/>
      <c r="LLT133" s="105"/>
      <c r="LLU133" s="105"/>
      <c r="LLV133" s="105"/>
      <c r="LLW133" s="105"/>
      <c r="LLX133" s="105"/>
      <c r="LLY133" s="105"/>
      <c r="LLZ133" s="105"/>
      <c r="LMA133" s="105"/>
      <c r="LMB133" s="105"/>
      <c r="LMC133" s="105"/>
      <c r="LMD133" s="105"/>
      <c r="LME133" s="105"/>
      <c r="LMF133" s="105"/>
      <c r="LMG133" s="105"/>
      <c r="LMH133" s="105"/>
      <c r="LMI133" s="105"/>
      <c r="LMJ133" s="105"/>
      <c r="LMK133" s="105"/>
      <c r="LML133" s="105"/>
      <c r="LMM133" s="105"/>
      <c r="LMN133" s="105"/>
      <c r="LMO133" s="105"/>
      <c r="LMP133" s="105"/>
      <c r="LMQ133" s="105"/>
      <c r="LMR133" s="105"/>
      <c r="LMS133" s="105"/>
      <c r="LMT133" s="105"/>
      <c r="LMU133" s="105"/>
      <c r="LMV133" s="105"/>
      <c r="LMW133" s="105"/>
      <c r="LMX133" s="105"/>
      <c r="LMY133" s="105"/>
      <c r="LMZ133" s="105"/>
      <c r="LNA133" s="105"/>
      <c r="LNB133" s="105"/>
      <c r="LNC133" s="105"/>
      <c r="LND133" s="105"/>
      <c r="LNE133" s="105"/>
      <c r="LNF133" s="105"/>
      <c r="LNG133" s="105"/>
      <c r="LNH133" s="105"/>
      <c r="LNI133" s="105"/>
      <c r="LNJ133" s="105"/>
      <c r="LNK133" s="105"/>
      <c r="LNL133" s="105"/>
      <c r="LNM133" s="105"/>
      <c r="LNN133" s="105"/>
      <c r="LNO133" s="105"/>
      <c r="LNP133" s="105"/>
      <c r="LNQ133" s="105"/>
      <c r="LNR133" s="105"/>
      <c r="LNS133" s="105"/>
      <c r="LNT133" s="105"/>
      <c r="LNU133" s="105"/>
      <c r="LNV133" s="105"/>
      <c r="LNW133" s="105"/>
      <c r="LNX133" s="105"/>
      <c r="LNY133" s="105"/>
      <c r="LNZ133" s="105"/>
      <c r="LOA133" s="105"/>
      <c r="LOB133" s="105"/>
      <c r="LOC133" s="105"/>
      <c r="LOD133" s="105"/>
      <c r="LOE133" s="105"/>
      <c r="LOF133" s="105"/>
      <c r="LOG133" s="105"/>
      <c r="LOH133" s="105"/>
      <c r="LOI133" s="105"/>
      <c r="LOJ133" s="105"/>
      <c r="LOK133" s="105"/>
      <c r="LOL133" s="105"/>
      <c r="LOM133" s="105"/>
      <c r="LON133" s="105"/>
      <c r="LOO133" s="105"/>
      <c r="LOP133" s="105"/>
      <c r="LOQ133" s="105"/>
      <c r="LOR133" s="105"/>
      <c r="LOS133" s="105"/>
      <c r="LOT133" s="105"/>
      <c r="LOU133" s="105"/>
      <c r="LOV133" s="105"/>
      <c r="LOW133" s="105"/>
      <c r="LOX133" s="105"/>
      <c r="LOY133" s="105"/>
      <c r="LOZ133" s="105"/>
      <c r="LPA133" s="105"/>
      <c r="LPB133" s="105"/>
      <c r="LPC133" s="105"/>
      <c r="LPD133" s="105"/>
      <c r="LPE133" s="105"/>
      <c r="LPF133" s="105"/>
      <c r="LPG133" s="105"/>
      <c r="LPH133" s="105"/>
      <c r="LPI133" s="105"/>
      <c r="LPJ133" s="105"/>
      <c r="LPK133" s="105"/>
      <c r="LPL133" s="105"/>
      <c r="LPM133" s="105"/>
      <c r="LPN133" s="105"/>
      <c r="LPO133" s="105"/>
      <c r="LPP133" s="105"/>
      <c r="LPQ133" s="105"/>
      <c r="LPR133" s="105"/>
      <c r="LPS133" s="105"/>
      <c r="LPT133" s="105"/>
      <c r="LPU133" s="105"/>
      <c r="LPV133" s="105"/>
      <c r="LPW133" s="105"/>
      <c r="LPX133" s="105"/>
      <c r="LPY133" s="105"/>
      <c r="LPZ133" s="105"/>
      <c r="LQA133" s="105"/>
      <c r="LQB133" s="105"/>
      <c r="LQC133" s="105"/>
      <c r="LQD133" s="105"/>
      <c r="LQE133" s="105"/>
      <c r="LQF133" s="105"/>
      <c r="LQG133" s="105"/>
      <c r="LQH133" s="105"/>
      <c r="LQI133" s="105"/>
      <c r="LQJ133" s="105"/>
      <c r="LQK133" s="105"/>
      <c r="LQL133" s="105"/>
      <c r="LQM133" s="105"/>
      <c r="LQN133" s="105"/>
      <c r="LQO133" s="105"/>
      <c r="LQP133" s="105"/>
      <c r="LQQ133" s="105"/>
      <c r="LQR133" s="105"/>
      <c r="LQS133" s="105"/>
      <c r="LQT133" s="105"/>
      <c r="LQU133" s="105"/>
      <c r="LQV133" s="105"/>
      <c r="LQW133" s="105"/>
      <c r="LQX133" s="105"/>
      <c r="LQY133" s="105"/>
      <c r="LQZ133" s="105"/>
      <c r="LRA133" s="105"/>
      <c r="LRB133" s="105"/>
      <c r="LRC133" s="105"/>
      <c r="LRD133" s="105"/>
      <c r="LRE133" s="105"/>
      <c r="LRF133" s="105"/>
      <c r="LRG133" s="105"/>
      <c r="LRH133" s="105"/>
      <c r="LRI133" s="105"/>
      <c r="LRJ133" s="105"/>
      <c r="LRK133" s="105"/>
      <c r="LRL133" s="105"/>
      <c r="LRM133" s="105"/>
      <c r="LRN133" s="105"/>
      <c r="LRO133" s="105"/>
      <c r="LRP133" s="105"/>
      <c r="LRQ133" s="105"/>
      <c r="LRR133" s="105"/>
      <c r="LRS133" s="105"/>
      <c r="LRT133" s="105"/>
      <c r="LRU133" s="105"/>
      <c r="LRV133" s="105"/>
      <c r="LRW133" s="105"/>
      <c r="LRX133" s="105"/>
      <c r="LRY133" s="105"/>
      <c r="LRZ133" s="105"/>
      <c r="LSA133" s="105"/>
      <c r="LSB133" s="105"/>
      <c r="LSC133" s="105"/>
      <c r="LSD133" s="105"/>
      <c r="LSE133" s="105"/>
      <c r="LSF133" s="105"/>
      <c r="LSG133" s="105"/>
      <c r="LSH133" s="105"/>
      <c r="LSI133" s="105"/>
      <c r="LSJ133" s="105"/>
      <c r="LSK133" s="105"/>
      <c r="LSL133" s="105"/>
      <c r="LSM133" s="105"/>
      <c r="LSN133" s="105"/>
      <c r="LSO133" s="105"/>
      <c r="LSP133" s="105"/>
      <c r="LSQ133" s="105"/>
      <c r="LSR133" s="105"/>
      <c r="LSS133" s="105"/>
      <c r="LST133" s="105"/>
      <c r="LSU133" s="105"/>
      <c r="LSV133" s="105"/>
      <c r="LSW133" s="105"/>
      <c r="LSX133" s="105"/>
      <c r="LSY133" s="105"/>
      <c r="LSZ133" s="105"/>
      <c r="LTA133" s="105"/>
      <c r="LTB133" s="105"/>
      <c r="LTC133" s="105"/>
      <c r="LTD133" s="105"/>
      <c r="LTE133" s="105"/>
      <c r="LTF133" s="105"/>
      <c r="LTG133" s="105"/>
      <c r="LTH133" s="105"/>
      <c r="LTI133" s="105"/>
      <c r="LTJ133" s="105"/>
      <c r="LTK133" s="105"/>
      <c r="LTL133" s="105"/>
      <c r="LTM133" s="105"/>
      <c r="LTN133" s="105"/>
      <c r="LTO133" s="105"/>
      <c r="LTP133" s="105"/>
      <c r="LTQ133" s="105"/>
      <c r="LTR133" s="105"/>
      <c r="LTS133" s="105"/>
      <c r="LTT133" s="105"/>
      <c r="LTU133" s="105"/>
      <c r="LTV133" s="105"/>
      <c r="LTW133" s="105"/>
      <c r="LTX133" s="105"/>
      <c r="LTY133" s="105"/>
      <c r="LTZ133" s="105"/>
      <c r="LUA133" s="105"/>
      <c r="LUB133" s="105"/>
      <c r="LUC133" s="105"/>
      <c r="LUD133" s="105"/>
      <c r="LUE133" s="105"/>
      <c r="LUF133" s="105"/>
      <c r="LUG133" s="105"/>
      <c r="LUH133" s="105"/>
      <c r="LUI133" s="105"/>
      <c r="LUJ133" s="105"/>
      <c r="LUK133" s="105"/>
      <c r="LUL133" s="105"/>
      <c r="LUM133" s="105"/>
      <c r="LUN133" s="105"/>
      <c r="LUO133" s="105"/>
      <c r="LUP133" s="105"/>
      <c r="LUQ133" s="105"/>
      <c r="LUR133" s="105"/>
      <c r="LUS133" s="105"/>
      <c r="LUT133" s="105"/>
      <c r="LUU133" s="105"/>
      <c r="LUV133" s="105"/>
      <c r="LUW133" s="105"/>
      <c r="LUX133" s="105"/>
      <c r="LUY133" s="105"/>
      <c r="LUZ133" s="105"/>
      <c r="LVA133" s="105"/>
      <c r="LVB133" s="105"/>
      <c r="LVC133" s="105"/>
      <c r="LVD133" s="105"/>
      <c r="LVE133" s="105"/>
      <c r="LVF133" s="105"/>
      <c r="LVG133" s="105"/>
      <c r="LVH133" s="105"/>
      <c r="LVI133" s="105"/>
      <c r="LVJ133" s="105"/>
      <c r="LVK133" s="105"/>
      <c r="LVL133" s="105"/>
      <c r="LVM133" s="105"/>
      <c r="LVN133" s="105"/>
      <c r="LVO133" s="105"/>
      <c r="LVP133" s="105"/>
      <c r="LVQ133" s="105"/>
      <c r="LVR133" s="105"/>
      <c r="LVS133" s="105"/>
      <c r="LVT133" s="105"/>
      <c r="LVU133" s="105"/>
      <c r="LVV133" s="105"/>
      <c r="LVW133" s="105"/>
      <c r="LVX133" s="105"/>
      <c r="LVY133" s="105"/>
      <c r="LVZ133" s="105"/>
      <c r="LWA133" s="105"/>
      <c r="LWB133" s="105"/>
      <c r="LWC133" s="105"/>
      <c r="LWD133" s="105"/>
      <c r="LWE133" s="105"/>
      <c r="LWF133" s="105"/>
      <c r="LWG133" s="105"/>
      <c r="LWH133" s="105"/>
      <c r="LWI133" s="105"/>
      <c r="LWJ133" s="105"/>
      <c r="LWK133" s="105"/>
      <c r="LWL133" s="105"/>
      <c r="LWM133" s="105"/>
      <c r="LWN133" s="105"/>
      <c r="LWO133" s="105"/>
      <c r="LWP133" s="105"/>
      <c r="LWQ133" s="105"/>
      <c r="LWR133" s="105"/>
      <c r="LWS133" s="105"/>
      <c r="LWT133" s="105"/>
      <c r="LWU133" s="105"/>
      <c r="LWV133" s="105"/>
      <c r="LWW133" s="105"/>
      <c r="LWX133" s="105"/>
      <c r="LWY133" s="105"/>
      <c r="LWZ133" s="105"/>
      <c r="LXA133" s="105"/>
      <c r="LXB133" s="105"/>
      <c r="LXC133" s="105"/>
      <c r="LXD133" s="105"/>
      <c r="LXE133" s="105"/>
      <c r="LXF133" s="105"/>
      <c r="LXG133" s="105"/>
      <c r="LXH133" s="105"/>
      <c r="LXI133" s="105"/>
      <c r="LXJ133" s="105"/>
      <c r="LXK133" s="105"/>
      <c r="LXL133" s="105"/>
      <c r="LXM133" s="105"/>
      <c r="LXN133" s="105"/>
      <c r="LXO133" s="105"/>
      <c r="LXP133" s="105"/>
      <c r="LXQ133" s="105"/>
      <c r="LXR133" s="105"/>
      <c r="LXS133" s="105"/>
      <c r="LXT133" s="105"/>
      <c r="LXU133" s="105"/>
      <c r="LXV133" s="105"/>
      <c r="LXW133" s="105"/>
      <c r="LXX133" s="105"/>
      <c r="LXY133" s="105"/>
      <c r="LXZ133" s="105"/>
      <c r="LYA133" s="105"/>
      <c r="LYB133" s="105"/>
      <c r="LYC133" s="105"/>
      <c r="LYD133" s="105"/>
      <c r="LYE133" s="105"/>
      <c r="LYF133" s="105"/>
      <c r="LYG133" s="105"/>
      <c r="LYH133" s="105"/>
      <c r="LYI133" s="105"/>
      <c r="LYJ133" s="105"/>
      <c r="LYK133" s="105"/>
      <c r="LYL133" s="105"/>
      <c r="LYM133" s="105"/>
      <c r="LYN133" s="105"/>
      <c r="LYO133" s="105"/>
      <c r="LYP133" s="105"/>
      <c r="LYQ133" s="105"/>
      <c r="LYR133" s="105"/>
      <c r="LYS133" s="105"/>
      <c r="LYT133" s="105"/>
      <c r="LYU133" s="105"/>
      <c r="LYV133" s="105"/>
      <c r="LYW133" s="105"/>
      <c r="LYX133" s="105"/>
      <c r="LYY133" s="105"/>
      <c r="LYZ133" s="105"/>
      <c r="LZA133" s="105"/>
      <c r="LZB133" s="105"/>
      <c r="LZC133" s="105"/>
      <c r="LZD133" s="105"/>
      <c r="LZE133" s="105"/>
      <c r="LZF133" s="105"/>
      <c r="LZG133" s="105"/>
      <c r="LZH133" s="105"/>
      <c r="LZI133" s="105"/>
      <c r="LZJ133" s="105"/>
      <c r="LZK133" s="105"/>
      <c r="LZL133" s="105"/>
      <c r="LZM133" s="105"/>
      <c r="LZN133" s="105"/>
      <c r="LZO133" s="105"/>
      <c r="LZP133" s="105"/>
      <c r="LZQ133" s="105"/>
      <c r="LZR133" s="105"/>
      <c r="LZS133" s="105"/>
      <c r="LZT133" s="105"/>
      <c r="LZU133" s="105"/>
      <c r="LZV133" s="105"/>
      <c r="LZW133" s="105"/>
      <c r="LZX133" s="105"/>
      <c r="LZY133" s="105"/>
      <c r="LZZ133" s="105"/>
      <c r="MAA133" s="105"/>
      <c r="MAB133" s="105"/>
      <c r="MAC133" s="105"/>
      <c r="MAD133" s="105"/>
      <c r="MAE133" s="105"/>
      <c r="MAF133" s="105"/>
      <c r="MAG133" s="105"/>
      <c r="MAH133" s="105"/>
      <c r="MAI133" s="105"/>
      <c r="MAJ133" s="105"/>
      <c r="MAK133" s="105"/>
      <c r="MAL133" s="105"/>
      <c r="MAM133" s="105"/>
      <c r="MAN133" s="105"/>
      <c r="MAO133" s="105"/>
      <c r="MAP133" s="105"/>
      <c r="MAQ133" s="105"/>
      <c r="MAR133" s="105"/>
      <c r="MAS133" s="105"/>
      <c r="MAT133" s="105"/>
      <c r="MAU133" s="105"/>
      <c r="MAV133" s="105"/>
      <c r="MAW133" s="105"/>
      <c r="MAX133" s="105"/>
      <c r="MAY133" s="105"/>
      <c r="MAZ133" s="105"/>
      <c r="MBA133" s="105"/>
      <c r="MBB133" s="105"/>
      <c r="MBC133" s="105"/>
      <c r="MBD133" s="105"/>
      <c r="MBE133" s="105"/>
      <c r="MBF133" s="105"/>
      <c r="MBG133" s="105"/>
      <c r="MBH133" s="105"/>
      <c r="MBI133" s="105"/>
      <c r="MBJ133" s="105"/>
      <c r="MBK133" s="105"/>
      <c r="MBL133" s="105"/>
      <c r="MBM133" s="105"/>
      <c r="MBN133" s="105"/>
      <c r="MBO133" s="105"/>
      <c r="MBP133" s="105"/>
      <c r="MBQ133" s="105"/>
      <c r="MBR133" s="105"/>
      <c r="MBS133" s="105"/>
      <c r="MBT133" s="105"/>
      <c r="MBU133" s="105"/>
      <c r="MBV133" s="105"/>
      <c r="MBW133" s="105"/>
      <c r="MBX133" s="105"/>
      <c r="MBY133" s="105"/>
      <c r="MBZ133" s="105"/>
      <c r="MCA133" s="105"/>
      <c r="MCB133" s="105"/>
      <c r="MCC133" s="105"/>
      <c r="MCD133" s="105"/>
      <c r="MCE133" s="105"/>
      <c r="MCF133" s="105"/>
      <c r="MCG133" s="105"/>
      <c r="MCH133" s="105"/>
      <c r="MCI133" s="105"/>
      <c r="MCJ133" s="105"/>
      <c r="MCK133" s="105"/>
      <c r="MCL133" s="105"/>
      <c r="MCM133" s="105"/>
      <c r="MCN133" s="105"/>
      <c r="MCO133" s="105"/>
      <c r="MCP133" s="105"/>
      <c r="MCQ133" s="105"/>
      <c r="MCR133" s="105"/>
      <c r="MCS133" s="105"/>
      <c r="MCT133" s="105"/>
      <c r="MCU133" s="105"/>
      <c r="MCV133" s="105"/>
      <c r="MCW133" s="105"/>
      <c r="MCX133" s="105"/>
      <c r="MCY133" s="105"/>
      <c r="MCZ133" s="105"/>
      <c r="MDA133" s="105"/>
      <c r="MDB133" s="105"/>
      <c r="MDC133" s="105"/>
      <c r="MDD133" s="105"/>
      <c r="MDE133" s="105"/>
      <c r="MDF133" s="105"/>
      <c r="MDG133" s="105"/>
      <c r="MDH133" s="105"/>
      <c r="MDI133" s="105"/>
      <c r="MDJ133" s="105"/>
      <c r="MDK133" s="105"/>
      <c r="MDL133" s="105"/>
      <c r="MDM133" s="105"/>
      <c r="MDN133" s="105"/>
      <c r="MDO133" s="105"/>
      <c r="MDP133" s="105"/>
      <c r="MDQ133" s="105"/>
      <c r="MDR133" s="105"/>
      <c r="MDS133" s="105"/>
      <c r="MDT133" s="105"/>
      <c r="MDU133" s="105"/>
      <c r="MDV133" s="105"/>
      <c r="MDW133" s="105"/>
      <c r="MDX133" s="105"/>
      <c r="MDY133" s="105"/>
      <c r="MDZ133" s="105"/>
      <c r="MEA133" s="105"/>
      <c r="MEB133" s="105"/>
      <c r="MEC133" s="105"/>
      <c r="MED133" s="105"/>
      <c r="MEE133" s="105"/>
      <c r="MEF133" s="105"/>
      <c r="MEG133" s="105"/>
      <c r="MEH133" s="105"/>
      <c r="MEI133" s="105"/>
      <c r="MEJ133" s="105"/>
      <c r="MEK133" s="105"/>
      <c r="MEL133" s="105"/>
      <c r="MEM133" s="105"/>
      <c r="MEN133" s="105"/>
      <c r="MEO133" s="105"/>
      <c r="MEP133" s="105"/>
      <c r="MEQ133" s="105"/>
      <c r="MER133" s="105"/>
      <c r="MES133" s="105"/>
      <c r="MET133" s="105"/>
      <c r="MEU133" s="105"/>
      <c r="MEV133" s="105"/>
      <c r="MEW133" s="105"/>
      <c r="MEX133" s="105"/>
      <c r="MEY133" s="105"/>
      <c r="MEZ133" s="105"/>
      <c r="MFA133" s="105"/>
      <c r="MFB133" s="105"/>
      <c r="MFC133" s="105"/>
      <c r="MFD133" s="105"/>
      <c r="MFE133" s="105"/>
      <c r="MFF133" s="105"/>
      <c r="MFG133" s="105"/>
      <c r="MFH133" s="105"/>
      <c r="MFI133" s="105"/>
      <c r="MFJ133" s="105"/>
      <c r="MFK133" s="105"/>
      <c r="MFL133" s="105"/>
      <c r="MFM133" s="105"/>
      <c r="MFN133" s="105"/>
      <c r="MFO133" s="105"/>
      <c r="MFP133" s="105"/>
      <c r="MFQ133" s="105"/>
      <c r="MFR133" s="105"/>
      <c r="MFS133" s="105"/>
      <c r="MFT133" s="105"/>
      <c r="MFU133" s="105"/>
      <c r="MFV133" s="105"/>
      <c r="MFW133" s="105"/>
      <c r="MFX133" s="105"/>
      <c r="MFY133" s="105"/>
      <c r="MFZ133" s="105"/>
      <c r="MGA133" s="105"/>
      <c r="MGB133" s="105"/>
      <c r="MGC133" s="105"/>
      <c r="MGD133" s="105"/>
      <c r="MGE133" s="105"/>
      <c r="MGF133" s="105"/>
      <c r="MGG133" s="105"/>
      <c r="MGH133" s="105"/>
      <c r="MGI133" s="105"/>
      <c r="MGJ133" s="105"/>
      <c r="MGK133" s="105"/>
      <c r="MGL133" s="105"/>
      <c r="MGM133" s="105"/>
      <c r="MGN133" s="105"/>
      <c r="MGO133" s="105"/>
      <c r="MGP133" s="105"/>
      <c r="MGQ133" s="105"/>
      <c r="MGR133" s="105"/>
      <c r="MGS133" s="105"/>
      <c r="MGT133" s="105"/>
      <c r="MGU133" s="105"/>
      <c r="MGV133" s="105"/>
      <c r="MGW133" s="105"/>
      <c r="MGX133" s="105"/>
      <c r="MGY133" s="105"/>
      <c r="MGZ133" s="105"/>
      <c r="MHA133" s="105"/>
      <c r="MHB133" s="105"/>
      <c r="MHC133" s="105"/>
      <c r="MHD133" s="105"/>
      <c r="MHE133" s="105"/>
      <c r="MHF133" s="105"/>
      <c r="MHG133" s="105"/>
      <c r="MHH133" s="105"/>
      <c r="MHI133" s="105"/>
      <c r="MHJ133" s="105"/>
      <c r="MHK133" s="105"/>
      <c r="MHL133" s="105"/>
      <c r="MHM133" s="105"/>
      <c r="MHN133" s="105"/>
      <c r="MHO133" s="105"/>
      <c r="MHP133" s="105"/>
      <c r="MHQ133" s="105"/>
      <c r="MHR133" s="105"/>
      <c r="MHS133" s="105"/>
      <c r="MHT133" s="105"/>
      <c r="MHU133" s="105"/>
      <c r="MHV133" s="105"/>
      <c r="MHW133" s="105"/>
      <c r="MHX133" s="105"/>
      <c r="MHY133" s="105"/>
      <c r="MHZ133" s="105"/>
      <c r="MIA133" s="105"/>
      <c r="MIB133" s="105"/>
      <c r="MIC133" s="105"/>
      <c r="MID133" s="105"/>
      <c r="MIE133" s="105"/>
      <c r="MIF133" s="105"/>
      <c r="MIG133" s="105"/>
      <c r="MIH133" s="105"/>
      <c r="MII133" s="105"/>
      <c r="MIJ133" s="105"/>
      <c r="MIK133" s="105"/>
      <c r="MIL133" s="105"/>
      <c r="MIM133" s="105"/>
      <c r="MIN133" s="105"/>
      <c r="MIO133" s="105"/>
      <c r="MIP133" s="105"/>
      <c r="MIQ133" s="105"/>
      <c r="MIR133" s="105"/>
      <c r="MIS133" s="105"/>
      <c r="MIT133" s="105"/>
      <c r="MIU133" s="105"/>
      <c r="MIV133" s="105"/>
      <c r="MIW133" s="105"/>
      <c r="MIX133" s="105"/>
      <c r="MIY133" s="105"/>
      <c r="MIZ133" s="105"/>
      <c r="MJA133" s="105"/>
      <c r="MJB133" s="105"/>
      <c r="MJC133" s="105"/>
      <c r="MJD133" s="105"/>
      <c r="MJE133" s="105"/>
      <c r="MJF133" s="105"/>
      <c r="MJG133" s="105"/>
      <c r="MJH133" s="105"/>
      <c r="MJI133" s="105"/>
      <c r="MJJ133" s="105"/>
      <c r="MJK133" s="105"/>
      <c r="MJL133" s="105"/>
      <c r="MJM133" s="105"/>
      <c r="MJN133" s="105"/>
      <c r="MJO133" s="105"/>
      <c r="MJP133" s="105"/>
      <c r="MJQ133" s="105"/>
      <c r="MJR133" s="105"/>
      <c r="MJS133" s="105"/>
      <c r="MJT133" s="105"/>
      <c r="MJU133" s="105"/>
      <c r="MJV133" s="105"/>
      <c r="MJW133" s="105"/>
      <c r="MJX133" s="105"/>
      <c r="MJY133" s="105"/>
      <c r="MJZ133" s="105"/>
      <c r="MKA133" s="105"/>
      <c r="MKB133" s="105"/>
      <c r="MKC133" s="105"/>
      <c r="MKD133" s="105"/>
      <c r="MKE133" s="105"/>
      <c r="MKF133" s="105"/>
      <c r="MKG133" s="105"/>
      <c r="MKH133" s="105"/>
      <c r="MKI133" s="105"/>
      <c r="MKJ133" s="105"/>
      <c r="MKK133" s="105"/>
      <c r="MKL133" s="105"/>
      <c r="MKM133" s="105"/>
      <c r="MKN133" s="105"/>
      <c r="MKO133" s="105"/>
      <c r="MKP133" s="105"/>
      <c r="MKQ133" s="105"/>
      <c r="MKR133" s="105"/>
      <c r="MKS133" s="105"/>
      <c r="MKT133" s="105"/>
      <c r="MKU133" s="105"/>
      <c r="MKV133" s="105"/>
      <c r="MKW133" s="105"/>
      <c r="MKX133" s="105"/>
      <c r="MKY133" s="105"/>
      <c r="MKZ133" s="105"/>
      <c r="MLA133" s="105"/>
      <c r="MLB133" s="105"/>
      <c r="MLC133" s="105"/>
      <c r="MLD133" s="105"/>
      <c r="MLE133" s="105"/>
      <c r="MLF133" s="105"/>
      <c r="MLG133" s="105"/>
      <c r="MLH133" s="105"/>
      <c r="MLI133" s="105"/>
      <c r="MLJ133" s="105"/>
      <c r="MLK133" s="105"/>
      <c r="MLL133" s="105"/>
      <c r="MLM133" s="105"/>
      <c r="MLN133" s="105"/>
      <c r="MLO133" s="105"/>
      <c r="MLP133" s="105"/>
      <c r="MLQ133" s="105"/>
      <c r="MLR133" s="105"/>
      <c r="MLS133" s="105"/>
      <c r="MLT133" s="105"/>
      <c r="MLU133" s="105"/>
      <c r="MLV133" s="105"/>
      <c r="MLW133" s="105"/>
      <c r="MLX133" s="105"/>
      <c r="MLY133" s="105"/>
      <c r="MLZ133" s="105"/>
      <c r="MMA133" s="105"/>
      <c r="MMB133" s="105"/>
      <c r="MMC133" s="105"/>
      <c r="MMD133" s="105"/>
      <c r="MME133" s="105"/>
      <c r="MMF133" s="105"/>
      <c r="MMG133" s="105"/>
      <c r="MMH133" s="105"/>
      <c r="MMI133" s="105"/>
      <c r="MMJ133" s="105"/>
      <c r="MMK133" s="105"/>
      <c r="MML133" s="105"/>
      <c r="MMM133" s="105"/>
      <c r="MMN133" s="105"/>
      <c r="MMO133" s="105"/>
      <c r="MMP133" s="105"/>
      <c r="MMQ133" s="105"/>
      <c r="MMR133" s="105"/>
      <c r="MMS133" s="105"/>
      <c r="MMT133" s="105"/>
      <c r="MMU133" s="105"/>
      <c r="MMV133" s="105"/>
      <c r="MMW133" s="105"/>
      <c r="MMX133" s="105"/>
      <c r="MMY133" s="105"/>
      <c r="MMZ133" s="105"/>
      <c r="MNA133" s="105"/>
      <c r="MNB133" s="105"/>
      <c r="MNC133" s="105"/>
      <c r="MND133" s="105"/>
      <c r="MNE133" s="105"/>
      <c r="MNF133" s="105"/>
      <c r="MNG133" s="105"/>
      <c r="MNH133" s="105"/>
      <c r="MNI133" s="105"/>
      <c r="MNJ133" s="105"/>
      <c r="MNK133" s="105"/>
      <c r="MNL133" s="105"/>
      <c r="MNM133" s="105"/>
      <c r="MNN133" s="105"/>
      <c r="MNO133" s="105"/>
      <c r="MNP133" s="105"/>
      <c r="MNQ133" s="105"/>
      <c r="MNR133" s="105"/>
      <c r="MNS133" s="105"/>
      <c r="MNT133" s="105"/>
      <c r="MNU133" s="105"/>
      <c r="MNV133" s="105"/>
      <c r="MNW133" s="105"/>
      <c r="MNX133" s="105"/>
      <c r="MNY133" s="105"/>
      <c r="MNZ133" s="105"/>
      <c r="MOA133" s="105"/>
      <c r="MOB133" s="105"/>
      <c r="MOC133" s="105"/>
      <c r="MOD133" s="105"/>
      <c r="MOE133" s="105"/>
      <c r="MOF133" s="105"/>
      <c r="MOG133" s="105"/>
      <c r="MOH133" s="105"/>
      <c r="MOI133" s="105"/>
      <c r="MOJ133" s="105"/>
      <c r="MOK133" s="105"/>
      <c r="MOL133" s="105"/>
      <c r="MOM133" s="105"/>
      <c r="MON133" s="105"/>
      <c r="MOO133" s="105"/>
      <c r="MOP133" s="105"/>
      <c r="MOQ133" s="105"/>
      <c r="MOR133" s="105"/>
      <c r="MOS133" s="105"/>
      <c r="MOT133" s="105"/>
      <c r="MOU133" s="105"/>
      <c r="MOV133" s="105"/>
      <c r="MOW133" s="105"/>
      <c r="MOX133" s="105"/>
      <c r="MOY133" s="105"/>
      <c r="MOZ133" s="105"/>
      <c r="MPA133" s="105"/>
      <c r="MPB133" s="105"/>
      <c r="MPC133" s="105"/>
      <c r="MPD133" s="105"/>
      <c r="MPE133" s="105"/>
      <c r="MPF133" s="105"/>
      <c r="MPG133" s="105"/>
      <c r="MPH133" s="105"/>
      <c r="MPI133" s="105"/>
      <c r="MPJ133" s="105"/>
      <c r="MPK133" s="105"/>
      <c r="MPL133" s="105"/>
      <c r="MPM133" s="105"/>
      <c r="MPN133" s="105"/>
      <c r="MPO133" s="105"/>
      <c r="MPP133" s="105"/>
      <c r="MPQ133" s="105"/>
      <c r="MPR133" s="105"/>
      <c r="MPS133" s="105"/>
      <c r="MPT133" s="105"/>
      <c r="MPU133" s="105"/>
      <c r="MPV133" s="105"/>
      <c r="MPW133" s="105"/>
      <c r="MPX133" s="105"/>
      <c r="MPY133" s="105"/>
      <c r="MPZ133" s="105"/>
      <c r="MQA133" s="105"/>
      <c r="MQB133" s="105"/>
      <c r="MQC133" s="105"/>
      <c r="MQD133" s="105"/>
      <c r="MQE133" s="105"/>
      <c r="MQF133" s="105"/>
      <c r="MQG133" s="105"/>
      <c r="MQH133" s="105"/>
      <c r="MQI133" s="105"/>
      <c r="MQJ133" s="105"/>
      <c r="MQK133" s="105"/>
      <c r="MQL133" s="105"/>
      <c r="MQM133" s="105"/>
      <c r="MQN133" s="105"/>
      <c r="MQO133" s="105"/>
      <c r="MQP133" s="105"/>
      <c r="MQQ133" s="105"/>
      <c r="MQR133" s="105"/>
      <c r="MQS133" s="105"/>
      <c r="MQT133" s="105"/>
      <c r="MQU133" s="105"/>
      <c r="MQV133" s="105"/>
      <c r="MQW133" s="105"/>
      <c r="MQX133" s="105"/>
      <c r="MQY133" s="105"/>
      <c r="MQZ133" s="105"/>
      <c r="MRA133" s="105"/>
      <c r="MRB133" s="105"/>
      <c r="MRC133" s="105"/>
      <c r="MRD133" s="105"/>
      <c r="MRE133" s="105"/>
      <c r="MRF133" s="105"/>
      <c r="MRG133" s="105"/>
      <c r="MRH133" s="105"/>
      <c r="MRI133" s="105"/>
      <c r="MRJ133" s="105"/>
      <c r="MRK133" s="105"/>
      <c r="MRL133" s="105"/>
      <c r="MRM133" s="105"/>
      <c r="MRN133" s="105"/>
      <c r="MRO133" s="105"/>
      <c r="MRP133" s="105"/>
      <c r="MRQ133" s="105"/>
      <c r="MRR133" s="105"/>
      <c r="MRS133" s="105"/>
      <c r="MRT133" s="105"/>
      <c r="MRU133" s="105"/>
      <c r="MRV133" s="105"/>
      <c r="MRW133" s="105"/>
      <c r="MRX133" s="105"/>
      <c r="MRY133" s="105"/>
      <c r="MRZ133" s="105"/>
      <c r="MSA133" s="105"/>
      <c r="MSB133" s="105"/>
      <c r="MSC133" s="105"/>
      <c r="MSD133" s="105"/>
      <c r="MSE133" s="105"/>
      <c r="MSF133" s="105"/>
      <c r="MSG133" s="105"/>
      <c r="MSH133" s="105"/>
      <c r="MSI133" s="105"/>
      <c r="MSJ133" s="105"/>
      <c r="MSK133" s="105"/>
      <c r="MSL133" s="105"/>
      <c r="MSM133" s="105"/>
      <c r="MSN133" s="105"/>
      <c r="MSO133" s="105"/>
      <c r="MSP133" s="105"/>
      <c r="MSQ133" s="105"/>
      <c r="MSR133" s="105"/>
      <c r="MSS133" s="105"/>
      <c r="MST133" s="105"/>
      <c r="MSU133" s="105"/>
      <c r="MSV133" s="105"/>
      <c r="MSW133" s="105"/>
      <c r="MSX133" s="105"/>
      <c r="MSY133" s="105"/>
      <c r="MSZ133" s="105"/>
      <c r="MTA133" s="105"/>
      <c r="MTB133" s="105"/>
      <c r="MTC133" s="105"/>
      <c r="MTD133" s="105"/>
      <c r="MTE133" s="105"/>
      <c r="MTF133" s="105"/>
      <c r="MTG133" s="105"/>
      <c r="MTH133" s="105"/>
      <c r="MTI133" s="105"/>
      <c r="MTJ133" s="105"/>
      <c r="MTK133" s="105"/>
      <c r="MTL133" s="105"/>
      <c r="MTM133" s="105"/>
      <c r="MTN133" s="105"/>
      <c r="MTO133" s="105"/>
      <c r="MTP133" s="105"/>
      <c r="MTQ133" s="105"/>
      <c r="MTR133" s="105"/>
      <c r="MTS133" s="105"/>
      <c r="MTT133" s="105"/>
      <c r="MTU133" s="105"/>
      <c r="MTV133" s="105"/>
      <c r="MTW133" s="105"/>
      <c r="MTX133" s="105"/>
      <c r="MTY133" s="105"/>
      <c r="MTZ133" s="105"/>
      <c r="MUA133" s="105"/>
      <c r="MUB133" s="105"/>
      <c r="MUC133" s="105"/>
      <c r="MUD133" s="105"/>
      <c r="MUE133" s="105"/>
      <c r="MUF133" s="105"/>
      <c r="MUG133" s="105"/>
      <c r="MUH133" s="105"/>
      <c r="MUI133" s="105"/>
      <c r="MUJ133" s="105"/>
      <c r="MUK133" s="105"/>
      <c r="MUL133" s="105"/>
      <c r="MUM133" s="105"/>
      <c r="MUN133" s="105"/>
      <c r="MUO133" s="105"/>
      <c r="MUP133" s="105"/>
      <c r="MUQ133" s="105"/>
      <c r="MUR133" s="105"/>
      <c r="MUS133" s="105"/>
      <c r="MUT133" s="105"/>
      <c r="MUU133" s="105"/>
      <c r="MUV133" s="105"/>
      <c r="MUW133" s="105"/>
      <c r="MUX133" s="105"/>
      <c r="MUY133" s="105"/>
      <c r="MUZ133" s="105"/>
      <c r="MVA133" s="105"/>
      <c r="MVB133" s="105"/>
      <c r="MVC133" s="105"/>
      <c r="MVD133" s="105"/>
      <c r="MVE133" s="105"/>
      <c r="MVF133" s="105"/>
      <c r="MVG133" s="105"/>
      <c r="MVH133" s="105"/>
      <c r="MVI133" s="105"/>
      <c r="MVJ133" s="105"/>
      <c r="MVK133" s="105"/>
      <c r="MVL133" s="105"/>
      <c r="MVM133" s="105"/>
      <c r="MVN133" s="105"/>
      <c r="MVO133" s="105"/>
      <c r="MVP133" s="105"/>
      <c r="MVQ133" s="105"/>
      <c r="MVR133" s="105"/>
      <c r="MVS133" s="105"/>
      <c r="MVT133" s="105"/>
      <c r="MVU133" s="105"/>
      <c r="MVV133" s="105"/>
      <c r="MVW133" s="105"/>
      <c r="MVX133" s="105"/>
      <c r="MVY133" s="105"/>
      <c r="MVZ133" s="105"/>
      <c r="MWA133" s="105"/>
      <c r="MWB133" s="105"/>
      <c r="MWC133" s="105"/>
      <c r="MWD133" s="105"/>
      <c r="MWE133" s="105"/>
      <c r="MWF133" s="105"/>
      <c r="MWG133" s="105"/>
      <c r="MWH133" s="105"/>
      <c r="MWI133" s="105"/>
      <c r="MWJ133" s="105"/>
      <c r="MWK133" s="105"/>
      <c r="MWL133" s="105"/>
      <c r="MWM133" s="105"/>
      <c r="MWN133" s="105"/>
      <c r="MWO133" s="105"/>
      <c r="MWP133" s="105"/>
      <c r="MWQ133" s="105"/>
      <c r="MWR133" s="105"/>
      <c r="MWS133" s="105"/>
      <c r="MWT133" s="105"/>
      <c r="MWU133" s="105"/>
      <c r="MWV133" s="105"/>
      <c r="MWW133" s="105"/>
      <c r="MWX133" s="105"/>
      <c r="MWY133" s="105"/>
      <c r="MWZ133" s="105"/>
      <c r="MXA133" s="105"/>
      <c r="MXB133" s="105"/>
      <c r="MXC133" s="105"/>
      <c r="MXD133" s="105"/>
      <c r="MXE133" s="105"/>
      <c r="MXF133" s="105"/>
      <c r="MXG133" s="105"/>
      <c r="MXH133" s="105"/>
      <c r="MXI133" s="105"/>
      <c r="MXJ133" s="105"/>
      <c r="MXK133" s="105"/>
      <c r="MXL133" s="105"/>
      <c r="MXM133" s="105"/>
      <c r="MXN133" s="105"/>
      <c r="MXO133" s="105"/>
      <c r="MXP133" s="105"/>
      <c r="MXQ133" s="105"/>
      <c r="MXR133" s="105"/>
      <c r="MXS133" s="105"/>
      <c r="MXT133" s="105"/>
      <c r="MXU133" s="105"/>
      <c r="MXV133" s="105"/>
      <c r="MXW133" s="105"/>
      <c r="MXX133" s="105"/>
      <c r="MXY133" s="105"/>
      <c r="MXZ133" s="105"/>
      <c r="MYA133" s="105"/>
      <c r="MYB133" s="105"/>
      <c r="MYC133" s="105"/>
      <c r="MYD133" s="105"/>
      <c r="MYE133" s="105"/>
      <c r="MYF133" s="105"/>
      <c r="MYG133" s="105"/>
      <c r="MYH133" s="105"/>
      <c r="MYI133" s="105"/>
      <c r="MYJ133" s="105"/>
      <c r="MYK133" s="105"/>
      <c r="MYL133" s="105"/>
      <c r="MYM133" s="105"/>
      <c r="MYN133" s="105"/>
      <c r="MYO133" s="105"/>
      <c r="MYP133" s="105"/>
      <c r="MYQ133" s="105"/>
      <c r="MYR133" s="105"/>
      <c r="MYS133" s="105"/>
      <c r="MYT133" s="105"/>
      <c r="MYU133" s="105"/>
      <c r="MYV133" s="105"/>
      <c r="MYW133" s="105"/>
      <c r="MYX133" s="105"/>
      <c r="MYY133" s="105"/>
      <c r="MYZ133" s="105"/>
      <c r="MZA133" s="105"/>
      <c r="MZB133" s="105"/>
      <c r="MZC133" s="105"/>
      <c r="MZD133" s="105"/>
      <c r="MZE133" s="105"/>
      <c r="MZF133" s="105"/>
      <c r="MZG133" s="105"/>
      <c r="MZH133" s="105"/>
      <c r="MZI133" s="105"/>
      <c r="MZJ133" s="105"/>
      <c r="MZK133" s="105"/>
      <c r="MZL133" s="105"/>
      <c r="MZM133" s="105"/>
      <c r="MZN133" s="105"/>
      <c r="MZO133" s="105"/>
      <c r="MZP133" s="105"/>
      <c r="MZQ133" s="105"/>
      <c r="MZR133" s="105"/>
      <c r="MZS133" s="105"/>
      <c r="MZT133" s="105"/>
      <c r="MZU133" s="105"/>
      <c r="MZV133" s="105"/>
      <c r="MZW133" s="105"/>
      <c r="MZX133" s="105"/>
      <c r="MZY133" s="105"/>
      <c r="MZZ133" s="105"/>
      <c r="NAA133" s="105"/>
      <c r="NAB133" s="105"/>
      <c r="NAC133" s="105"/>
      <c r="NAD133" s="105"/>
      <c r="NAE133" s="105"/>
      <c r="NAF133" s="105"/>
      <c r="NAG133" s="105"/>
      <c r="NAH133" s="105"/>
      <c r="NAI133" s="105"/>
      <c r="NAJ133" s="105"/>
      <c r="NAK133" s="105"/>
      <c r="NAL133" s="105"/>
      <c r="NAM133" s="105"/>
      <c r="NAN133" s="105"/>
      <c r="NAO133" s="105"/>
      <c r="NAP133" s="105"/>
      <c r="NAQ133" s="105"/>
      <c r="NAR133" s="105"/>
      <c r="NAS133" s="105"/>
      <c r="NAT133" s="105"/>
      <c r="NAU133" s="105"/>
      <c r="NAV133" s="105"/>
      <c r="NAW133" s="105"/>
      <c r="NAX133" s="105"/>
      <c r="NAY133" s="105"/>
      <c r="NAZ133" s="105"/>
      <c r="NBA133" s="105"/>
      <c r="NBB133" s="105"/>
      <c r="NBC133" s="105"/>
      <c r="NBD133" s="105"/>
      <c r="NBE133" s="105"/>
      <c r="NBF133" s="105"/>
      <c r="NBG133" s="105"/>
      <c r="NBH133" s="105"/>
      <c r="NBI133" s="105"/>
      <c r="NBJ133" s="105"/>
      <c r="NBK133" s="105"/>
      <c r="NBL133" s="105"/>
      <c r="NBM133" s="105"/>
      <c r="NBN133" s="105"/>
      <c r="NBO133" s="105"/>
      <c r="NBP133" s="105"/>
      <c r="NBQ133" s="105"/>
      <c r="NBR133" s="105"/>
      <c r="NBS133" s="105"/>
      <c r="NBT133" s="105"/>
      <c r="NBU133" s="105"/>
      <c r="NBV133" s="105"/>
      <c r="NBW133" s="105"/>
      <c r="NBX133" s="105"/>
      <c r="NBY133" s="105"/>
      <c r="NBZ133" s="105"/>
      <c r="NCA133" s="105"/>
      <c r="NCB133" s="105"/>
      <c r="NCC133" s="105"/>
      <c r="NCD133" s="105"/>
      <c r="NCE133" s="105"/>
      <c r="NCF133" s="105"/>
      <c r="NCG133" s="105"/>
      <c r="NCH133" s="105"/>
      <c r="NCI133" s="105"/>
      <c r="NCJ133" s="105"/>
      <c r="NCK133" s="105"/>
      <c r="NCL133" s="105"/>
      <c r="NCM133" s="105"/>
      <c r="NCN133" s="105"/>
      <c r="NCO133" s="105"/>
      <c r="NCP133" s="105"/>
      <c r="NCQ133" s="105"/>
      <c r="NCR133" s="105"/>
      <c r="NCS133" s="105"/>
      <c r="NCT133" s="105"/>
      <c r="NCU133" s="105"/>
      <c r="NCV133" s="105"/>
      <c r="NCW133" s="105"/>
      <c r="NCX133" s="105"/>
      <c r="NCY133" s="105"/>
      <c r="NCZ133" s="105"/>
      <c r="NDA133" s="105"/>
      <c r="NDB133" s="105"/>
      <c r="NDC133" s="105"/>
      <c r="NDD133" s="105"/>
      <c r="NDE133" s="105"/>
      <c r="NDF133" s="105"/>
      <c r="NDG133" s="105"/>
      <c r="NDH133" s="105"/>
      <c r="NDI133" s="105"/>
      <c r="NDJ133" s="105"/>
      <c r="NDK133" s="105"/>
      <c r="NDL133" s="105"/>
      <c r="NDM133" s="105"/>
      <c r="NDN133" s="105"/>
      <c r="NDO133" s="105"/>
      <c r="NDP133" s="105"/>
      <c r="NDQ133" s="105"/>
      <c r="NDR133" s="105"/>
      <c r="NDS133" s="105"/>
      <c r="NDT133" s="105"/>
      <c r="NDU133" s="105"/>
      <c r="NDV133" s="105"/>
      <c r="NDW133" s="105"/>
      <c r="NDX133" s="105"/>
      <c r="NDY133" s="105"/>
      <c r="NDZ133" s="105"/>
      <c r="NEA133" s="105"/>
      <c r="NEB133" s="105"/>
      <c r="NEC133" s="105"/>
      <c r="NED133" s="105"/>
      <c r="NEE133" s="105"/>
      <c r="NEF133" s="105"/>
      <c r="NEG133" s="105"/>
      <c r="NEH133" s="105"/>
      <c r="NEI133" s="105"/>
      <c r="NEJ133" s="105"/>
      <c r="NEK133" s="105"/>
      <c r="NEL133" s="105"/>
      <c r="NEM133" s="105"/>
      <c r="NEN133" s="105"/>
      <c r="NEO133" s="105"/>
      <c r="NEP133" s="105"/>
      <c r="NEQ133" s="105"/>
      <c r="NER133" s="105"/>
      <c r="NES133" s="105"/>
      <c r="NET133" s="105"/>
      <c r="NEU133" s="105"/>
      <c r="NEV133" s="105"/>
      <c r="NEW133" s="105"/>
      <c r="NEX133" s="105"/>
      <c r="NEY133" s="105"/>
      <c r="NEZ133" s="105"/>
      <c r="NFA133" s="105"/>
      <c r="NFB133" s="105"/>
      <c r="NFC133" s="105"/>
      <c r="NFD133" s="105"/>
      <c r="NFE133" s="105"/>
      <c r="NFF133" s="105"/>
      <c r="NFG133" s="105"/>
      <c r="NFH133" s="105"/>
      <c r="NFI133" s="105"/>
      <c r="NFJ133" s="105"/>
      <c r="NFK133" s="105"/>
      <c r="NFL133" s="105"/>
      <c r="NFM133" s="105"/>
      <c r="NFN133" s="105"/>
      <c r="NFO133" s="105"/>
      <c r="NFP133" s="105"/>
      <c r="NFQ133" s="105"/>
      <c r="NFR133" s="105"/>
      <c r="NFS133" s="105"/>
      <c r="NFT133" s="105"/>
      <c r="NFU133" s="105"/>
      <c r="NFV133" s="105"/>
      <c r="NFW133" s="105"/>
      <c r="NFX133" s="105"/>
      <c r="NFY133" s="105"/>
      <c r="NFZ133" s="105"/>
      <c r="NGA133" s="105"/>
      <c r="NGB133" s="105"/>
      <c r="NGC133" s="105"/>
      <c r="NGD133" s="105"/>
      <c r="NGE133" s="105"/>
      <c r="NGF133" s="105"/>
      <c r="NGG133" s="105"/>
      <c r="NGH133" s="105"/>
      <c r="NGI133" s="105"/>
      <c r="NGJ133" s="105"/>
      <c r="NGK133" s="105"/>
      <c r="NGL133" s="105"/>
      <c r="NGM133" s="105"/>
      <c r="NGN133" s="105"/>
      <c r="NGO133" s="105"/>
      <c r="NGP133" s="105"/>
      <c r="NGQ133" s="105"/>
      <c r="NGR133" s="105"/>
      <c r="NGS133" s="105"/>
      <c r="NGT133" s="105"/>
      <c r="NGU133" s="105"/>
      <c r="NGV133" s="105"/>
      <c r="NGW133" s="105"/>
      <c r="NGX133" s="105"/>
      <c r="NGY133" s="105"/>
      <c r="NGZ133" s="105"/>
      <c r="NHA133" s="105"/>
      <c r="NHB133" s="105"/>
      <c r="NHC133" s="105"/>
      <c r="NHD133" s="105"/>
      <c r="NHE133" s="105"/>
      <c r="NHF133" s="105"/>
      <c r="NHG133" s="105"/>
      <c r="NHH133" s="105"/>
      <c r="NHI133" s="105"/>
      <c r="NHJ133" s="105"/>
      <c r="NHK133" s="105"/>
      <c r="NHL133" s="105"/>
      <c r="NHM133" s="105"/>
      <c r="NHN133" s="105"/>
      <c r="NHO133" s="105"/>
      <c r="NHP133" s="105"/>
      <c r="NHQ133" s="105"/>
      <c r="NHR133" s="105"/>
      <c r="NHS133" s="105"/>
      <c r="NHT133" s="105"/>
      <c r="NHU133" s="105"/>
      <c r="NHV133" s="105"/>
      <c r="NHW133" s="105"/>
      <c r="NHX133" s="105"/>
      <c r="NHY133" s="105"/>
      <c r="NHZ133" s="105"/>
      <c r="NIA133" s="105"/>
      <c r="NIB133" s="105"/>
      <c r="NIC133" s="105"/>
      <c r="NID133" s="105"/>
      <c r="NIE133" s="105"/>
      <c r="NIF133" s="105"/>
      <c r="NIG133" s="105"/>
      <c r="NIH133" s="105"/>
      <c r="NII133" s="105"/>
      <c r="NIJ133" s="105"/>
      <c r="NIK133" s="105"/>
      <c r="NIL133" s="105"/>
      <c r="NIM133" s="105"/>
      <c r="NIN133" s="105"/>
      <c r="NIO133" s="105"/>
      <c r="NIP133" s="105"/>
      <c r="NIQ133" s="105"/>
      <c r="NIR133" s="105"/>
      <c r="NIS133" s="105"/>
      <c r="NIT133" s="105"/>
      <c r="NIU133" s="105"/>
      <c r="NIV133" s="105"/>
      <c r="NIW133" s="105"/>
      <c r="NIX133" s="105"/>
      <c r="NIY133" s="105"/>
      <c r="NIZ133" s="105"/>
      <c r="NJA133" s="105"/>
      <c r="NJB133" s="105"/>
      <c r="NJC133" s="105"/>
      <c r="NJD133" s="105"/>
      <c r="NJE133" s="105"/>
      <c r="NJF133" s="105"/>
      <c r="NJG133" s="105"/>
      <c r="NJH133" s="105"/>
      <c r="NJI133" s="105"/>
      <c r="NJJ133" s="105"/>
      <c r="NJK133" s="105"/>
      <c r="NJL133" s="105"/>
      <c r="NJM133" s="105"/>
      <c r="NJN133" s="105"/>
      <c r="NJO133" s="105"/>
      <c r="NJP133" s="105"/>
      <c r="NJQ133" s="105"/>
      <c r="NJR133" s="105"/>
      <c r="NJS133" s="105"/>
      <c r="NJT133" s="105"/>
      <c r="NJU133" s="105"/>
      <c r="NJV133" s="105"/>
      <c r="NJW133" s="105"/>
      <c r="NJX133" s="105"/>
      <c r="NJY133" s="105"/>
      <c r="NJZ133" s="105"/>
      <c r="NKA133" s="105"/>
      <c r="NKB133" s="105"/>
      <c r="NKC133" s="105"/>
      <c r="NKD133" s="105"/>
      <c r="NKE133" s="105"/>
      <c r="NKF133" s="105"/>
      <c r="NKG133" s="105"/>
      <c r="NKH133" s="105"/>
      <c r="NKI133" s="105"/>
      <c r="NKJ133" s="105"/>
      <c r="NKK133" s="105"/>
      <c r="NKL133" s="105"/>
      <c r="NKM133" s="105"/>
      <c r="NKN133" s="105"/>
      <c r="NKO133" s="105"/>
      <c r="NKP133" s="105"/>
      <c r="NKQ133" s="105"/>
      <c r="NKR133" s="105"/>
      <c r="NKS133" s="105"/>
      <c r="NKT133" s="105"/>
      <c r="NKU133" s="105"/>
      <c r="NKV133" s="105"/>
      <c r="NKW133" s="105"/>
      <c r="NKX133" s="105"/>
      <c r="NKY133" s="105"/>
      <c r="NKZ133" s="105"/>
      <c r="NLA133" s="105"/>
      <c r="NLB133" s="105"/>
      <c r="NLC133" s="105"/>
      <c r="NLD133" s="105"/>
      <c r="NLE133" s="105"/>
      <c r="NLF133" s="105"/>
      <c r="NLG133" s="105"/>
      <c r="NLH133" s="105"/>
      <c r="NLI133" s="105"/>
      <c r="NLJ133" s="105"/>
      <c r="NLK133" s="105"/>
      <c r="NLL133" s="105"/>
      <c r="NLM133" s="105"/>
      <c r="NLN133" s="105"/>
      <c r="NLO133" s="105"/>
      <c r="NLP133" s="105"/>
      <c r="NLQ133" s="105"/>
      <c r="NLR133" s="105"/>
      <c r="NLS133" s="105"/>
      <c r="NLT133" s="105"/>
      <c r="NLU133" s="105"/>
      <c r="NLV133" s="105"/>
      <c r="NLW133" s="105"/>
      <c r="NLX133" s="105"/>
      <c r="NLY133" s="105"/>
      <c r="NLZ133" s="105"/>
      <c r="NMA133" s="105"/>
      <c r="NMB133" s="105"/>
      <c r="NMC133" s="105"/>
      <c r="NMD133" s="105"/>
      <c r="NME133" s="105"/>
      <c r="NMF133" s="105"/>
      <c r="NMG133" s="105"/>
      <c r="NMH133" s="105"/>
      <c r="NMI133" s="105"/>
      <c r="NMJ133" s="105"/>
      <c r="NMK133" s="105"/>
      <c r="NML133" s="105"/>
      <c r="NMM133" s="105"/>
      <c r="NMN133" s="105"/>
      <c r="NMO133" s="105"/>
      <c r="NMP133" s="105"/>
      <c r="NMQ133" s="105"/>
      <c r="NMR133" s="105"/>
      <c r="NMS133" s="105"/>
      <c r="NMT133" s="105"/>
      <c r="NMU133" s="105"/>
      <c r="NMV133" s="105"/>
      <c r="NMW133" s="105"/>
      <c r="NMX133" s="105"/>
      <c r="NMY133" s="105"/>
      <c r="NMZ133" s="105"/>
      <c r="NNA133" s="105"/>
      <c r="NNB133" s="105"/>
      <c r="NNC133" s="105"/>
      <c r="NND133" s="105"/>
      <c r="NNE133" s="105"/>
      <c r="NNF133" s="105"/>
      <c r="NNG133" s="105"/>
      <c r="NNH133" s="105"/>
      <c r="NNI133" s="105"/>
      <c r="NNJ133" s="105"/>
      <c r="NNK133" s="105"/>
      <c r="NNL133" s="105"/>
      <c r="NNM133" s="105"/>
      <c r="NNN133" s="105"/>
      <c r="NNO133" s="105"/>
      <c r="NNP133" s="105"/>
      <c r="NNQ133" s="105"/>
      <c r="NNR133" s="105"/>
      <c r="NNS133" s="105"/>
      <c r="NNT133" s="105"/>
      <c r="NNU133" s="105"/>
      <c r="NNV133" s="105"/>
      <c r="NNW133" s="105"/>
      <c r="NNX133" s="105"/>
      <c r="NNY133" s="105"/>
      <c r="NNZ133" s="105"/>
      <c r="NOA133" s="105"/>
      <c r="NOB133" s="105"/>
      <c r="NOC133" s="105"/>
      <c r="NOD133" s="105"/>
      <c r="NOE133" s="105"/>
      <c r="NOF133" s="105"/>
      <c r="NOG133" s="105"/>
      <c r="NOH133" s="105"/>
      <c r="NOI133" s="105"/>
      <c r="NOJ133" s="105"/>
      <c r="NOK133" s="105"/>
      <c r="NOL133" s="105"/>
      <c r="NOM133" s="105"/>
      <c r="NON133" s="105"/>
      <c r="NOO133" s="105"/>
      <c r="NOP133" s="105"/>
      <c r="NOQ133" s="105"/>
      <c r="NOR133" s="105"/>
      <c r="NOS133" s="105"/>
      <c r="NOT133" s="105"/>
      <c r="NOU133" s="105"/>
      <c r="NOV133" s="105"/>
      <c r="NOW133" s="105"/>
      <c r="NOX133" s="105"/>
      <c r="NOY133" s="105"/>
      <c r="NOZ133" s="105"/>
      <c r="NPA133" s="105"/>
      <c r="NPB133" s="105"/>
      <c r="NPC133" s="105"/>
      <c r="NPD133" s="105"/>
      <c r="NPE133" s="105"/>
      <c r="NPF133" s="105"/>
      <c r="NPG133" s="105"/>
      <c r="NPH133" s="105"/>
      <c r="NPI133" s="105"/>
      <c r="NPJ133" s="105"/>
      <c r="NPK133" s="105"/>
      <c r="NPL133" s="105"/>
      <c r="NPM133" s="105"/>
      <c r="NPN133" s="105"/>
      <c r="NPO133" s="105"/>
      <c r="NPP133" s="105"/>
      <c r="NPQ133" s="105"/>
      <c r="NPR133" s="105"/>
      <c r="NPS133" s="105"/>
      <c r="NPT133" s="105"/>
      <c r="NPU133" s="105"/>
      <c r="NPV133" s="105"/>
      <c r="NPW133" s="105"/>
      <c r="NPX133" s="105"/>
      <c r="NPY133" s="105"/>
      <c r="NPZ133" s="105"/>
      <c r="NQA133" s="105"/>
      <c r="NQB133" s="105"/>
      <c r="NQC133" s="105"/>
      <c r="NQD133" s="105"/>
      <c r="NQE133" s="105"/>
      <c r="NQF133" s="105"/>
      <c r="NQG133" s="105"/>
      <c r="NQH133" s="105"/>
      <c r="NQI133" s="105"/>
      <c r="NQJ133" s="105"/>
      <c r="NQK133" s="105"/>
      <c r="NQL133" s="105"/>
      <c r="NQM133" s="105"/>
      <c r="NQN133" s="105"/>
      <c r="NQO133" s="105"/>
      <c r="NQP133" s="105"/>
      <c r="NQQ133" s="105"/>
      <c r="NQR133" s="105"/>
      <c r="NQS133" s="105"/>
      <c r="NQT133" s="105"/>
      <c r="NQU133" s="105"/>
      <c r="NQV133" s="105"/>
      <c r="NQW133" s="105"/>
      <c r="NQX133" s="105"/>
      <c r="NQY133" s="105"/>
      <c r="NQZ133" s="105"/>
      <c r="NRA133" s="105"/>
      <c r="NRB133" s="105"/>
      <c r="NRC133" s="105"/>
      <c r="NRD133" s="105"/>
      <c r="NRE133" s="105"/>
      <c r="NRF133" s="105"/>
      <c r="NRG133" s="105"/>
      <c r="NRH133" s="105"/>
      <c r="NRI133" s="105"/>
      <c r="NRJ133" s="105"/>
      <c r="NRK133" s="105"/>
      <c r="NRL133" s="105"/>
      <c r="NRM133" s="105"/>
      <c r="NRN133" s="105"/>
      <c r="NRO133" s="105"/>
      <c r="NRP133" s="105"/>
      <c r="NRQ133" s="105"/>
      <c r="NRR133" s="105"/>
      <c r="NRS133" s="105"/>
      <c r="NRT133" s="105"/>
      <c r="NRU133" s="105"/>
      <c r="NRV133" s="105"/>
      <c r="NRW133" s="105"/>
      <c r="NRX133" s="105"/>
      <c r="NRY133" s="105"/>
      <c r="NRZ133" s="105"/>
      <c r="NSA133" s="105"/>
      <c r="NSB133" s="105"/>
      <c r="NSC133" s="105"/>
      <c r="NSD133" s="105"/>
      <c r="NSE133" s="105"/>
      <c r="NSF133" s="105"/>
      <c r="NSG133" s="105"/>
      <c r="NSH133" s="105"/>
      <c r="NSI133" s="105"/>
      <c r="NSJ133" s="105"/>
      <c r="NSK133" s="105"/>
      <c r="NSL133" s="105"/>
      <c r="NSM133" s="105"/>
      <c r="NSN133" s="105"/>
      <c r="NSO133" s="105"/>
      <c r="NSP133" s="105"/>
      <c r="NSQ133" s="105"/>
      <c r="NSR133" s="105"/>
      <c r="NSS133" s="105"/>
      <c r="NST133" s="105"/>
      <c r="NSU133" s="105"/>
      <c r="NSV133" s="105"/>
      <c r="NSW133" s="105"/>
      <c r="NSX133" s="105"/>
      <c r="NSY133" s="105"/>
      <c r="NSZ133" s="105"/>
      <c r="NTA133" s="105"/>
      <c r="NTB133" s="105"/>
      <c r="NTC133" s="105"/>
      <c r="NTD133" s="105"/>
      <c r="NTE133" s="105"/>
      <c r="NTF133" s="105"/>
      <c r="NTG133" s="105"/>
      <c r="NTH133" s="105"/>
      <c r="NTI133" s="105"/>
      <c r="NTJ133" s="105"/>
      <c r="NTK133" s="105"/>
      <c r="NTL133" s="105"/>
      <c r="NTM133" s="105"/>
      <c r="NTN133" s="105"/>
      <c r="NTO133" s="105"/>
      <c r="NTP133" s="105"/>
      <c r="NTQ133" s="105"/>
      <c r="NTR133" s="105"/>
      <c r="NTS133" s="105"/>
      <c r="NTT133" s="105"/>
      <c r="NTU133" s="105"/>
      <c r="NTV133" s="105"/>
      <c r="NTW133" s="105"/>
      <c r="NTX133" s="105"/>
      <c r="NTY133" s="105"/>
      <c r="NTZ133" s="105"/>
      <c r="NUA133" s="105"/>
      <c r="NUB133" s="105"/>
      <c r="NUC133" s="105"/>
      <c r="NUD133" s="105"/>
      <c r="NUE133" s="105"/>
      <c r="NUF133" s="105"/>
      <c r="NUG133" s="105"/>
      <c r="NUH133" s="105"/>
      <c r="NUI133" s="105"/>
      <c r="NUJ133" s="105"/>
      <c r="NUK133" s="105"/>
      <c r="NUL133" s="105"/>
      <c r="NUM133" s="105"/>
      <c r="NUN133" s="105"/>
      <c r="NUO133" s="105"/>
      <c r="NUP133" s="105"/>
      <c r="NUQ133" s="105"/>
      <c r="NUR133" s="105"/>
      <c r="NUS133" s="105"/>
      <c r="NUT133" s="105"/>
      <c r="NUU133" s="105"/>
      <c r="NUV133" s="105"/>
      <c r="NUW133" s="105"/>
      <c r="NUX133" s="105"/>
      <c r="NUY133" s="105"/>
      <c r="NUZ133" s="105"/>
      <c r="NVA133" s="105"/>
      <c r="NVB133" s="105"/>
      <c r="NVC133" s="105"/>
      <c r="NVD133" s="105"/>
      <c r="NVE133" s="105"/>
      <c r="NVF133" s="105"/>
      <c r="NVG133" s="105"/>
      <c r="NVH133" s="105"/>
      <c r="NVI133" s="105"/>
      <c r="NVJ133" s="105"/>
      <c r="NVK133" s="105"/>
      <c r="NVL133" s="105"/>
      <c r="NVM133" s="105"/>
      <c r="NVN133" s="105"/>
      <c r="NVO133" s="105"/>
      <c r="NVP133" s="105"/>
      <c r="NVQ133" s="105"/>
      <c r="NVR133" s="105"/>
      <c r="NVS133" s="105"/>
      <c r="NVT133" s="105"/>
      <c r="NVU133" s="105"/>
      <c r="NVV133" s="105"/>
      <c r="NVW133" s="105"/>
      <c r="NVX133" s="105"/>
      <c r="NVY133" s="105"/>
      <c r="NVZ133" s="105"/>
      <c r="NWA133" s="105"/>
      <c r="NWB133" s="105"/>
      <c r="NWC133" s="105"/>
      <c r="NWD133" s="105"/>
      <c r="NWE133" s="105"/>
      <c r="NWF133" s="105"/>
      <c r="NWG133" s="105"/>
      <c r="NWH133" s="105"/>
      <c r="NWI133" s="105"/>
      <c r="NWJ133" s="105"/>
      <c r="NWK133" s="105"/>
      <c r="NWL133" s="105"/>
      <c r="NWM133" s="105"/>
      <c r="NWN133" s="105"/>
      <c r="NWO133" s="105"/>
      <c r="NWP133" s="105"/>
      <c r="NWQ133" s="105"/>
      <c r="NWR133" s="105"/>
      <c r="NWS133" s="105"/>
      <c r="NWT133" s="105"/>
      <c r="NWU133" s="105"/>
      <c r="NWV133" s="105"/>
      <c r="NWW133" s="105"/>
      <c r="NWX133" s="105"/>
      <c r="NWY133" s="105"/>
      <c r="NWZ133" s="105"/>
      <c r="NXA133" s="105"/>
      <c r="NXB133" s="105"/>
      <c r="NXC133" s="105"/>
      <c r="NXD133" s="105"/>
      <c r="NXE133" s="105"/>
      <c r="NXF133" s="105"/>
      <c r="NXG133" s="105"/>
      <c r="NXH133" s="105"/>
      <c r="NXI133" s="105"/>
      <c r="NXJ133" s="105"/>
      <c r="NXK133" s="105"/>
      <c r="NXL133" s="105"/>
      <c r="NXM133" s="105"/>
      <c r="NXN133" s="105"/>
      <c r="NXO133" s="105"/>
      <c r="NXP133" s="105"/>
      <c r="NXQ133" s="105"/>
      <c r="NXR133" s="105"/>
      <c r="NXS133" s="105"/>
      <c r="NXT133" s="105"/>
      <c r="NXU133" s="105"/>
      <c r="NXV133" s="105"/>
      <c r="NXW133" s="105"/>
      <c r="NXX133" s="105"/>
      <c r="NXY133" s="105"/>
      <c r="NXZ133" s="105"/>
      <c r="NYA133" s="105"/>
      <c r="NYB133" s="105"/>
      <c r="NYC133" s="105"/>
      <c r="NYD133" s="105"/>
      <c r="NYE133" s="105"/>
      <c r="NYF133" s="105"/>
      <c r="NYG133" s="105"/>
      <c r="NYH133" s="105"/>
      <c r="NYI133" s="105"/>
      <c r="NYJ133" s="105"/>
      <c r="NYK133" s="105"/>
      <c r="NYL133" s="105"/>
      <c r="NYM133" s="105"/>
      <c r="NYN133" s="105"/>
      <c r="NYO133" s="105"/>
      <c r="NYP133" s="105"/>
      <c r="NYQ133" s="105"/>
      <c r="NYR133" s="105"/>
      <c r="NYS133" s="105"/>
      <c r="NYT133" s="105"/>
      <c r="NYU133" s="105"/>
      <c r="NYV133" s="105"/>
      <c r="NYW133" s="105"/>
      <c r="NYX133" s="105"/>
      <c r="NYY133" s="105"/>
      <c r="NYZ133" s="105"/>
      <c r="NZA133" s="105"/>
      <c r="NZB133" s="105"/>
      <c r="NZC133" s="105"/>
      <c r="NZD133" s="105"/>
      <c r="NZE133" s="105"/>
      <c r="NZF133" s="105"/>
      <c r="NZG133" s="105"/>
      <c r="NZH133" s="105"/>
      <c r="NZI133" s="105"/>
      <c r="NZJ133" s="105"/>
      <c r="NZK133" s="105"/>
      <c r="NZL133" s="105"/>
      <c r="NZM133" s="105"/>
      <c r="NZN133" s="105"/>
      <c r="NZO133" s="105"/>
      <c r="NZP133" s="105"/>
      <c r="NZQ133" s="105"/>
      <c r="NZR133" s="105"/>
      <c r="NZS133" s="105"/>
      <c r="NZT133" s="105"/>
      <c r="NZU133" s="105"/>
      <c r="NZV133" s="105"/>
      <c r="NZW133" s="105"/>
      <c r="NZX133" s="105"/>
      <c r="NZY133" s="105"/>
      <c r="NZZ133" s="105"/>
      <c r="OAA133" s="105"/>
      <c r="OAB133" s="105"/>
      <c r="OAC133" s="105"/>
      <c r="OAD133" s="105"/>
      <c r="OAE133" s="105"/>
      <c r="OAF133" s="105"/>
      <c r="OAG133" s="105"/>
      <c r="OAH133" s="105"/>
      <c r="OAI133" s="105"/>
      <c r="OAJ133" s="105"/>
      <c r="OAK133" s="105"/>
      <c r="OAL133" s="105"/>
      <c r="OAM133" s="105"/>
      <c r="OAN133" s="105"/>
      <c r="OAO133" s="105"/>
      <c r="OAP133" s="105"/>
      <c r="OAQ133" s="105"/>
      <c r="OAR133" s="105"/>
      <c r="OAS133" s="105"/>
      <c r="OAT133" s="105"/>
      <c r="OAU133" s="105"/>
      <c r="OAV133" s="105"/>
      <c r="OAW133" s="105"/>
      <c r="OAX133" s="105"/>
      <c r="OAY133" s="105"/>
      <c r="OAZ133" s="105"/>
      <c r="OBA133" s="105"/>
      <c r="OBB133" s="105"/>
      <c r="OBC133" s="105"/>
      <c r="OBD133" s="105"/>
      <c r="OBE133" s="105"/>
      <c r="OBF133" s="105"/>
      <c r="OBG133" s="105"/>
      <c r="OBH133" s="105"/>
      <c r="OBI133" s="105"/>
      <c r="OBJ133" s="105"/>
      <c r="OBK133" s="105"/>
      <c r="OBL133" s="105"/>
      <c r="OBM133" s="105"/>
      <c r="OBN133" s="105"/>
      <c r="OBO133" s="105"/>
      <c r="OBP133" s="105"/>
      <c r="OBQ133" s="105"/>
      <c r="OBR133" s="105"/>
      <c r="OBS133" s="105"/>
      <c r="OBT133" s="105"/>
      <c r="OBU133" s="105"/>
      <c r="OBV133" s="105"/>
      <c r="OBW133" s="105"/>
      <c r="OBX133" s="105"/>
      <c r="OBY133" s="105"/>
      <c r="OBZ133" s="105"/>
      <c r="OCA133" s="105"/>
      <c r="OCB133" s="105"/>
      <c r="OCC133" s="105"/>
      <c r="OCD133" s="105"/>
      <c r="OCE133" s="105"/>
      <c r="OCF133" s="105"/>
      <c r="OCG133" s="105"/>
      <c r="OCH133" s="105"/>
      <c r="OCI133" s="105"/>
      <c r="OCJ133" s="105"/>
      <c r="OCK133" s="105"/>
      <c r="OCL133" s="105"/>
      <c r="OCM133" s="105"/>
      <c r="OCN133" s="105"/>
      <c r="OCO133" s="105"/>
      <c r="OCP133" s="105"/>
      <c r="OCQ133" s="105"/>
      <c r="OCR133" s="105"/>
      <c r="OCS133" s="105"/>
      <c r="OCT133" s="105"/>
      <c r="OCU133" s="105"/>
      <c r="OCV133" s="105"/>
      <c r="OCW133" s="105"/>
      <c r="OCX133" s="105"/>
      <c r="OCY133" s="105"/>
      <c r="OCZ133" s="105"/>
      <c r="ODA133" s="105"/>
      <c r="ODB133" s="105"/>
      <c r="ODC133" s="105"/>
      <c r="ODD133" s="105"/>
      <c r="ODE133" s="105"/>
      <c r="ODF133" s="105"/>
      <c r="ODG133" s="105"/>
      <c r="ODH133" s="105"/>
      <c r="ODI133" s="105"/>
      <c r="ODJ133" s="105"/>
      <c r="ODK133" s="105"/>
      <c r="ODL133" s="105"/>
      <c r="ODM133" s="105"/>
      <c r="ODN133" s="105"/>
      <c r="ODO133" s="105"/>
      <c r="ODP133" s="105"/>
      <c r="ODQ133" s="105"/>
      <c r="ODR133" s="105"/>
      <c r="ODS133" s="105"/>
      <c r="ODT133" s="105"/>
      <c r="ODU133" s="105"/>
      <c r="ODV133" s="105"/>
      <c r="ODW133" s="105"/>
      <c r="ODX133" s="105"/>
      <c r="ODY133" s="105"/>
      <c r="ODZ133" s="105"/>
      <c r="OEA133" s="105"/>
      <c r="OEB133" s="105"/>
      <c r="OEC133" s="105"/>
      <c r="OED133" s="105"/>
      <c r="OEE133" s="105"/>
      <c r="OEF133" s="105"/>
      <c r="OEG133" s="105"/>
      <c r="OEH133" s="105"/>
      <c r="OEI133" s="105"/>
      <c r="OEJ133" s="105"/>
      <c r="OEK133" s="105"/>
      <c r="OEL133" s="105"/>
      <c r="OEM133" s="105"/>
      <c r="OEN133" s="105"/>
      <c r="OEO133" s="105"/>
      <c r="OEP133" s="105"/>
      <c r="OEQ133" s="105"/>
      <c r="OER133" s="105"/>
      <c r="OES133" s="105"/>
      <c r="OET133" s="105"/>
      <c r="OEU133" s="105"/>
      <c r="OEV133" s="105"/>
      <c r="OEW133" s="105"/>
      <c r="OEX133" s="105"/>
      <c r="OEY133" s="105"/>
      <c r="OEZ133" s="105"/>
      <c r="OFA133" s="105"/>
      <c r="OFB133" s="105"/>
      <c r="OFC133" s="105"/>
      <c r="OFD133" s="105"/>
      <c r="OFE133" s="105"/>
      <c r="OFF133" s="105"/>
      <c r="OFG133" s="105"/>
      <c r="OFH133" s="105"/>
      <c r="OFI133" s="105"/>
      <c r="OFJ133" s="105"/>
      <c r="OFK133" s="105"/>
      <c r="OFL133" s="105"/>
      <c r="OFM133" s="105"/>
      <c r="OFN133" s="105"/>
      <c r="OFO133" s="105"/>
      <c r="OFP133" s="105"/>
      <c r="OFQ133" s="105"/>
      <c r="OFR133" s="105"/>
      <c r="OFS133" s="105"/>
      <c r="OFT133" s="105"/>
      <c r="OFU133" s="105"/>
      <c r="OFV133" s="105"/>
      <c r="OFW133" s="105"/>
      <c r="OFX133" s="105"/>
      <c r="OFY133" s="105"/>
      <c r="OFZ133" s="105"/>
      <c r="OGA133" s="105"/>
      <c r="OGB133" s="105"/>
      <c r="OGC133" s="105"/>
      <c r="OGD133" s="105"/>
      <c r="OGE133" s="105"/>
      <c r="OGF133" s="105"/>
      <c r="OGG133" s="105"/>
      <c r="OGH133" s="105"/>
      <c r="OGI133" s="105"/>
      <c r="OGJ133" s="105"/>
      <c r="OGK133" s="105"/>
      <c r="OGL133" s="105"/>
      <c r="OGM133" s="105"/>
      <c r="OGN133" s="105"/>
      <c r="OGO133" s="105"/>
      <c r="OGP133" s="105"/>
      <c r="OGQ133" s="105"/>
      <c r="OGR133" s="105"/>
      <c r="OGS133" s="105"/>
      <c r="OGT133" s="105"/>
      <c r="OGU133" s="105"/>
      <c r="OGV133" s="105"/>
      <c r="OGW133" s="105"/>
      <c r="OGX133" s="105"/>
      <c r="OGY133" s="105"/>
      <c r="OGZ133" s="105"/>
      <c r="OHA133" s="105"/>
      <c r="OHB133" s="105"/>
      <c r="OHC133" s="105"/>
      <c r="OHD133" s="105"/>
      <c r="OHE133" s="105"/>
      <c r="OHF133" s="105"/>
      <c r="OHG133" s="105"/>
      <c r="OHH133" s="105"/>
      <c r="OHI133" s="105"/>
      <c r="OHJ133" s="105"/>
      <c r="OHK133" s="105"/>
      <c r="OHL133" s="105"/>
      <c r="OHM133" s="105"/>
      <c r="OHN133" s="105"/>
      <c r="OHO133" s="105"/>
      <c r="OHP133" s="105"/>
      <c r="OHQ133" s="105"/>
      <c r="OHR133" s="105"/>
      <c r="OHS133" s="105"/>
      <c r="OHT133" s="105"/>
      <c r="OHU133" s="105"/>
      <c r="OHV133" s="105"/>
      <c r="OHW133" s="105"/>
      <c r="OHX133" s="105"/>
      <c r="OHY133" s="105"/>
      <c r="OHZ133" s="105"/>
      <c r="OIA133" s="105"/>
      <c r="OIB133" s="105"/>
      <c r="OIC133" s="105"/>
      <c r="OID133" s="105"/>
      <c r="OIE133" s="105"/>
      <c r="OIF133" s="105"/>
      <c r="OIG133" s="105"/>
      <c r="OIH133" s="105"/>
      <c r="OII133" s="105"/>
      <c r="OIJ133" s="105"/>
      <c r="OIK133" s="105"/>
      <c r="OIL133" s="105"/>
      <c r="OIM133" s="105"/>
      <c r="OIN133" s="105"/>
      <c r="OIO133" s="105"/>
      <c r="OIP133" s="105"/>
      <c r="OIQ133" s="105"/>
      <c r="OIR133" s="105"/>
      <c r="OIS133" s="105"/>
      <c r="OIT133" s="105"/>
      <c r="OIU133" s="105"/>
      <c r="OIV133" s="105"/>
      <c r="OIW133" s="105"/>
      <c r="OIX133" s="105"/>
      <c r="OIY133" s="105"/>
      <c r="OIZ133" s="105"/>
      <c r="OJA133" s="105"/>
      <c r="OJB133" s="105"/>
      <c r="OJC133" s="105"/>
      <c r="OJD133" s="105"/>
      <c r="OJE133" s="105"/>
      <c r="OJF133" s="105"/>
      <c r="OJG133" s="105"/>
      <c r="OJH133" s="105"/>
      <c r="OJI133" s="105"/>
      <c r="OJJ133" s="105"/>
      <c r="OJK133" s="105"/>
      <c r="OJL133" s="105"/>
      <c r="OJM133" s="105"/>
      <c r="OJN133" s="105"/>
      <c r="OJO133" s="105"/>
      <c r="OJP133" s="105"/>
      <c r="OJQ133" s="105"/>
      <c r="OJR133" s="105"/>
      <c r="OJS133" s="105"/>
      <c r="OJT133" s="105"/>
      <c r="OJU133" s="105"/>
      <c r="OJV133" s="105"/>
      <c r="OJW133" s="105"/>
      <c r="OJX133" s="105"/>
      <c r="OJY133" s="105"/>
      <c r="OJZ133" s="105"/>
      <c r="OKA133" s="105"/>
      <c r="OKB133" s="105"/>
      <c r="OKC133" s="105"/>
      <c r="OKD133" s="105"/>
      <c r="OKE133" s="105"/>
      <c r="OKF133" s="105"/>
      <c r="OKG133" s="105"/>
      <c r="OKH133" s="105"/>
      <c r="OKI133" s="105"/>
      <c r="OKJ133" s="105"/>
      <c r="OKK133" s="105"/>
      <c r="OKL133" s="105"/>
      <c r="OKM133" s="105"/>
      <c r="OKN133" s="105"/>
      <c r="OKO133" s="105"/>
      <c r="OKP133" s="105"/>
      <c r="OKQ133" s="105"/>
      <c r="OKR133" s="105"/>
      <c r="OKS133" s="105"/>
      <c r="OKT133" s="105"/>
      <c r="OKU133" s="105"/>
      <c r="OKV133" s="105"/>
      <c r="OKW133" s="105"/>
      <c r="OKX133" s="105"/>
      <c r="OKY133" s="105"/>
      <c r="OKZ133" s="105"/>
      <c r="OLA133" s="105"/>
      <c r="OLB133" s="105"/>
      <c r="OLC133" s="105"/>
      <c r="OLD133" s="105"/>
      <c r="OLE133" s="105"/>
      <c r="OLF133" s="105"/>
      <c r="OLG133" s="105"/>
      <c r="OLH133" s="105"/>
      <c r="OLI133" s="105"/>
      <c r="OLJ133" s="105"/>
      <c r="OLK133" s="105"/>
      <c r="OLL133" s="105"/>
      <c r="OLM133" s="105"/>
      <c r="OLN133" s="105"/>
      <c r="OLO133" s="105"/>
      <c r="OLP133" s="105"/>
      <c r="OLQ133" s="105"/>
      <c r="OLR133" s="105"/>
      <c r="OLS133" s="105"/>
      <c r="OLT133" s="105"/>
      <c r="OLU133" s="105"/>
      <c r="OLV133" s="105"/>
      <c r="OLW133" s="105"/>
      <c r="OLX133" s="105"/>
      <c r="OLY133" s="105"/>
      <c r="OLZ133" s="105"/>
      <c r="OMA133" s="105"/>
      <c r="OMB133" s="105"/>
      <c r="OMC133" s="105"/>
      <c r="OMD133" s="105"/>
      <c r="OME133" s="105"/>
      <c r="OMF133" s="105"/>
      <c r="OMG133" s="105"/>
      <c r="OMH133" s="105"/>
      <c r="OMI133" s="105"/>
      <c r="OMJ133" s="105"/>
      <c r="OMK133" s="105"/>
      <c r="OML133" s="105"/>
      <c r="OMM133" s="105"/>
      <c r="OMN133" s="105"/>
      <c r="OMO133" s="105"/>
      <c r="OMP133" s="105"/>
      <c r="OMQ133" s="105"/>
      <c r="OMR133" s="105"/>
      <c r="OMS133" s="105"/>
      <c r="OMT133" s="105"/>
      <c r="OMU133" s="105"/>
      <c r="OMV133" s="105"/>
      <c r="OMW133" s="105"/>
      <c r="OMX133" s="105"/>
      <c r="OMY133" s="105"/>
      <c r="OMZ133" s="105"/>
      <c r="ONA133" s="105"/>
      <c r="ONB133" s="105"/>
      <c r="ONC133" s="105"/>
      <c r="OND133" s="105"/>
      <c r="ONE133" s="105"/>
      <c r="ONF133" s="105"/>
      <c r="ONG133" s="105"/>
      <c r="ONH133" s="105"/>
      <c r="ONI133" s="105"/>
      <c r="ONJ133" s="105"/>
      <c r="ONK133" s="105"/>
      <c r="ONL133" s="105"/>
      <c r="ONM133" s="105"/>
      <c r="ONN133" s="105"/>
      <c r="ONO133" s="105"/>
      <c r="ONP133" s="105"/>
      <c r="ONQ133" s="105"/>
      <c r="ONR133" s="105"/>
      <c r="ONS133" s="105"/>
      <c r="ONT133" s="105"/>
      <c r="ONU133" s="105"/>
      <c r="ONV133" s="105"/>
      <c r="ONW133" s="105"/>
      <c r="ONX133" s="105"/>
      <c r="ONY133" s="105"/>
      <c r="ONZ133" s="105"/>
      <c r="OOA133" s="105"/>
      <c r="OOB133" s="105"/>
      <c r="OOC133" s="105"/>
      <c r="OOD133" s="105"/>
      <c r="OOE133" s="105"/>
      <c r="OOF133" s="105"/>
      <c r="OOG133" s="105"/>
      <c r="OOH133" s="105"/>
      <c r="OOI133" s="105"/>
      <c r="OOJ133" s="105"/>
      <c r="OOK133" s="105"/>
      <c r="OOL133" s="105"/>
      <c r="OOM133" s="105"/>
      <c r="OON133" s="105"/>
      <c r="OOO133" s="105"/>
      <c r="OOP133" s="105"/>
      <c r="OOQ133" s="105"/>
      <c r="OOR133" s="105"/>
      <c r="OOS133" s="105"/>
      <c r="OOT133" s="105"/>
      <c r="OOU133" s="105"/>
      <c r="OOV133" s="105"/>
      <c r="OOW133" s="105"/>
      <c r="OOX133" s="105"/>
      <c r="OOY133" s="105"/>
      <c r="OOZ133" s="105"/>
      <c r="OPA133" s="105"/>
      <c r="OPB133" s="105"/>
      <c r="OPC133" s="105"/>
      <c r="OPD133" s="105"/>
      <c r="OPE133" s="105"/>
      <c r="OPF133" s="105"/>
      <c r="OPG133" s="105"/>
      <c r="OPH133" s="105"/>
      <c r="OPI133" s="105"/>
      <c r="OPJ133" s="105"/>
      <c r="OPK133" s="105"/>
      <c r="OPL133" s="105"/>
      <c r="OPM133" s="105"/>
      <c r="OPN133" s="105"/>
      <c r="OPO133" s="105"/>
      <c r="OPP133" s="105"/>
      <c r="OPQ133" s="105"/>
      <c r="OPR133" s="105"/>
      <c r="OPS133" s="105"/>
      <c r="OPT133" s="105"/>
      <c r="OPU133" s="105"/>
      <c r="OPV133" s="105"/>
      <c r="OPW133" s="105"/>
      <c r="OPX133" s="105"/>
      <c r="OPY133" s="105"/>
      <c r="OPZ133" s="105"/>
      <c r="OQA133" s="105"/>
      <c r="OQB133" s="105"/>
      <c r="OQC133" s="105"/>
      <c r="OQD133" s="105"/>
      <c r="OQE133" s="105"/>
      <c r="OQF133" s="105"/>
      <c r="OQG133" s="105"/>
      <c r="OQH133" s="105"/>
      <c r="OQI133" s="105"/>
      <c r="OQJ133" s="105"/>
      <c r="OQK133" s="105"/>
      <c r="OQL133" s="105"/>
      <c r="OQM133" s="105"/>
      <c r="OQN133" s="105"/>
      <c r="OQO133" s="105"/>
      <c r="OQP133" s="105"/>
      <c r="OQQ133" s="105"/>
      <c r="OQR133" s="105"/>
      <c r="OQS133" s="105"/>
      <c r="OQT133" s="105"/>
      <c r="OQU133" s="105"/>
      <c r="OQV133" s="105"/>
      <c r="OQW133" s="105"/>
      <c r="OQX133" s="105"/>
      <c r="OQY133" s="105"/>
      <c r="OQZ133" s="105"/>
      <c r="ORA133" s="105"/>
      <c r="ORB133" s="105"/>
      <c r="ORC133" s="105"/>
      <c r="ORD133" s="105"/>
      <c r="ORE133" s="105"/>
      <c r="ORF133" s="105"/>
      <c r="ORG133" s="105"/>
      <c r="ORH133" s="105"/>
      <c r="ORI133" s="105"/>
      <c r="ORJ133" s="105"/>
      <c r="ORK133" s="105"/>
      <c r="ORL133" s="105"/>
      <c r="ORM133" s="105"/>
      <c r="ORN133" s="105"/>
      <c r="ORO133" s="105"/>
      <c r="ORP133" s="105"/>
      <c r="ORQ133" s="105"/>
      <c r="ORR133" s="105"/>
      <c r="ORS133" s="105"/>
      <c r="ORT133" s="105"/>
      <c r="ORU133" s="105"/>
      <c r="ORV133" s="105"/>
      <c r="ORW133" s="105"/>
      <c r="ORX133" s="105"/>
      <c r="ORY133" s="105"/>
      <c r="ORZ133" s="105"/>
      <c r="OSA133" s="105"/>
      <c r="OSB133" s="105"/>
      <c r="OSC133" s="105"/>
      <c r="OSD133" s="105"/>
      <c r="OSE133" s="105"/>
      <c r="OSF133" s="105"/>
      <c r="OSG133" s="105"/>
      <c r="OSH133" s="105"/>
      <c r="OSI133" s="105"/>
      <c r="OSJ133" s="105"/>
      <c r="OSK133" s="105"/>
      <c r="OSL133" s="105"/>
      <c r="OSM133" s="105"/>
      <c r="OSN133" s="105"/>
      <c r="OSO133" s="105"/>
      <c r="OSP133" s="105"/>
      <c r="OSQ133" s="105"/>
      <c r="OSR133" s="105"/>
      <c r="OSS133" s="105"/>
      <c r="OST133" s="105"/>
      <c r="OSU133" s="105"/>
      <c r="OSV133" s="105"/>
      <c r="OSW133" s="105"/>
      <c r="OSX133" s="105"/>
      <c r="OSY133" s="105"/>
      <c r="OSZ133" s="105"/>
      <c r="OTA133" s="105"/>
      <c r="OTB133" s="105"/>
      <c r="OTC133" s="105"/>
      <c r="OTD133" s="105"/>
      <c r="OTE133" s="105"/>
      <c r="OTF133" s="105"/>
      <c r="OTG133" s="105"/>
      <c r="OTH133" s="105"/>
      <c r="OTI133" s="105"/>
      <c r="OTJ133" s="105"/>
      <c r="OTK133" s="105"/>
      <c r="OTL133" s="105"/>
      <c r="OTM133" s="105"/>
      <c r="OTN133" s="105"/>
      <c r="OTO133" s="105"/>
      <c r="OTP133" s="105"/>
      <c r="OTQ133" s="105"/>
      <c r="OTR133" s="105"/>
      <c r="OTS133" s="105"/>
      <c r="OTT133" s="105"/>
      <c r="OTU133" s="105"/>
      <c r="OTV133" s="105"/>
      <c r="OTW133" s="105"/>
      <c r="OTX133" s="105"/>
      <c r="OTY133" s="105"/>
      <c r="OTZ133" s="105"/>
      <c r="OUA133" s="105"/>
      <c r="OUB133" s="105"/>
      <c r="OUC133" s="105"/>
      <c r="OUD133" s="105"/>
      <c r="OUE133" s="105"/>
      <c r="OUF133" s="105"/>
      <c r="OUG133" s="105"/>
      <c r="OUH133" s="105"/>
      <c r="OUI133" s="105"/>
      <c r="OUJ133" s="105"/>
      <c r="OUK133" s="105"/>
      <c r="OUL133" s="105"/>
      <c r="OUM133" s="105"/>
      <c r="OUN133" s="105"/>
      <c r="OUO133" s="105"/>
      <c r="OUP133" s="105"/>
      <c r="OUQ133" s="105"/>
      <c r="OUR133" s="105"/>
      <c r="OUS133" s="105"/>
      <c r="OUT133" s="105"/>
      <c r="OUU133" s="105"/>
      <c r="OUV133" s="105"/>
      <c r="OUW133" s="105"/>
      <c r="OUX133" s="105"/>
      <c r="OUY133" s="105"/>
      <c r="OUZ133" s="105"/>
      <c r="OVA133" s="105"/>
      <c r="OVB133" s="105"/>
      <c r="OVC133" s="105"/>
      <c r="OVD133" s="105"/>
      <c r="OVE133" s="105"/>
      <c r="OVF133" s="105"/>
      <c r="OVG133" s="105"/>
      <c r="OVH133" s="105"/>
      <c r="OVI133" s="105"/>
      <c r="OVJ133" s="105"/>
      <c r="OVK133" s="105"/>
      <c r="OVL133" s="105"/>
      <c r="OVM133" s="105"/>
      <c r="OVN133" s="105"/>
      <c r="OVO133" s="105"/>
      <c r="OVP133" s="105"/>
      <c r="OVQ133" s="105"/>
      <c r="OVR133" s="105"/>
      <c r="OVS133" s="105"/>
      <c r="OVT133" s="105"/>
      <c r="OVU133" s="105"/>
      <c r="OVV133" s="105"/>
      <c r="OVW133" s="105"/>
      <c r="OVX133" s="105"/>
      <c r="OVY133" s="105"/>
      <c r="OVZ133" s="105"/>
      <c r="OWA133" s="105"/>
      <c r="OWB133" s="105"/>
      <c r="OWC133" s="105"/>
      <c r="OWD133" s="105"/>
      <c r="OWE133" s="105"/>
      <c r="OWF133" s="105"/>
      <c r="OWG133" s="105"/>
      <c r="OWH133" s="105"/>
      <c r="OWI133" s="105"/>
      <c r="OWJ133" s="105"/>
      <c r="OWK133" s="105"/>
      <c r="OWL133" s="105"/>
      <c r="OWM133" s="105"/>
      <c r="OWN133" s="105"/>
      <c r="OWO133" s="105"/>
      <c r="OWP133" s="105"/>
      <c r="OWQ133" s="105"/>
      <c r="OWR133" s="105"/>
      <c r="OWS133" s="105"/>
      <c r="OWT133" s="105"/>
      <c r="OWU133" s="105"/>
      <c r="OWV133" s="105"/>
      <c r="OWW133" s="105"/>
      <c r="OWX133" s="105"/>
      <c r="OWY133" s="105"/>
      <c r="OWZ133" s="105"/>
      <c r="OXA133" s="105"/>
      <c r="OXB133" s="105"/>
      <c r="OXC133" s="105"/>
      <c r="OXD133" s="105"/>
      <c r="OXE133" s="105"/>
      <c r="OXF133" s="105"/>
      <c r="OXG133" s="105"/>
      <c r="OXH133" s="105"/>
      <c r="OXI133" s="105"/>
      <c r="OXJ133" s="105"/>
      <c r="OXK133" s="105"/>
      <c r="OXL133" s="105"/>
      <c r="OXM133" s="105"/>
      <c r="OXN133" s="105"/>
      <c r="OXO133" s="105"/>
      <c r="OXP133" s="105"/>
      <c r="OXQ133" s="105"/>
      <c r="OXR133" s="105"/>
      <c r="OXS133" s="105"/>
      <c r="OXT133" s="105"/>
      <c r="OXU133" s="105"/>
      <c r="OXV133" s="105"/>
      <c r="OXW133" s="105"/>
      <c r="OXX133" s="105"/>
      <c r="OXY133" s="105"/>
      <c r="OXZ133" s="105"/>
      <c r="OYA133" s="105"/>
      <c r="OYB133" s="105"/>
      <c r="OYC133" s="105"/>
      <c r="OYD133" s="105"/>
      <c r="OYE133" s="105"/>
      <c r="OYF133" s="105"/>
      <c r="OYG133" s="105"/>
      <c r="OYH133" s="105"/>
      <c r="OYI133" s="105"/>
      <c r="OYJ133" s="105"/>
      <c r="OYK133" s="105"/>
      <c r="OYL133" s="105"/>
      <c r="OYM133" s="105"/>
      <c r="OYN133" s="105"/>
      <c r="OYO133" s="105"/>
      <c r="OYP133" s="105"/>
      <c r="OYQ133" s="105"/>
      <c r="OYR133" s="105"/>
      <c r="OYS133" s="105"/>
      <c r="OYT133" s="105"/>
      <c r="OYU133" s="105"/>
      <c r="OYV133" s="105"/>
      <c r="OYW133" s="105"/>
      <c r="OYX133" s="105"/>
      <c r="OYY133" s="105"/>
      <c r="OYZ133" s="105"/>
      <c r="OZA133" s="105"/>
      <c r="OZB133" s="105"/>
      <c r="OZC133" s="105"/>
      <c r="OZD133" s="105"/>
      <c r="OZE133" s="105"/>
      <c r="OZF133" s="105"/>
      <c r="OZG133" s="105"/>
      <c r="OZH133" s="105"/>
      <c r="OZI133" s="105"/>
      <c r="OZJ133" s="105"/>
      <c r="OZK133" s="105"/>
      <c r="OZL133" s="105"/>
      <c r="OZM133" s="105"/>
      <c r="OZN133" s="105"/>
      <c r="OZO133" s="105"/>
      <c r="OZP133" s="105"/>
      <c r="OZQ133" s="105"/>
      <c r="OZR133" s="105"/>
      <c r="OZS133" s="105"/>
      <c r="OZT133" s="105"/>
      <c r="OZU133" s="105"/>
      <c r="OZV133" s="105"/>
      <c r="OZW133" s="105"/>
      <c r="OZX133" s="105"/>
      <c r="OZY133" s="105"/>
      <c r="OZZ133" s="105"/>
      <c r="PAA133" s="105"/>
      <c r="PAB133" s="105"/>
      <c r="PAC133" s="105"/>
      <c r="PAD133" s="105"/>
      <c r="PAE133" s="105"/>
      <c r="PAF133" s="105"/>
      <c r="PAG133" s="105"/>
      <c r="PAH133" s="105"/>
      <c r="PAI133" s="105"/>
      <c r="PAJ133" s="105"/>
      <c r="PAK133" s="105"/>
      <c r="PAL133" s="105"/>
      <c r="PAM133" s="105"/>
      <c r="PAN133" s="105"/>
      <c r="PAO133" s="105"/>
      <c r="PAP133" s="105"/>
      <c r="PAQ133" s="105"/>
      <c r="PAR133" s="105"/>
      <c r="PAS133" s="105"/>
      <c r="PAT133" s="105"/>
      <c r="PAU133" s="105"/>
      <c r="PAV133" s="105"/>
      <c r="PAW133" s="105"/>
      <c r="PAX133" s="105"/>
      <c r="PAY133" s="105"/>
      <c r="PAZ133" s="105"/>
      <c r="PBA133" s="105"/>
      <c r="PBB133" s="105"/>
      <c r="PBC133" s="105"/>
      <c r="PBD133" s="105"/>
      <c r="PBE133" s="105"/>
      <c r="PBF133" s="105"/>
      <c r="PBG133" s="105"/>
      <c r="PBH133" s="105"/>
      <c r="PBI133" s="105"/>
      <c r="PBJ133" s="105"/>
      <c r="PBK133" s="105"/>
      <c r="PBL133" s="105"/>
      <c r="PBM133" s="105"/>
      <c r="PBN133" s="105"/>
      <c r="PBO133" s="105"/>
      <c r="PBP133" s="105"/>
      <c r="PBQ133" s="105"/>
      <c r="PBR133" s="105"/>
      <c r="PBS133" s="105"/>
      <c r="PBT133" s="105"/>
      <c r="PBU133" s="105"/>
      <c r="PBV133" s="105"/>
      <c r="PBW133" s="105"/>
      <c r="PBX133" s="105"/>
      <c r="PBY133" s="105"/>
      <c r="PBZ133" s="105"/>
      <c r="PCA133" s="105"/>
      <c r="PCB133" s="105"/>
      <c r="PCC133" s="105"/>
      <c r="PCD133" s="105"/>
      <c r="PCE133" s="105"/>
      <c r="PCF133" s="105"/>
      <c r="PCG133" s="105"/>
      <c r="PCH133" s="105"/>
      <c r="PCI133" s="105"/>
      <c r="PCJ133" s="105"/>
      <c r="PCK133" s="105"/>
      <c r="PCL133" s="105"/>
      <c r="PCM133" s="105"/>
      <c r="PCN133" s="105"/>
      <c r="PCO133" s="105"/>
      <c r="PCP133" s="105"/>
      <c r="PCQ133" s="105"/>
      <c r="PCR133" s="105"/>
      <c r="PCS133" s="105"/>
      <c r="PCT133" s="105"/>
      <c r="PCU133" s="105"/>
      <c r="PCV133" s="105"/>
      <c r="PCW133" s="105"/>
      <c r="PCX133" s="105"/>
      <c r="PCY133" s="105"/>
      <c r="PCZ133" s="105"/>
      <c r="PDA133" s="105"/>
      <c r="PDB133" s="105"/>
      <c r="PDC133" s="105"/>
      <c r="PDD133" s="105"/>
      <c r="PDE133" s="105"/>
      <c r="PDF133" s="105"/>
      <c r="PDG133" s="105"/>
      <c r="PDH133" s="105"/>
      <c r="PDI133" s="105"/>
      <c r="PDJ133" s="105"/>
      <c r="PDK133" s="105"/>
      <c r="PDL133" s="105"/>
      <c r="PDM133" s="105"/>
      <c r="PDN133" s="105"/>
      <c r="PDO133" s="105"/>
      <c r="PDP133" s="105"/>
      <c r="PDQ133" s="105"/>
      <c r="PDR133" s="105"/>
      <c r="PDS133" s="105"/>
      <c r="PDT133" s="105"/>
      <c r="PDU133" s="105"/>
      <c r="PDV133" s="105"/>
      <c r="PDW133" s="105"/>
      <c r="PDX133" s="105"/>
      <c r="PDY133" s="105"/>
      <c r="PDZ133" s="105"/>
      <c r="PEA133" s="105"/>
      <c r="PEB133" s="105"/>
      <c r="PEC133" s="105"/>
      <c r="PED133" s="105"/>
      <c r="PEE133" s="105"/>
      <c r="PEF133" s="105"/>
      <c r="PEG133" s="105"/>
      <c r="PEH133" s="105"/>
      <c r="PEI133" s="105"/>
      <c r="PEJ133" s="105"/>
      <c r="PEK133" s="105"/>
      <c r="PEL133" s="105"/>
      <c r="PEM133" s="105"/>
      <c r="PEN133" s="105"/>
      <c r="PEO133" s="105"/>
      <c r="PEP133" s="105"/>
      <c r="PEQ133" s="105"/>
      <c r="PER133" s="105"/>
      <c r="PES133" s="105"/>
      <c r="PET133" s="105"/>
      <c r="PEU133" s="105"/>
      <c r="PEV133" s="105"/>
      <c r="PEW133" s="105"/>
      <c r="PEX133" s="105"/>
      <c r="PEY133" s="105"/>
      <c r="PEZ133" s="105"/>
      <c r="PFA133" s="105"/>
      <c r="PFB133" s="105"/>
      <c r="PFC133" s="105"/>
      <c r="PFD133" s="105"/>
      <c r="PFE133" s="105"/>
      <c r="PFF133" s="105"/>
      <c r="PFG133" s="105"/>
      <c r="PFH133" s="105"/>
      <c r="PFI133" s="105"/>
      <c r="PFJ133" s="105"/>
      <c r="PFK133" s="105"/>
      <c r="PFL133" s="105"/>
      <c r="PFM133" s="105"/>
      <c r="PFN133" s="105"/>
      <c r="PFO133" s="105"/>
      <c r="PFP133" s="105"/>
      <c r="PFQ133" s="105"/>
      <c r="PFR133" s="105"/>
      <c r="PFS133" s="105"/>
      <c r="PFT133" s="105"/>
      <c r="PFU133" s="105"/>
      <c r="PFV133" s="105"/>
      <c r="PFW133" s="105"/>
      <c r="PFX133" s="105"/>
      <c r="PFY133" s="105"/>
      <c r="PFZ133" s="105"/>
      <c r="PGA133" s="105"/>
      <c r="PGB133" s="105"/>
      <c r="PGC133" s="105"/>
      <c r="PGD133" s="105"/>
      <c r="PGE133" s="105"/>
      <c r="PGF133" s="105"/>
      <c r="PGG133" s="105"/>
      <c r="PGH133" s="105"/>
      <c r="PGI133" s="105"/>
      <c r="PGJ133" s="105"/>
      <c r="PGK133" s="105"/>
      <c r="PGL133" s="105"/>
      <c r="PGM133" s="105"/>
      <c r="PGN133" s="105"/>
      <c r="PGO133" s="105"/>
      <c r="PGP133" s="105"/>
      <c r="PGQ133" s="105"/>
      <c r="PGR133" s="105"/>
      <c r="PGS133" s="105"/>
      <c r="PGT133" s="105"/>
      <c r="PGU133" s="105"/>
      <c r="PGV133" s="105"/>
      <c r="PGW133" s="105"/>
      <c r="PGX133" s="105"/>
      <c r="PGY133" s="105"/>
      <c r="PGZ133" s="105"/>
      <c r="PHA133" s="105"/>
      <c r="PHB133" s="105"/>
      <c r="PHC133" s="105"/>
      <c r="PHD133" s="105"/>
      <c r="PHE133" s="105"/>
      <c r="PHF133" s="105"/>
      <c r="PHG133" s="105"/>
      <c r="PHH133" s="105"/>
      <c r="PHI133" s="105"/>
      <c r="PHJ133" s="105"/>
      <c r="PHK133" s="105"/>
      <c r="PHL133" s="105"/>
      <c r="PHM133" s="105"/>
      <c r="PHN133" s="105"/>
      <c r="PHO133" s="105"/>
      <c r="PHP133" s="105"/>
      <c r="PHQ133" s="105"/>
      <c r="PHR133" s="105"/>
      <c r="PHS133" s="105"/>
      <c r="PHT133" s="105"/>
      <c r="PHU133" s="105"/>
      <c r="PHV133" s="105"/>
      <c r="PHW133" s="105"/>
      <c r="PHX133" s="105"/>
      <c r="PHY133" s="105"/>
      <c r="PHZ133" s="105"/>
      <c r="PIA133" s="105"/>
      <c r="PIB133" s="105"/>
      <c r="PIC133" s="105"/>
      <c r="PID133" s="105"/>
      <c r="PIE133" s="105"/>
      <c r="PIF133" s="105"/>
      <c r="PIG133" s="105"/>
      <c r="PIH133" s="105"/>
      <c r="PII133" s="105"/>
      <c r="PIJ133" s="105"/>
      <c r="PIK133" s="105"/>
      <c r="PIL133" s="105"/>
      <c r="PIM133" s="105"/>
      <c r="PIN133" s="105"/>
      <c r="PIO133" s="105"/>
      <c r="PIP133" s="105"/>
      <c r="PIQ133" s="105"/>
      <c r="PIR133" s="105"/>
      <c r="PIS133" s="105"/>
      <c r="PIT133" s="105"/>
      <c r="PIU133" s="105"/>
      <c r="PIV133" s="105"/>
      <c r="PIW133" s="105"/>
      <c r="PIX133" s="105"/>
      <c r="PIY133" s="105"/>
      <c r="PIZ133" s="105"/>
      <c r="PJA133" s="105"/>
      <c r="PJB133" s="105"/>
      <c r="PJC133" s="105"/>
      <c r="PJD133" s="105"/>
      <c r="PJE133" s="105"/>
      <c r="PJF133" s="105"/>
      <c r="PJG133" s="105"/>
      <c r="PJH133" s="105"/>
      <c r="PJI133" s="105"/>
      <c r="PJJ133" s="105"/>
      <c r="PJK133" s="105"/>
      <c r="PJL133" s="105"/>
      <c r="PJM133" s="105"/>
      <c r="PJN133" s="105"/>
      <c r="PJO133" s="105"/>
      <c r="PJP133" s="105"/>
      <c r="PJQ133" s="105"/>
      <c r="PJR133" s="105"/>
      <c r="PJS133" s="105"/>
      <c r="PJT133" s="105"/>
      <c r="PJU133" s="105"/>
      <c r="PJV133" s="105"/>
      <c r="PJW133" s="105"/>
      <c r="PJX133" s="105"/>
      <c r="PJY133" s="105"/>
      <c r="PJZ133" s="105"/>
      <c r="PKA133" s="105"/>
      <c r="PKB133" s="105"/>
      <c r="PKC133" s="105"/>
      <c r="PKD133" s="105"/>
      <c r="PKE133" s="105"/>
      <c r="PKF133" s="105"/>
      <c r="PKG133" s="105"/>
      <c r="PKH133" s="105"/>
      <c r="PKI133" s="105"/>
      <c r="PKJ133" s="105"/>
      <c r="PKK133" s="105"/>
      <c r="PKL133" s="105"/>
      <c r="PKM133" s="105"/>
      <c r="PKN133" s="105"/>
      <c r="PKO133" s="105"/>
      <c r="PKP133" s="105"/>
      <c r="PKQ133" s="105"/>
      <c r="PKR133" s="105"/>
      <c r="PKS133" s="105"/>
      <c r="PKT133" s="105"/>
      <c r="PKU133" s="105"/>
      <c r="PKV133" s="105"/>
      <c r="PKW133" s="105"/>
      <c r="PKX133" s="105"/>
      <c r="PKY133" s="105"/>
      <c r="PKZ133" s="105"/>
      <c r="PLA133" s="105"/>
      <c r="PLB133" s="105"/>
      <c r="PLC133" s="105"/>
      <c r="PLD133" s="105"/>
      <c r="PLE133" s="105"/>
      <c r="PLF133" s="105"/>
      <c r="PLG133" s="105"/>
      <c r="PLH133" s="105"/>
      <c r="PLI133" s="105"/>
      <c r="PLJ133" s="105"/>
      <c r="PLK133" s="105"/>
      <c r="PLL133" s="105"/>
      <c r="PLM133" s="105"/>
      <c r="PLN133" s="105"/>
      <c r="PLO133" s="105"/>
      <c r="PLP133" s="105"/>
      <c r="PLQ133" s="105"/>
      <c r="PLR133" s="105"/>
      <c r="PLS133" s="105"/>
      <c r="PLT133" s="105"/>
      <c r="PLU133" s="105"/>
      <c r="PLV133" s="105"/>
      <c r="PLW133" s="105"/>
      <c r="PLX133" s="105"/>
      <c r="PLY133" s="105"/>
      <c r="PLZ133" s="105"/>
      <c r="PMA133" s="105"/>
      <c r="PMB133" s="105"/>
      <c r="PMC133" s="105"/>
      <c r="PMD133" s="105"/>
      <c r="PME133" s="105"/>
      <c r="PMF133" s="105"/>
      <c r="PMG133" s="105"/>
      <c r="PMH133" s="105"/>
      <c r="PMI133" s="105"/>
      <c r="PMJ133" s="105"/>
      <c r="PMK133" s="105"/>
      <c r="PML133" s="105"/>
      <c r="PMM133" s="105"/>
      <c r="PMN133" s="105"/>
      <c r="PMO133" s="105"/>
      <c r="PMP133" s="105"/>
      <c r="PMQ133" s="105"/>
      <c r="PMR133" s="105"/>
      <c r="PMS133" s="105"/>
      <c r="PMT133" s="105"/>
      <c r="PMU133" s="105"/>
      <c r="PMV133" s="105"/>
      <c r="PMW133" s="105"/>
      <c r="PMX133" s="105"/>
      <c r="PMY133" s="105"/>
      <c r="PMZ133" s="105"/>
      <c r="PNA133" s="105"/>
      <c r="PNB133" s="105"/>
      <c r="PNC133" s="105"/>
      <c r="PND133" s="105"/>
      <c r="PNE133" s="105"/>
      <c r="PNF133" s="105"/>
      <c r="PNG133" s="105"/>
      <c r="PNH133" s="105"/>
      <c r="PNI133" s="105"/>
      <c r="PNJ133" s="105"/>
      <c r="PNK133" s="105"/>
      <c r="PNL133" s="105"/>
      <c r="PNM133" s="105"/>
      <c r="PNN133" s="105"/>
      <c r="PNO133" s="105"/>
      <c r="PNP133" s="105"/>
      <c r="PNQ133" s="105"/>
      <c r="PNR133" s="105"/>
      <c r="PNS133" s="105"/>
      <c r="PNT133" s="105"/>
      <c r="PNU133" s="105"/>
      <c r="PNV133" s="105"/>
      <c r="PNW133" s="105"/>
      <c r="PNX133" s="105"/>
      <c r="PNY133" s="105"/>
      <c r="PNZ133" s="105"/>
      <c r="POA133" s="105"/>
      <c r="POB133" s="105"/>
      <c r="POC133" s="105"/>
      <c r="POD133" s="105"/>
      <c r="POE133" s="105"/>
      <c r="POF133" s="105"/>
      <c r="POG133" s="105"/>
      <c r="POH133" s="105"/>
      <c r="POI133" s="105"/>
      <c r="POJ133" s="105"/>
      <c r="POK133" s="105"/>
      <c r="POL133" s="105"/>
      <c r="POM133" s="105"/>
      <c r="PON133" s="105"/>
      <c r="POO133" s="105"/>
      <c r="POP133" s="105"/>
      <c r="POQ133" s="105"/>
      <c r="POR133" s="105"/>
      <c r="POS133" s="105"/>
      <c r="POT133" s="105"/>
      <c r="POU133" s="105"/>
      <c r="POV133" s="105"/>
      <c r="POW133" s="105"/>
      <c r="POX133" s="105"/>
      <c r="POY133" s="105"/>
      <c r="POZ133" s="105"/>
      <c r="PPA133" s="105"/>
      <c r="PPB133" s="105"/>
      <c r="PPC133" s="105"/>
      <c r="PPD133" s="105"/>
      <c r="PPE133" s="105"/>
      <c r="PPF133" s="105"/>
      <c r="PPG133" s="105"/>
      <c r="PPH133" s="105"/>
      <c r="PPI133" s="105"/>
      <c r="PPJ133" s="105"/>
      <c r="PPK133" s="105"/>
      <c r="PPL133" s="105"/>
      <c r="PPM133" s="105"/>
      <c r="PPN133" s="105"/>
      <c r="PPO133" s="105"/>
      <c r="PPP133" s="105"/>
      <c r="PPQ133" s="105"/>
      <c r="PPR133" s="105"/>
      <c r="PPS133" s="105"/>
      <c r="PPT133" s="105"/>
      <c r="PPU133" s="105"/>
      <c r="PPV133" s="105"/>
      <c r="PPW133" s="105"/>
      <c r="PPX133" s="105"/>
      <c r="PPY133" s="105"/>
      <c r="PPZ133" s="105"/>
      <c r="PQA133" s="105"/>
      <c r="PQB133" s="105"/>
      <c r="PQC133" s="105"/>
      <c r="PQD133" s="105"/>
      <c r="PQE133" s="105"/>
      <c r="PQF133" s="105"/>
      <c r="PQG133" s="105"/>
      <c r="PQH133" s="105"/>
      <c r="PQI133" s="105"/>
      <c r="PQJ133" s="105"/>
      <c r="PQK133" s="105"/>
      <c r="PQL133" s="105"/>
      <c r="PQM133" s="105"/>
      <c r="PQN133" s="105"/>
      <c r="PQO133" s="105"/>
      <c r="PQP133" s="105"/>
      <c r="PQQ133" s="105"/>
      <c r="PQR133" s="105"/>
      <c r="PQS133" s="105"/>
      <c r="PQT133" s="105"/>
      <c r="PQU133" s="105"/>
      <c r="PQV133" s="105"/>
      <c r="PQW133" s="105"/>
      <c r="PQX133" s="105"/>
      <c r="PQY133" s="105"/>
      <c r="PQZ133" s="105"/>
      <c r="PRA133" s="105"/>
      <c r="PRB133" s="105"/>
      <c r="PRC133" s="105"/>
      <c r="PRD133" s="105"/>
      <c r="PRE133" s="105"/>
      <c r="PRF133" s="105"/>
      <c r="PRG133" s="105"/>
      <c r="PRH133" s="105"/>
      <c r="PRI133" s="105"/>
      <c r="PRJ133" s="105"/>
      <c r="PRK133" s="105"/>
      <c r="PRL133" s="105"/>
      <c r="PRM133" s="105"/>
      <c r="PRN133" s="105"/>
      <c r="PRO133" s="105"/>
      <c r="PRP133" s="105"/>
      <c r="PRQ133" s="105"/>
      <c r="PRR133" s="105"/>
      <c r="PRS133" s="105"/>
      <c r="PRT133" s="105"/>
      <c r="PRU133" s="105"/>
      <c r="PRV133" s="105"/>
      <c r="PRW133" s="105"/>
      <c r="PRX133" s="105"/>
      <c r="PRY133" s="105"/>
      <c r="PRZ133" s="105"/>
      <c r="PSA133" s="105"/>
      <c r="PSB133" s="105"/>
      <c r="PSC133" s="105"/>
      <c r="PSD133" s="105"/>
      <c r="PSE133" s="105"/>
      <c r="PSF133" s="105"/>
      <c r="PSG133" s="105"/>
      <c r="PSH133" s="105"/>
      <c r="PSI133" s="105"/>
      <c r="PSJ133" s="105"/>
      <c r="PSK133" s="105"/>
      <c r="PSL133" s="105"/>
      <c r="PSM133" s="105"/>
      <c r="PSN133" s="105"/>
      <c r="PSO133" s="105"/>
      <c r="PSP133" s="105"/>
      <c r="PSQ133" s="105"/>
      <c r="PSR133" s="105"/>
      <c r="PSS133" s="105"/>
      <c r="PST133" s="105"/>
      <c r="PSU133" s="105"/>
      <c r="PSV133" s="105"/>
      <c r="PSW133" s="105"/>
      <c r="PSX133" s="105"/>
      <c r="PSY133" s="105"/>
      <c r="PSZ133" s="105"/>
      <c r="PTA133" s="105"/>
      <c r="PTB133" s="105"/>
      <c r="PTC133" s="105"/>
      <c r="PTD133" s="105"/>
      <c r="PTE133" s="105"/>
      <c r="PTF133" s="105"/>
      <c r="PTG133" s="105"/>
      <c r="PTH133" s="105"/>
      <c r="PTI133" s="105"/>
      <c r="PTJ133" s="105"/>
      <c r="PTK133" s="105"/>
      <c r="PTL133" s="105"/>
      <c r="PTM133" s="105"/>
      <c r="PTN133" s="105"/>
      <c r="PTO133" s="105"/>
      <c r="PTP133" s="105"/>
      <c r="PTQ133" s="105"/>
      <c r="PTR133" s="105"/>
      <c r="PTS133" s="105"/>
      <c r="PTT133" s="105"/>
      <c r="PTU133" s="105"/>
      <c r="PTV133" s="105"/>
      <c r="PTW133" s="105"/>
      <c r="PTX133" s="105"/>
      <c r="PTY133" s="105"/>
      <c r="PTZ133" s="105"/>
      <c r="PUA133" s="105"/>
      <c r="PUB133" s="105"/>
      <c r="PUC133" s="105"/>
      <c r="PUD133" s="105"/>
      <c r="PUE133" s="105"/>
      <c r="PUF133" s="105"/>
      <c r="PUG133" s="105"/>
      <c r="PUH133" s="105"/>
      <c r="PUI133" s="105"/>
      <c r="PUJ133" s="105"/>
      <c r="PUK133" s="105"/>
      <c r="PUL133" s="105"/>
      <c r="PUM133" s="105"/>
      <c r="PUN133" s="105"/>
      <c r="PUO133" s="105"/>
      <c r="PUP133" s="105"/>
      <c r="PUQ133" s="105"/>
      <c r="PUR133" s="105"/>
      <c r="PUS133" s="105"/>
      <c r="PUT133" s="105"/>
      <c r="PUU133" s="105"/>
      <c r="PUV133" s="105"/>
      <c r="PUW133" s="105"/>
      <c r="PUX133" s="105"/>
      <c r="PUY133" s="105"/>
      <c r="PUZ133" s="105"/>
      <c r="PVA133" s="105"/>
      <c r="PVB133" s="105"/>
      <c r="PVC133" s="105"/>
      <c r="PVD133" s="105"/>
      <c r="PVE133" s="105"/>
      <c r="PVF133" s="105"/>
      <c r="PVG133" s="105"/>
      <c r="PVH133" s="105"/>
      <c r="PVI133" s="105"/>
      <c r="PVJ133" s="105"/>
      <c r="PVK133" s="105"/>
      <c r="PVL133" s="105"/>
      <c r="PVM133" s="105"/>
      <c r="PVN133" s="105"/>
      <c r="PVO133" s="105"/>
      <c r="PVP133" s="105"/>
      <c r="PVQ133" s="105"/>
      <c r="PVR133" s="105"/>
      <c r="PVS133" s="105"/>
      <c r="PVT133" s="105"/>
      <c r="PVU133" s="105"/>
      <c r="PVV133" s="105"/>
      <c r="PVW133" s="105"/>
      <c r="PVX133" s="105"/>
      <c r="PVY133" s="105"/>
      <c r="PVZ133" s="105"/>
      <c r="PWA133" s="105"/>
      <c r="PWB133" s="105"/>
      <c r="PWC133" s="105"/>
      <c r="PWD133" s="105"/>
      <c r="PWE133" s="105"/>
      <c r="PWF133" s="105"/>
      <c r="PWG133" s="105"/>
      <c r="PWH133" s="105"/>
      <c r="PWI133" s="105"/>
      <c r="PWJ133" s="105"/>
      <c r="PWK133" s="105"/>
      <c r="PWL133" s="105"/>
      <c r="PWM133" s="105"/>
      <c r="PWN133" s="105"/>
      <c r="PWO133" s="105"/>
      <c r="PWP133" s="105"/>
      <c r="PWQ133" s="105"/>
      <c r="PWR133" s="105"/>
      <c r="PWS133" s="105"/>
      <c r="PWT133" s="105"/>
      <c r="PWU133" s="105"/>
      <c r="PWV133" s="105"/>
      <c r="PWW133" s="105"/>
      <c r="PWX133" s="105"/>
      <c r="PWY133" s="105"/>
      <c r="PWZ133" s="105"/>
      <c r="PXA133" s="105"/>
      <c r="PXB133" s="105"/>
      <c r="PXC133" s="105"/>
      <c r="PXD133" s="105"/>
      <c r="PXE133" s="105"/>
      <c r="PXF133" s="105"/>
      <c r="PXG133" s="105"/>
      <c r="PXH133" s="105"/>
      <c r="PXI133" s="105"/>
      <c r="PXJ133" s="105"/>
      <c r="PXK133" s="105"/>
      <c r="PXL133" s="105"/>
      <c r="PXM133" s="105"/>
      <c r="PXN133" s="105"/>
      <c r="PXO133" s="105"/>
      <c r="PXP133" s="105"/>
      <c r="PXQ133" s="105"/>
      <c r="PXR133" s="105"/>
      <c r="PXS133" s="105"/>
      <c r="PXT133" s="105"/>
      <c r="PXU133" s="105"/>
      <c r="PXV133" s="105"/>
      <c r="PXW133" s="105"/>
      <c r="PXX133" s="105"/>
      <c r="PXY133" s="105"/>
      <c r="PXZ133" s="105"/>
      <c r="PYA133" s="105"/>
      <c r="PYB133" s="105"/>
      <c r="PYC133" s="105"/>
      <c r="PYD133" s="105"/>
      <c r="PYE133" s="105"/>
      <c r="PYF133" s="105"/>
      <c r="PYG133" s="105"/>
      <c r="PYH133" s="105"/>
      <c r="PYI133" s="105"/>
      <c r="PYJ133" s="105"/>
      <c r="PYK133" s="105"/>
      <c r="PYL133" s="105"/>
      <c r="PYM133" s="105"/>
      <c r="PYN133" s="105"/>
      <c r="PYO133" s="105"/>
      <c r="PYP133" s="105"/>
      <c r="PYQ133" s="105"/>
      <c r="PYR133" s="105"/>
      <c r="PYS133" s="105"/>
      <c r="PYT133" s="105"/>
      <c r="PYU133" s="105"/>
      <c r="PYV133" s="105"/>
      <c r="PYW133" s="105"/>
      <c r="PYX133" s="105"/>
      <c r="PYY133" s="105"/>
      <c r="PYZ133" s="105"/>
      <c r="PZA133" s="105"/>
      <c r="PZB133" s="105"/>
      <c r="PZC133" s="105"/>
      <c r="PZD133" s="105"/>
      <c r="PZE133" s="105"/>
      <c r="PZF133" s="105"/>
      <c r="PZG133" s="105"/>
      <c r="PZH133" s="105"/>
      <c r="PZI133" s="105"/>
      <c r="PZJ133" s="105"/>
      <c r="PZK133" s="105"/>
      <c r="PZL133" s="105"/>
      <c r="PZM133" s="105"/>
      <c r="PZN133" s="105"/>
      <c r="PZO133" s="105"/>
      <c r="PZP133" s="105"/>
      <c r="PZQ133" s="105"/>
      <c r="PZR133" s="105"/>
      <c r="PZS133" s="105"/>
      <c r="PZT133" s="105"/>
      <c r="PZU133" s="105"/>
      <c r="PZV133" s="105"/>
      <c r="PZW133" s="105"/>
      <c r="PZX133" s="105"/>
      <c r="PZY133" s="105"/>
      <c r="PZZ133" s="105"/>
      <c r="QAA133" s="105"/>
      <c r="QAB133" s="105"/>
      <c r="QAC133" s="105"/>
      <c r="QAD133" s="105"/>
      <c r="QAE133" s="105"/>
      <c r="QAF133" s="105"/>
      <c r="QAG133" s="105"/>
      <c r="QAH133" s="105"/>
      <c r="QAI133" s="105"/>
      <c r="QAJ133" s="105"/>
      <c r="QAK133" s="105"/>
      <c r="QAL133" s="105"/>
      <c r="QAM133" s="105"/>
      <c r="QAN133" s="105"/>
      <c r="QAO133" s="105"/>
      <c r="QAP133" s="105"/>
      <c r="QAQ133" s="105"/>
      <c r="QAR133" s="105"/>
      <c r="QAS133" s="105"/>
      <c r="QAT133" s="105"/>
      <c r="QAU133" s="105"/>
      <c r="QAV133" s="105"/>
      <c r="QAW133" s="105"/>
      <c r="QAX133" s="105"/>
      <c r="QAY133" s="105"/>
      <c r="QAZ133" s="105"/>
      <c r="QBA133" s="105"/>
      <c r="QBB133" s="105"/>
      <c r="QBC133" s="105"/>
      <c r="QBD133" s="105"/>
      <c r="QBE133" s="105"/>
      <c r="QBF133" s="105"/>
      <c r="QBG133" s="105"/>
      <c r="QBH133" s="105"/>
      <c r="QBI133" s="105"/>
      <c r="QBJ133" s="105"/>
      <c r="QBK133" s="105"/>
      <c r="QBL133" s="105"/>
      <c r="QBM133" s="105"/>
      <c r="QBN133" s="105"/>
      <c r="QBO133" s="105"/>
      <c r="QBP133" s="105"/>
      <c r="QBQ133" s="105"/>
      <c r="QBR133" s="105"/>
      <c r="QBS133" s="105"/>
      <c r="QBT133" s="105"/>
      <c r="QBU133" s="105"/>
      <c r="QBV133" s="105"/>
      <c r="QBW133" s="105"/>
      <c r="QBX133" s="105"/>
      <c r="QBY133" s="105"/>
      <c r="QBZ133" s="105"/>
      <c r="QCA133" s="105"/>
      <c r="QCB133" s="105"/>
      <c r="QCC133" s="105"/>
      <c r="QCD133" s="105"/>
      <c r="QCE133" s="105"/>
      <c r="QCF133" s="105"/>
      <c r="QCG133" s="105"/>
      <c r="QCH133" s="105"/>
      <c r="QCI133" s="105"/>
      <c r="QCJ133" s="105"/>
      <c r="QCK133" s="105"/>
      <c r="QCL133" s="105"/>
      <c r="QCM133" s="105"/>
      <c r="QCN133" s="105"/>
      <c r="QCO133" s="105"/>
      <c r="QCP133" s="105"/>
      <c r="QCQ133" s="105"/>
      <c r="QCR133" s="105"/>
      <c r="QCS133" s="105"/>
      <c r="QCT133" s="105"/>
      <c r="QCU133" s="105"/>
      <c r="QCV133" s="105"/>
      <c r="QCW133" s="105"/>
      <c r="QCX133" s="105"/>
      <c r="QCY133" s="105"/>
      <c r="QCZ133" s="105"/>
      <c r="QDA133" s="105"/>
      <c r="QDB133" s="105"/>
      <c r="QDC133" s="105"/>
      <c r="QDD133" s="105"/>
      <c r="QDE133" s="105"/>
      <c r="QDF133" s="105"/>
      <c r="QDG133" s="105"/>
      <c r="QDH133" s="105"/>
      <c r="QDI133" s="105"/>
      <c r="QDJ133" s="105"/>
      <c r="QDK133" s="105"/>
      <c r="QDL133" s="105"/>
      <c r="QDM133" s="105"/>
      <c r="QDN133" s="105"/>
      <c r="QDO133" s="105"/>
      <c r="QDP133" s="105"/>
      <c r="QDQ133" s="105"/>
      <c r="QDR133" s="105"/>
      <c r="QDS133" s="105"/>
      <c r="QDT133" s="105"/>
      <c r="QDU133" s="105"/>
      <c r="QDV133" s="105"/>
      <c r="QDW133" s="105"/>
      <c r="QDX133" s="105"/>
      <c r="QDY133" s="105"/>
      <c r="QDZ133" s="105"/>
      <c r="QEA133" s="105"/>
      <c r="QEB133" s="105"/>
      <c r="QEC133" s="105"/>
      <c r="QED133" s="105"/>
      <c r="QEE133" s="105"/>
      <c r="QEF133" s="105"/>
      <c r="QEG133" s="105"/>
      <c r="QEH133" s="105"/>
      <c r="QEI133" s="105"/>
      <c r="QEJ133" s="105"/>
      <c r="QEK133" s="105"/>
      <c r="QEL133" s="105"/>
      <c r="QEM133" s="105"/>
      <c r="QEN133" s="105"/>
      <c r="QEO133" s="105"/>
      <c r="QEP133" s="105"/>
      <c r="QEQ133" s="105"/>
      <c r="QER133" s="105"/>
      <c r="QES133" s="105"/>
      <c r="QET133" s="105"/>
      <c r="QEU133" s="105"/>
      <c r="QEV133" s="105"/>
      <c r="QEW133" s="105"/>
      <c r="QEX133" s="105"/>
      <c r="QEY133" s="105"/>
      <c r="QEZ133" s="105"/>
      <c r="QFA133" s="105"/>
      <c r="QFB133" s="105"/>
      <c r="QFC133" s="105"/>
      <c r="QFD133" s="105"/>
      <c r="QFE133" s="105"/>
      <c r="QFF133" s="105"/>
      <c r="QFG133" s="105"/>
      <c r="QFH133" s="105"/>
      <c r="QFI133" s="105"/>
      <c r="QFJ133" s="105"/>
      <c r="QFK133" s="105"/>
      <c r="QFL133" s="105"/>
      <c r="QFM133" s="105"/>
      <c r="QFN133" s="105"/>
      <c r="QFO133" s="105"/>
      <c r="QFP133" s="105"/>
      <c r="QFQ133" s="105"/>
      <c r="QFR133" s="105"/>
      <c r="QFS133" s="105"/>
      <c r="QFT133" s="105"/>
      <c r="QFU133" s="105"/>
      <c r="QFV133" s="105"/>
      <c r="QFW133" s="105"/>
      <c r="QFX133" s="105"/>
      <c r="QFY133" s="105"/>
      <c r="QFZ133" s="105"/>
      <c r="QGA133" s="105"/>
      <c r="QGB133" s="105"/>
      <c r="QGC133" s="105"/>
      <c r="QGD133" s="105"/>
      <c r="QGE133" s="105"/>
      <c r="QGF133" s="105"/>
      <c r="QGG133" s="105"/>
      <c r="QGH133" s="105"/>
      <c r="QGI133" s="105"/>
      <c r="QGJ133" s="105"/>
      <c r="QGK133" s="105"/>
      <c r="QGL133" s="105"/>
      <c r="QGM133" s="105"/>
      <c r="QGN133" s="105"/>
      <c r="QGO133" s="105"/>
      <c r="QGP133" s="105"/>
      <c r="QGQ133" s="105"/>
      <c r="QGR133" s="105"/>
      <c r="QGS133" s="105"/>
      <c r="QGT133" s="105"/>
      <c r="QGU133" s="105"/>
      <c r="QGV133" s="105"/>
      <c r="QGW133" s="105"/>
      <c r="QGX133" s="105"/>
      <c r="QGY133" s="105"/>
      <c r="QGZ133" s="105"/>
      <c r="QHA133" s="105"/>
      <c r="QHB133" s="105"/>
      <c r="QHC133" s="105"/>
      <c r="QHD133" s="105"/>
      <c r="QHE133" s="105"/>
      <c r="QHF133" s="105"/>
      <c r="QHG133" s="105"/>
      <c r="QHH133" s="105"/>
      <c r="QHI133" s="105"/>
      <c r="QHJ133" s="105"/>
      <c r="QHK133" s="105"/>
      <c r="QHL133" s="105"/>
      <c r="QHM133" s="105"/>
      <c r="QHN133" s="105"/>
      <c r="QHO133" s="105"/>
      <c r="QHP133" s="105"/>
      <c r="QHQ133" s="105"/>
      <c r="QHR133" s="105"/>
      <c r="QHS133" s="105"/>
      <c r="QHT133" s="105"/>
      <c r="QHU133" s="105"/>
      <c r="QHV133" s="105"/>
      <c r="QHW133" s="105"/>
      <c r="QHX133" s="105"/>
      <c r="QHY133" s="105"/>
      <c r="QHZ133" s="105"/>
      <c r="QIA133" s="105"/>
      <c r="QIB133" s="105"/>
      <c r="QIC133" s="105"/>
      <c r="QID133" s="105"/>
      <c r="QIE133" s="105"/>
      <c r="QIF133" s="105"/>
      <c r="QIG133" s="105"/>
      <c r="QIH133" s="105"/>
      <c r="QII133" s="105"/>
      <c r="QIJ133" s="105"/>
      <c r="QIK133" s="105"/>
      <c r="QIL133" s="105"/>
      <c r="QIM133" s="105"/>
      <c r="QIN133" s="105"/>
      <c r="QIO133" s="105"/>
      <c r="QIP133" s="105"/>
      <c r="QIQ133" s="105"/>
      <c r="QIR133" s="105"/>
      <c r="QIS133" s="105"/>
      <c r="QIT133" s="105"/>
      <c r="QIU133" s="105"/>
      <c r="QIV133" s="105"/>
      <c r="QIW133" s="105"/>
      <c r="QIX133" s="105"/>
      <c r="QIY133" s="105"/>
      <c r="QIZ133" s="105"/>
      <c r="QJA133" s="105"/>
      <c r="QJB133" s="105"/>
      <c r="QJC133" s="105"/>
      <c r="QJD133" s="105"/>
      <c r="QJE133" s="105"/>
      <c r="QJF133" s="105"/>
      <c r="QJG133" s="105"/>
      <c r="QJH133" s="105"/>
      <c r="QJI133" s="105"/>
      <c r="QJJ133" s="105"/>
      <c r="QJK133" s="105"/>
      <c r="QJL133" s="105"/>
      <c r="QJM133" s="105"/>
      <c r="QJN133" s="105"/>
      <c r="QJO133" s="105"/>
      <c r="QJP133" s="105"/>
      <c r="QJQ133" s="105"/>
      <c r="QJR133" s="105"/>
      <c r="QJS133" s="105"/>
      <c r="QJT133" s="105"/>
      <c r="QJU133" s="105"/>
      <c r="QJV133" s="105"/>
      <c r="QJW133" s="105"/>
      <c r="QJX133" s="105"/>
      <c r="QJY133" s="105"/>
      <c r="QJZ133" s="105"/>
      <c r="QKA133" s="105"/>
      <c r="QKB133" s="105"/>
      <c r="QKC133" s="105"/>
      <c r="QKD133" s="105"/>
      <c r="QKE133" s="105"/>
      <c r="QKF133" s="105"/>
      <c r="QKG133" s="105"/>
      <c r="QKH133" s="105"/>
      <c r="QKI133" s="105"/>
      <c r="QKJ133" s="105"/>
      <c r="QKK133" s="105"/>
      <c r="QKL133" s="105"/>
      <c r="QKM133" s="105"/>
      <c r="QKN133" s="105"/>
      <c r="QKO133" s="105"/>
      <c r="QKP133" s="105"/>
      <c r="QKQ133" s="105"/>
      <c r="QKR133" s="105"/>
      <c r="QKS133" s="105"/>
      <c r="QKT133" s="105"/>
      <c r="QKU133" s="105"/>
      <c r="QKV133" s="105"/>
      <c r="QKW133" s="105"/>
      <c r="QKX133" s="105"/>
      <c r="QKY133" s="105"/>
      <c r="QKZ133" s="105"/>
      <c r="QLA133" s="105"/>
      <c r="QLB133" s="105"/>
      <c r="QLC133" s="105"/>
      <c r="QLD133" s="105"/>
      <c r="QLE133" s="105"/>
      <c r="QLF133" s="105"/>
      <c r="QLG133" s="105"/>
      <c r="QLH133" s="105"/>
      <c r="QLI133" s="105"/>
      <c r="QLJ133" s="105"/>
      <c r="QLK133" s="105"/>
      <c r="QLL133" s="105"/>
      <c r="QLM133" s="105"/>
      <c r="QLN133" s="105"/>
      <c r="QLO133" s="105"/>
      <c r="QLP133" s="105"/>
      <c r="QLQ133" s="105"/>
      <c r="QLR133" s="105"/>
      <c r="QLS133" s="105"/>
      <c r="QLT133" s="105"/>
      <c r="QLU133" s="105"/>
      <c r="QLV133" s="105"/>
      <c r="QLW133" s="105"/>
      <c r="QLX133" s="105"/>
      <c r="QLY133" s="105"/>
      <c r="QLZ133" s="105"/>
      <c r="QMA133" s="105"/>
      <c r="QMB133" s="105"/>
      <c r="QMC133" s="105"/>
      <c r="QMD133" s="105"/>
      <c r="QME133" s="105"/>
      <c r="QMF133" s="105"/>
      <c r="QMG133" s="105"/>
      <c r="QMH133" s="105"/>
      <c r="QMI133" s="105"/>
      <c r="QMJ133" s="105"/>
      <c r="QMK133" s="105"/>
      <c r="QML133" s="105"/>
      <c r="QMM133" s="105"/>
      <c r="QMN133" s="105"/>
      <c r="QMO133" s="105"/>
      <c r="QMP133" s="105"/>
      <c r="QMQ133" s="105"/>
      <c r="QMR133" s="105"/>
      <c r="QMS133" s="105"/>
      <c r="QMT133" s="105"/>
      <c r="QMU133" s="105"/>
      <c r="QMV133" s="105"/>
      <c r="QMW133" s="105"/>
      <c r="QMX133" s="105"/>
      <c r="QMY133" s="105"/>
      <c r="QMZ133" s="105"/>
      <c r="QNA133" s="105"/>
      <c r="QNB133" s="105"/>
      <c r="QNC133" s="105"/>
      <c r="QND133" s="105"/>
      <c r="QNE133" s="105"/>
      <c r="QNF133" s="105"/>
      <c r="QNG133" s="105"/>
      <c r="QNH133" s="105"/>
      <c r="QNI133" s="105"/>
      <c r="QNJ133" s="105"/>
      <c r="QNK133" s="105"/>
      <c r="QNL133" s="105"/>
      <c r="QNM133" s="105"/>
      <c r="QNN133" s="105"/>
      <c r="QNO133" s="105"/>
      <c r="QNP133" s="105"/>
      <c r="QNQ133" s="105"/>
      <c r="QNR133" s="105"/>
      <c r="QNS133" s="105"/>
      <c r="QNT133" s="105"/>
      <c r="QNU133" s="105"/>
      <c r="QNV133" s="105"/>
      <c r="QNW133" s="105"/>
      <c r="QNX133" s="105"/>
      <c r="QNY133" s="105"/>
      <c r="QNZ133" s="105"/>
      <c r="QOA133" s="105"/>
      <c r="QOB133" s="105"/>
      <c r="QOC133" s="105"/>
      <c r="QOD133" s="105"/>
      <c r="QOE133" s="105"/>
      <c r="QOF133" s="105"/>
      <c r="QOG133" s="105"/>
      <c r="QOH133" s="105"/>
      <c r="QOI133" s="105"/>
      <c r="QOJ133" s="105"/>
      <c r="QOK133" s="105"/>
      <c r="QOL133" s="105"/>
      <c r="QOM133" s="105"/>
      <c r="QON133" s="105"/>
      <c r="QOO133" s="105"/>
      <c r="QOP133" s="105"/>
      <c r="QOQ133" s="105"/>
      <c r="QOR133" s="105"/>
      <c r="QOS133" s="105"/>
      <c r="QOT133" s="105"/>
      <c r="QOU133" s="105"/>
      <c r="QOV133" s="105"/>
      <c r="QOW133" s="105"/>
      <c r="QOX133" s="105"/>
      <c r="QOY133" s="105"/>
      <c r="QOZ133" s="105"/>
      <c r="QPA133" s="105"/>
      <c r="QPB133" s="105"/>
      <c r="QPC133" s="105"/>
      <c r="QPD133" s="105"/>
      <c r="QPE133" s="105"/>
      <c r="QPF133" s="105"/>
      <c r="QPG133" s="105"/>
      <c r="QPH133" s="105"/>
      <c r="QPI133" s="105"/>
      <c r="QPJ133" s="105"/>
      <c r="QPK133" s="105"/>
      <c r="QPL133" s="105"/>
      <c r="QPM133" s="105"/>
      <c r="QPN133" s="105"/>
      <c r="QPO133" s="105"/>
      <c r="QPP133" s="105"/>
      <c r="QPQ133" s="105"/>
      <c r="QPR133" s="105"/>
      <c r="QPS133" s="105"/>
      <c r="QPT133" s="105"/>
      <c r="QPU133" s="105"/>
      <c r="QPV133" s="105"/>
      <c r="QPW133" s="105"/>
      <c r="QPX133" s="105"/>
      <c r="QPY133" s="105"/>
      <c r="QPZ133" s="105"/>
      <c r="QQA133" s="105"/>
      <c r="QQB133" s="105"/>
      <c r="QQC133" s="105"/>
      <c r="QQD133" s="105"/>
      <c r="QQE133" s="105"/>
      <c r="QQF133" s="105"/>
      <c r="QQG133" s="105"/>
      <c r="QQH133" s="105"/>
      <c r="QQI133" s="105"/>
      <c r="QQJ133" s="105"/>
      <c r="QQK133" s="105"/>
      <c r="QQL133" s="105"/>
      <c r="QQM133" s="105"/>
      <c r="QQN133" s="105"/>
      <c r="QQO133" s="105"/>
      <c r="QQP133" s="105"/>
      <c r="QQQ133" s="105"/>
      <c r="QQR133" s="105"/>
      <c r="QQS133" s="105"/>
      <c r="QQT133" s="105"/>
      <c r="QQU133" s="105"/>
      <c r="QQV133" s="105"/>
      <c r="QQW133" s="105"/>
      <c r="QQX133" s="105"/>
      <c r="QQY133" s="105"/>
      <c r="QQZ133" s="105"/>
      <c r="QRA133" s="105"/>
      <c r="QRB133" s="105"/>
      <c r="QRC133" s="105"/>
      <c r="QRD133" s="105"/>
      <c r="QRE133" s="105"/>
      <c r="QRF133" s="105"/>
      <c r="QRG133" s="105"/>
      <c r="QRH133" s="105"/>
      <c r="QRI133" s="105"/>
      <c r="QRJ133" s="105"/>
      <c r="QRK133" s="105"/>
      <c r="QRL133" s="105"/>
      <c r="QRM133" s="105"/>
      <c r="QRN133" s="105"/>
      <c r="QRO133" s="105"/>
      <c r="QRP133" s="105"/>
      <c r="QRQ133" s="105"/>
      <c r="QRR133" s="105"/>
      <c r="QRS133" s="105"/>
      <c r="QRT133" s="105"/>
      <c r="QRU133" s="105"/>
      <c r="QRV133" s="105"/>
      <c r="QRW133" s="105"/>
      <c r="QRX133" s="105"/>
      <c r="QRY133" s="105"/>
      <c r="QRZ133" s="105"/>
      <c r="QSA133" s="105"/>
      <c r="QSB133" s="105"/>
      <c r="QSC133" s="105"/>
      <c r="QSD133" s="105"/>
      <c r="QSE133" s="105"/>
      <c r="QSF133" s="105"/>
      <c r="QSG133" s="105"/>
      <c r="QSH133" s="105"/>
      <c r="QSI133" s="105"/>
      <c r="QSJ133" s="105"/>
      <c r="QSK133" s="105"/>
      <c r="QSL133" s="105"/>
      <c r="QSM133" s="105"/>
      <c r="QSN133" s="105"/>
      <c r="QSO133" s="105"/>
      <c r="QSP133" s="105"/>
      <c r="QSQ133" s="105"/>
      <c r="QSR133" s="105"/>
      <c r="QSS133" s="105"/>
      <c r="QST133" s="105"/>
      <c r="QSU133" s="105"/>
      <c r="QSV133" s="105"/>
      <c r="QSW133" s="105"/>
      <c r="QSX133" s="105"/>
      <c r="QSY133" s="105"/>
      <c r="QSZ133" s="105"/>
      <c r="QTA133" s="105"/>
      <c r="QTB133" s="105"/>
      <c r="QTC133" s="105"/>
      <c r="QTD133" s="105"/>
      <c r="QTE133" s="105"/>
      <c r="QTF133" s="105"/>
      <c r="QTG133" s="105"/>
      <c r="QTH133" s="105"/>
      <c r="QTI133" s="105"/>
      <c r="QTJ133" s="105"/>
      <c r="QTK133" s="105"/>
      <c r="QTL133" s="105"/>
      <c r="QTM133" s="105"/>
      <c r="QTN133" s="105"/>
      <c r="QTO133" s="105"/>
      <c r="QTP133" s="105"/>
      <c r="QTQ133" s="105"/>
      <c r="QTR133" s="105"/>
      <c r="QTS133" s="105"/>
      <c r="QTT133" s="105"/>
      <c r="QTU133" s="105"/>
      <c r="QTV133" s="105"/>
      <c r="QTW133" s="105"/>
      <c r="QTX133" s="105"/>
      <c r="QTY133" s="105"/>
      <c r="QTZ133" s="105"/>
      <c r="QUA133" s="105"/>
      <c r="QUB133" s="105"/>
      <c r="QUC133" s="105"/>
      <c r="QUD133" s="105"/>
      <c r="QUE133" s="105"/>
      <c r="QUF133" s="105"/>
      <c r="QUG133" s="105"/>
      <c r="QUH133" s="105"/>
      <c r="QUI133" s="105"/>
      <c r="QUJ133" s="105"/>
      <c r="QUK133" s="105"/>
      <c r="QUL133" s="105"/>
      <c r="QUM133" s="105"/>
      <c r="QUN133" s="105"/>
      <c r="QUO133" s="105"/>
      <c r="QUP133" s="105"/>
      <c r="QUQ133" s="105"/>
      <c r="QUR133" s="105"/>
      <c r="QUS133" s="105"/>
      <c r="QUT133" s="105"/>
      <c r="QUU133" s="105"/>
      <c r="QUV133" s="105"/>
      <c r="QUW133" s="105"/>
      <c r="QUX133" s="105"/>
      <c r="QUY133" s="105"/>
      <c r="QUZ133" s="105"/>
      <c r="QVA133" s="105"/>
      <c r="QVB133" s="105"/>
      <c r="QVC133" s="105"/>
      <c r="QVD133" s="105"/>
      <c r="QVE133" s="105"/>
      <c r="QVF133" s="105"/>
      <c r="QVG133" s="105"/>
      <c r="QVH133" s="105"/>
      <c r="QVI133" s="105"/>
      <c r="QVJ133" s="105"/>
      <c r="QVK133" s="105"/>
      <c r="QVL133" s="105"/>
      <c r="QVM133" s="105"/>
      <c r="QVN133" s="105"/>
      <c r="QVO133" s="105"/>
      <c r="QVP133" s="105"/>
      <c r="QVQ133" s="105"/>
      <c r="QVR133" s="105"/>
      <c r="QVS133" s="105"/>
      <c r="QVT133" s="105"/>
      <c r="QVU133" s="105"/>
      <c r="QVV133" s="105"/>
      <c r="QVW133" s="105"/>
      <c r="QVX133" s="105"/>
      <c r="QVY133" s="105"/>
      <c r="QVZ133" s="105"/>
      <c r="QWA133" s="105"/>
      <c r="QWB133" s="105"/>
      <c r="QWC133" s="105"/>
      <c r="QWD133" s="105"/>
      <c r="QWE133" s="105"/>
      <c r="QWF133" s="105"/>
      <c r="QWG133" s="105"/>
      <c r="QWH133" s="105"/>
      <c r="QWI133" s="105"/>
      <c r="QWJ133" s="105"/>
      <c r="QWK133" s="105"/>
      <c r="QWL133" s="105"/>
      <c r="QWM133" s="105"/>
      <c r="QWN133" s="105"/>
      <c r="QWO133" s="105"/>
      <c r="QWP133" s="105"/>
      <c r="QWQ133" s="105"/>
      <c r="QWR133" s="105"/>
      <c r="QWS133" s="105"/>
      <c r="QWT133" s="105"/>
      <c r="QWU133" s="105"/>
      <c r="QWV133" s="105"/>
      <c r="QWW133" s="105"/>
      <c r="QWX133" s="105"/>
      <c r="QWY133" s="105"/>
      <c r="QWZ133" s="105"/>
      <c r="QXA133" s="105"/>
      <c r="QXB133" s="105"/>
      <c r="QXC133" s="105"/>
      <c r="QXD133" s="105"/>
      <c r="QXE133" s="105"/>
      <c r="QXF133" s="105"/>
      <c r="QXG133" s="105"/>
      <c r="QXH133" s="105"/>
      <c r="QXI133" s="105"/>
      <c r="QXJ133" s="105"/>
      <c r="QXK133" s="105"/>
      <c r="QXL133" s="105"/>
      <c r="QXM133" s="105"/>
      <c r="QXN133" s="105"/>
      <c r="QXO133" s="105"/>
      <c r="QXP133" s="105"/>
      <c r="QXQ133" s="105"/>
      <c r="QXR133" s="105"/>
      <c r="QXS133" s="105"/>
      <c r="QXT133" s="105"/>
      <c r="QXU133" s="105"/>
      <c r="QXV133" s="105"/>
      <c r="QXW133" s="105"/>
      <c r="QXX133" s="105"/>
      <c r="QXY133" s="105"/>
      <c r="QXZ133" s="105"/>
      <c r="QYA133" s="105"/>
      <c r="QYB133" s="105"/>
      <c r="QYC133" s="105"/>
      <c r="QYD133" s="105"/>
      <c r="QYE133" s="105"/>
      <c r="QYF133" s="105"/>
      <c r="QYG133" s="105"/>
      <c r="QYH133" s="105"/>
      <c r="QYI133" s="105"/>
      <c r="QYJ133" s="105"/>
      <c r="QYK133" s="105"/>
      <c r="QYL133" s="105"/>
      <c r="QYM133" s="105"/>
      <c r="QYN133" s="105"/>
      <c r="QYO133" s="105"/>
      <c r="QYP133" s="105"/>
      <c r="QYQ133" s="105"/>
      <c r="QYR133" s="105"/>
      <c r="QYS133" s="105"/>
      <c r="QYT133" s="105"/>
      <c r="QYU133" s="105"/>
      <c r="QYV133" s="105"/>
      <c r="QYW133" s="105"/>
      <c r="QYX133" s="105"/>
      <c r="QYY133" s="105"/>
      <c r="QYZ133" s="105"/>
      <c r="QZA133" s="105"/>
      <c r="QZB133" s="105"/>
      <c r="QZC133" s="105"/>
      <c r="QZD133" s="105"/>
      <c r="QZE133" s="105"/>
      <c r="QZF133" s="105"/>
      <c r="QZG133" s="105"/>
      <c r="QZH133" s="105"/>
      <c r="QZI133" s="105"/>
      <c r="QZJ133" s="105"/>
      <c r="QZK133" s="105"/>
      <c r="QZL133" s="105"/>
      <c r="QZM133" s="105"/>
      <c r="QZN133" s="105"/>
      <c r="QZO133" s="105"/>
      <c r="QZP133" s="105"/>
      <c r="QZQ133" s="105"/>
      <c r="QZR133" s="105"/>
      <c r="QZS133" s="105"/>
      <c r="QZT133" s="105"/>
      <c r="QZU133" s="105"/>
      <c r="QZV133" s="105"/>
      <c r="QZW133" s="105"/>
      <c r="QZX133" s="105"/>
      <c r="QZY133" s="105"/>
      <c r="QZZ133" s="105"/>
      <c r="RAA133" s="105"/>
      <c r="RAB133" s="105"/>
      <c r="RAC133" s="105"/>
      <c r="RAD133" s="105"/>
      <c r="RAE133" s="105"/>
      <c r="RAF133" s="105"/>
      <c r="RAG133" s="105"/>
      <c r="RAH133" s="105"/>
      <c r="RAI133" s="105"/>
      <c r="RAJ133" s="105"/>
      <c r="RAK133" s="105"/>
      <c r="RAL133" s="105"/>
      <c r="RAM133" s="105"/>
      <c r="RAN133" s="105"/>
      <c r="RAO133" s="105"/>
      <c r="RAP133" s="105"/>
      <c r="RAQ133" s="105"/>
      <c r="RAR133" s="105"/>
      <c r="RAS133" s="105"/>
      <c r="RAT133" s="105"/>
      <c r="RAU133" s="105"/>
      <c r="RAV133" s="105"/>
      <c r="RAW133" s="105"/>
      <c r="RAX133" s="105"/>
      <c r="RAY133" s="105"/>
      <c r="RAZ133" s="105"/>
      <c r="RBA133" s="105"/>
      <c r="RBB133" s="105"/>
      <c r="RBC133" s="105"/>
      <c r="RBD133" s="105"/>
      <c r="RBE133" s="105"/>
      <c r="RBF133" s="105"/>
      <c r="RBG133" s="105"/>
      <c r="RBH133" s="105"/>
      <c r="RBI133" s="105"/>
      <c r="RBJ133" s="105"/>
      <c r="RBK133" s="105"/>
      <c r="RBL133" s="105"/>
      <c r="RBM133" s="105"/>
      <c r="RBN133" s="105"/>
      <c r="RBO133" s="105"/>
      <c r="RBP133" s="105"/>
      <c r="RBQ133" s="105"/>
      <c r="RBR133" s="105"/>
      <c r="RBS133" s="105"/>
      <c r="RBT133" s="105"/>
      <c r="RBU133" s="105"/>
      <c r="RBV133" s="105"/>
      <c r="RBW133" s="105"/>
      <c r="RBX133" s="105"/>
      <c r="RBY133" s="105"/>
      <c r="RBZ133" s="105"/>
      <c r="RCA133" s="105"/>
      <c r="RCB133" s="105"/>
      <c r="RCC133" s="105"/>
      <c r="RCD133" s="105"/>
      <c r="RCE133" s="105"/>
      <c r="RCF133" s="105"/>
      <c r="RCG133" s="105"/>
      <c r="RCH133" s="105"/>
      <c r="RCI133" s="105"/>
      <c r="RCJ133" s="105"/>
      <c r="RCK133" s="105"/>
      <c r="RCL133" s="105"/>
      <c r="RCM133" s="105"/>
      <c r="RCN133" s="105"/>
      <c r="RCO133" s="105"/>
      <c r="RCP133" s="105"/>
      <c r="RCQ133" s="105"/>
      <c r="RCR133" s="105"/>
      <c r="RCS133" s="105"/>
      <c r="RCT133" s="105"/>
      <c r="RCU133" s="105"/>
      <c r="RCV133" s="105"/>
      <c r="RCW133" s="105"/>
      <c r="RCX133" s="105"/>
      <c r="RCY133" s="105"/>
      <c r="RCZ133" s="105"/>
      <c r="RDA133" s="105"/>
      <c r="RDB133" s="105"/>
      <c r="RDC133" s="105"/>
      <c r="RDD133" s="105"/>
      <c r="RDE133" s="105"/>
      <c r="RDF133" s="105"/>
      <c r="RDG133" s="105"/>
      <c r="RDH133" s="105"/>
      <c r="RDI133" s="105"/>
      <c r="RDJ133" s="105"/>
      <c r="RDK133" s="105"/>
      <c r="RDL133" s="105"/>
      <c r="RDM133" s="105"/>
      <c r="RDN133" s="105"/>
      <c r="RDO133" s="105"/>
      <c r="RDP133" s="105"/>
      <c r="RDQ133" s="105"/>
      <c r="RDR133" s="105"/>
      <c r="RDS133" s="105"/>
      <c r="RDT133" s="105"/>
      <c r="RDU133" s="105"/>
      <c r="RDV133" s="105"/>
      <c r="RDW133" s="105"/>
      <c r="RDX133" s="105"/>
      <c r="RDY133" s="105"/>
      <c r="RDZ133" s="105"/>
      <c r="REA133" s="105"/>
      <c r="REB133" s="105"/>
      <c r="REC133" s="105"/>
      <c r="RED133" s="105"/>
      <c r="REE133" s="105"/>
      <c r="REF133" s="105"/>
      <c r="REG133" s="105"/>
      <c r="REH133" s="105"/>
      <c r="REI133" s="105"/>
      <c r="REJ133" s="105"/>
      <c r="REK133" s="105"/>
      <c r="REL133" s="105"/>
      <c r="REM133" s="105"/>
      <c r="REN133" s="105"/>
      <c r="REO133" s="105"/>
      <c r="REP133" s="105"/>
      <c r="REQ133" s="105"/>
      <c r="RER133" s="105"/>
      <c r="RES133" s="105"/>
      <c r="RET133" s="105"/>
      <c r="REU133" s="105"/>
      <c r="REV133" s="105"/>
      <c r="REW133" s="105"/>
      <c r="REX133" s="105"/>
      <c r="REY133" s="105"/>
      <c r="REZ133" s="105"/>
      <c r="RFA133" s="105"/>
      <c r="RFB133" s="105"/>
      <c r="RFC133" s="105"/>
      <c r="RFD133" s="105"/>
      <c r="RFE133" s="105"/>
      <c r="RFF133" s="105"/>
      <c r="RFG133" s="105"/>
      <c r="RFH133" s="105"/>
      <c r="RFI133" s="105"/>
      <c r="RFJ133" s="105"/>
      <c r="RFK133" s="105"/>
      <c r="RFL133" s="105"/>
      <c r="RFM133" s="105"/>
      <c r="RFN133" s="105"/>
      <c r="RFO133" s="105"/>
      <c r="RFP133" s="105"/>
      <c r="RFQ133" s="105"/>
      <c r="RFR133" s="105"/>
      <c r="RFS133" s="105"/>
      <c r="RFT133" s="105"/>
      <c r="RFU133" s="105"/>
      <c r="RFV133" s="105"/>
      <c r="RFW133" s="105"/>
      <c r="RFX133" s="105"/>
      <c r="RFY133" s="105"/>
      <c r="RFZ133" s="105"/>
      <c r="RGA133" s="105"/>
      <c r="RGB133" s="105"/>
      <c r="RGC133" s="105"/>
      <c r="RGD133" s="105"/>
      <c r="RGE133" s="105"/>
      <c r="RGF133" s="105"/>
      <c r="RGG133" s="105"/>
      <c r="RGH133" s="105"/>
      <c r="RGI133" s="105"/>
      <c r="RGJ133" s="105"/>
      <c r="RGK133" s="105"/>
      <c r="RGL133" s="105"/>
      <c r="RGM133" s="105"/>
      <c r="RGN133" s="105"/>
      <c r="RGO133" s="105"/>
      <c r="RGP133" s="105"/>
      <c r="RGQ133" s="105"/>
      <c r="RGR133" s="105"/>
      <c r="RGS133" s="105"/>
      <c r="RGT133" s="105"/>
      <c r="RGU133" s="105"/>
      <c r="RGV133" s="105"/>
      <c r="RGW133" s="105"/>
      <c r="RGX133" s="105"/>
      <c r="RGY133" s="105"/>
      <c r="RGZ133" s="105"/>
      <c r="RHA133" s="105"/>
      <c r="RHB133" s="105"/>
      <c r="RHC133" s="105"/>
      <c r="RHD133" s="105"/>
      <c r="RHE133" s="105"/>
      <c r="RHF133" s="105"/>
      <c r="RHG133" s="105"/>
      <c r="RHH133" s="105"/>
      <c r="RHI133" s="105"/>
      <c r="RHJ133" s="105"/>
      <c r="RHK133" s="105"/>
      <c r="RHL133" s="105"/>
      <c r="RHM133" s="105"/>
      <c r="RHN133" s="105"/>
      <c r="RHO133" s="105"/>
      <c r="RHP133" s="105"/>
      <c r="RHQ133" s="105"/>
      <c r="RHR133" s="105"/>
      <c r="RHS133" s="105"/>
      <c r="RHT133" s="105"/>
      <c r="RHU133" s="105"/>
      <c r="RHV133" s="105"/>
      <c r="RHW133" s="105"/>
      <c r="RHX133" s="105"/>
      <c r="RHY133" s="105"/>
      <c r="RHZ133" s="105"/>
      <c r="RIA133" s="105"/>
      <c r="RIB133" s="105"/>
      <c r="RIC133" s="105"/>
      <c r="RID133" s="105"/>
      <c r="RIE133" s="105"/>
      <c r="RIF133" s="105"/>
      <c r="RIG133" s="105"/>
      <c r="RIH133" s="105"/>
      <c r="RII133" s="105"/>
      <c r="RIJ133" s="105"/>
      <c r="RIK133" s="105"/>
      <c r="RIL133" s="105"/>
      <c r="RIM133" s="105"/>
      <c r="RIN133" s="105"/>
      <c r="RIO133" s="105"/>
      <c r="RIP133" s="105"/>
      <c r="RIQ133" s="105"/>
      <c r="RIR133" s="105"/>
      <c r="RIS133" s="105"/>
      <c r="RIT133" s="105"/>
      <c r="RIU133" s="105"/>
      <c r="RIV133" s="105"/>
      <c r="RIW133" s="105"/>
      <c r="RIX133" s="105"/>
      <c r="RIY133" s="105"/>
      <c r="RIZ133" s="105"/>
      <c r="RJA133" s="105"/>
      <c r="RJB133" s="105"/>
      <c r="RJC133" s="105"/>
      <c r="RJD133" s="105"/>
      <c r="RJE133" s="105"/>
      <c r="RJF133" s="105"/>
      <c r="RJG133" s="105"/>
      <c r="RJH133" s="105"/>
      <c r="RJI133" s="105"/>
      <c r="RJJ133" s="105"/>
      <c r="RJK133" s="105"/>
      <c r="RJL133" s="105"/>
      <c r="RJM133" s="105"/>
      <c r="RJN133" s="105"/>
      <c r="RJO133" s="105"/>
      <c r="RJP133" s="105"/>
      <c r="RJQ133" s="105"/>
      <c r="RJR133" s="105"/>
      <c r="RJS133" s="105"/>
      <c r="RJT133" s="105"/>
      <c r="RJU133" s="105"/>
      <c r="RJV133" s="105"/>
      <c r="RJW133" s="105"/>
      <c r="RJX133" s="105"/>
      <c r="RJY133" s="105"/>
      <c r="RJZ133" s="105"/>
      <c r="RKA133" s="105"/>
      <c r="RKB133" s="105"/>
      <c r="RKC133" s="105"/>
      <c r="RKD133" s="105"/>
      <c r="RKE133" s="105"/>
      <c r="RKF133" s="105"/>
      <c r="RKG133" s="105"/>
      <c r="RKH133" s="105"/>
      <c r="RKI133" s="105"/>
      <c r="RKJ133" s="105"/>
      <c r="RKK133" s="105"/>
      <c r="RKL133" s="105"/>
      <c r="RKM133" s="105"/>
      <c r="RKN133" s="105"/>
      <c r="RKO133" s="105"/>
      <c r="RKP133" s="105"/>
      <c r="RKQ133" s="105"/>
      <c r="RKR133" s="105"/>
      <c r="RKS133" s="105"/>
      <c r="RKT133" s="105"/>
      <c r="RKU133" s="105"/>
      <c r="RKV133" s="105"/>
      <c r="RKW133" s="105"/>
      <c r="RKX133" s="105"/>
      <c r="RKY133" s="105"/>
      <c r="RKZ133" s="105"/>
      <c r="RLA133" s="105"/>
      <c r="RLB133" s="105"/>
      <c r="RLC133" s="105"/>
      <c r="RLD133" s="105"/>
      <c r="RLE133" s="105"/>
      <c r="RLF133" s="105"/>
      <c r="RLG133" s="105"/>
      <c r="RLH133" s="105"/>
      <c r="RLI133" s="105"/>
      <c r="RLJ133" s="105"/>
      <c r="RLK133" s="105"/>
      <c r="RLL133" s="105"/>
      <c r="RLM133" s="105"/>
      <c r="RLN133" s="105"/>
      <c r="RLO133" s="105"/>
      <c r="RLP133" s="105"/>
      <c r="RLQ133" s="105"/>
      <c r="RLR133" s="105"/>
      <c r="RLS133" s="105"/>
      <c r="RLT133" s="105"/>
      <c r="RLU133" s="105"/>
      <c r="RLV133" s="105"/>
      <c r="RLW133" s="105"/>
      <c r="RLX133" s="105"/>
      <c r="RLY133" s="105"/>
      <c r="RLZ133" s="105"/>
      <c r="RMA133" s="105"/>
      <c r="RMB133" s="105"/>
      <c r="RMC133" s="105"/>
      <c r="RMD133" s="105"/>
      <c r="RME133" s="105"/>
      <c r="RMF133" s="105"/>
      <c r="RMG133" s="105"/>
      <c r="RMH133" s="105"/>
      <c r="RMI133" s="105"/>
      <c r="RMJ133" s="105"/>
      <c r="RMK133" s="105"/>
      <c r="RML133" s="105"/>
      <c r="RMM133" s="105"/>
      <c r="RMN133" s="105"/>
      <c r="RMO133" s="105"/>
      <c r="RMP133" s="105"/>
      <c r="RMQ133" s="105"/>
      <c r="RMR133" s="105"/>
      <c r="RMS133" s="105"/>
      <c r="RMT133" s="105"/>
      <c r="RMU133" s="105"/>
      <c r="RMV133" s="105"/>
      <c r="RMW133" s="105"/>
      <c r="RMX133" s="105"/>
      <c r="RMY133" s="105"/>
      <c r="RMZ133" s="105"/>
      <c r="RNA133" s="105"/>
      <c r="RNB133" s="105"/>
      <c r="RNC133" s="105"/>
      <c r="RND133" s="105"/>
      <c r="RNE133" s="105"/>
      <c r="RNF133" s="105"/>
      <c r="RNG133" s="105"/>
      <c r="RNH133" s="105"/>
      <c r="RNI133" s="105"/>
      <c r="RNJ133" s="105"/>
      <c r="RNK133" s="105"/>
      <c r="RNL133" s="105"/>
      <c r="RNM133" s="105"/>
      <c r="RNN133" s="105"/>
      <c r="RNO133" s="105"/>
      <c r="RNP133" s="105"/>
      <c r="RNQ133" s="105"/>
      <c r="RNR133" s="105"/>
      <c r="RNS133" s="105"/>
      <c r="RNT133" s="105"/>
      <c r="RNU133" s="105"/>
      <c r="RNV133" s="105"/>
      <c r="RNW133" s="105"/>
      <c r="RNX133" s="105"/>
      <c r="RNY133" s="105"/>
      <c r="RNZ133" s="105"/>
      <c r="ROA133" s="105"/>
      <c r="ROB133" s="105"/>
      <c r="ROC133" s="105"/>
      <c r="ROD133" s="105"/>
      <c r="ROE133" s="105"/>
      <c r="ROF133" s="105"/>
      <c r="ROG133" s="105"/>
      <c r="ROH133" s="105"/>
      <c r="ROI133" s="105"/>
      <c r="ROJ133" s="105"/>
      <c r="ROK133" s="105"/>
      <c r="ROL133" s="105"/>
      <c r="ROM133" s="105"/>
      <c r="RON133" s="105"/>
      <c r="ROO133" s="105"/>
      <c r="ROP133" s="105"/>
      <c r="ROQ133" s="105"/>
      <c r="ROR133" s="105"/>
      <c r="ROS133" s="105"/>
      <c r="ROT133" s="105"/>
      <c r="ROU133" s="105"/>
      <c r="ROV133" s="105"/>
      <c r="ROW133" s="105"/>
      <c r="ROX133" s="105"/>
      <c r="ROY133" s="105"/>
      <c r="ROZ133" s="105"/>
      <c r="RPA133" s="105"/>
      <c r="RPB133" s="105"/>
      <c r="RPC133" s="105"/>
      <c r="RPD133" s="105"/>
      <c r="RPE133" s="105"/>
      <c r="RPF133" s="105"/>
      <c r="RPG133" s="105"/>
      <c r="RPH133" s="105"/>
      <c r="RPI133" s="105"/>
      <c r="RPJ133" s="105"/>
      <c r="RPK133" s="105"/>
      <c r="RPL133" s="105"/>
      <c r="RPM133" s="105"/>
      <c r="RPN133" s="105"/>
      <c r="RPO133" s="105"/>
      <c r="RPP133" s="105"/>
      <c r="RPQ133" s="105"/>
      <c r="RPR133" s="105"/>
      <c r="RPS133" s="105"/>
      <c r="RPT133" s="105"/>
      <c r="RPU133" s="105"/>
      <c r="RPV133" s="105"/>
      <c r="RPW133" s="105"/>
      <c r="RPX133" s="105"/>
      <c r="RPY133" s="105"/>
      <c r="RPZ133" s="105"/>
      <c r="RQA133" s="105"/>
      <c r="RQB133" s="105"/>
      <c r="RQC133" s="105"/>
      <c r="RQD133" s="105"/>
      <c r="RQE133" s="105"/>
      <c r="RQF133" s="105"/>
      <c r="RQG133" s="105"/>
      <c r="RQH133" s="105"/>
      <c r="RQI133" s="105"/>
      <c r="RQJ133" s="105"/>
      <c r="RQK133" s="105"/>
      <c r="RQL133" s="105"/>
      <c r="RQM133" s="105"/>
      <c r="RQN133" s="105"/>
      <c r="RQO133" s="105"/>
      <c r="RQP133" s="105"/>
      <c r="RQQ133" s="105"/>
      <c r="RQR133" s="105"/>
      <c r="RQS133" s="105"/>
      <c r="RQT133" s="105"/>
      <c r="RQU133" s="105"/>
      <c r="RQV133" s="105"/>
      <c r="RQW133" s="105"/>
      <c r="RQX133" s="105"/>
      <c r="RQY133" s="105"/>
      <c r="RQZ133" s="105"/>
      <c r="RRA133" s="105"/>
      <c r="RRB133" s="105"/>
      <c r="RRC133" s="105"/>
      <c r="RRD133" s="105"/>
      <c r="RRE133" s="105"/>
      <c r="RRF133" s="105"/>
      <c r="RRG133" s="105"/>
      <c r="RRH133" s="105"/>
      <c r="RRI133" s="105"/>
      <c r="RRJ133" s="105"/>
      <c r="RRK133" s="105"/>
      <c r="RRL133" s="105"/>
      <c r="RRM133" s="105"/>
      <c r="RRN133" s="105"/>
      <c r="RRO133" s="105"/>
      <c r="RRP133" s="105"/>
      <c r="RRQ133" s="105"/>
      <c r="RRR133" s="105"/>
      <c r="RRS133" s="105"/>
      <c r="RRT133" s="105"/>
      <c r="RRU133" s="105"/>
      <c r="RRV133" s="105"/>
      <c r="RRW133" s="105"/>
      <c r="RRX133" s="105"/>
      <c r="RRY133" s="105"/>
      <c r="RRZ133" s="105"/>
      <c r="RSA133" s="105"/>
      <c r="RSB133" s="105"/>
      <c r="RSC133" s="105"/>
      <c r="RSD133" s="105"/>
      <c r="RSE133" s="105"/>
      <c r="RSF133" s="105"/>
      <c r="RSG133" s="105"/>
      <c r="RSH133" s="105"/>
      <c r="RSI133" s="105"/>
      <c r="RSJ133" s="105"/>
      <c r="RSK133" s="105"/>
      <c r="RSL133" s="105"/>
      <c r="RSM133" s="105"/>
      <c r="RSN133" s="105"/>
      <c r="RSO133" s="105"/>
      <c r="RSP133" s="105"/>
      <c r="RSQ133" s="105"/>
      <c r="RSR133" s="105"/>
      <c r="RSS133" s="105"/>
      <c r="RST133" s="105"/>
      <c r="RSU133" s="105"/>
      <c r="RSV133" s="105"/>
      <c r="RSW133" s="105"/>
      <c r="RSX133" s="105"/>
      <c r="RSY133" s="105"/>
      <c r="RSZ133" s="105"/>
      <c r="RTA133" s="105"/>
      <c r="RTB133" s="105"/>
      <c r="RTC133" s="105"/>
      <c r="RTD133" s="105"/>
      <c r="RTE133" s="105"/>
      <c r="RTF133" s="105"/>
      <c r="RTG133" s="105"/>
      <c r="RTH133" s="105"/>
      <c r="RTI133" s="105"/>
      <c r="RTJ133" s="105"/>
      <c r="RTK133" s="105"/>
      <c r="RTL133" s="105"/>
      <c r="RTM133" s="105"/>
      <c r="RTN133" s="105"/>
      <c r="RTO133" s="105"/>
      <c r="RTP133" s="105"/>
      <c r="RTQ133" s="105"/>
      <c r="RTR133" s="105"/>
      <c r="RTS133" s="105"/>
      <c r="RTT133" s="105"/>
      <c r="RTU133" s="105"/>
      <c r="RTV133" s="105"/>
      <c r="RTW133" s="105"/>
      <c r="RTX133" s="105"/>
      <c r="RTY133" s="105"/>
      <c r="RTZ133" s="105"/>
      <c r="RUA133" s="105"/>
      <c r="RUB133" s="105"/>
      <c r="RUC133" s="105"/>
      <c r="RUD133" s="105"/>
      <c r="RUE133" s="105"/>
      <c r="RUF133" s="105"/>
      <c r="RUG133" s="105"/>
      <c r="RUH133" s="105"/>
      <c r="RUI133" s="105"/>
      <c r="RUJ133" s="105"/>
      <c r="RUK133" s="105"/>
      <c r="RUL133" s="105"/>
      <c r="RUM133" s="105"/>
      <c r="RUN133" s="105"/>
      <c r="RUO133" s="105"/>
      <c r="RUP133" s="105"/>
      <c r="RUQ133" s="105"/>
      <c r="RUR133" s="105"/>
      <c r="RUS133" s="105"/>
      <c r="RUT133" s="105"/>
      <c r="RUU133" s="105"/>
      <c r="RUV133" s="105"/>
      <c r="RUW133" s="105"/>
      <c r="RUX133" s="105"/>
      <c r="RUY133" s="105"/>
      <c r="RUZ133" s="105"/>
      <c r="RVA133" s="105"/>
      <c r="RVB133" s="105"/>
      <c r="RVC133" s="105"/>
      <c r="RVD133" s="105"/>
      <c r="RVE133" s="105"/>
      <c r="RVF133" s="105"/>
      <c r="RVG133" s="105"/>
      <c r="RVH133" s="105"/>
      <c r="RVI133" s="105"/>
      <c r="RVJ133" s="105"/>
      <c r="RVK133" s="105"/>
      <c r="RVL133" s="105"/>
      <c r="RVM133" s="105"/>
      <c r="RVN133" s="105"/>
      <c r="RVO133" s="105"/>
      <c r="RVP133" s="105"/>
      <c r="RVQ133" s="105"/>
      <c r="RVR133" s="105"/>
      <c r="RVS133" s="105"/>
      <c r="RVT133" s="105"/>
      <c r="RVU133" s="105"/>
      <c r="RVV133" s="105"/>
      <c r="RVW133" s="105"/>
      <c r="RVX133" s="105"/>
      <c r="RVY133" s="105"/>
      <c r="RVZ133" s="105"/>
      <c r="RWA133" s="105"/>
      <c r="RWB133" s="105"/>
      <c r="RWC133" s="105"/>
      <c r="RWD133" s="105"/>
      <c r="RWE133" s="105"/>
      <c r="RWF133" s="105"/>
      <c r="RWG133" s="105"/>
      <c r="RWH133" s="105"/>
      <c r="RWI133" s="105"/>
      <c r="RWJ133" s="105"/>
      <c r="RWK133" s="105"/>
      <c r="RWL133" s="105"/>
      <c r="RWM133" s="105"/>
      <c r="RWN133" s="105"/>
      <c r="RWO133" s="105"/>
      <c r="RWP133" s="105"/>
      <c r="RWQ133" s="105"/>
      <c r="RWR133" s="105"/>
      <c r="RWS133" s="105"/>
      <c r="RWT133" s="105"/>
      <c r="RWU133" s="105"/>
      <c r="RWV133" s="105"/>
      <c r="RWW133" s="105"/>
      <c r="RWX133" s="105"/>
      <c r="RWY133" s="105"/>
      <c r="RWZ133" s="105"/>
      <c r="RXA133" s="105"/>
      <c r="RXB133" s="105"/>
      <c r="RXC133" s="105"/>
      <c r="RXD133" s="105"/>
      <c r="RXE133" s="105"/>
      <c r="RXF133" s="105"/>
      <c r="RXG133" s="105"/>
      <c r="RXH133" s="105"/>
      <c r="RXI133" s="105"/>
      <c r="RXJ133" s="105"/>
      <c r="RXK133" s="105"/>
      <c r="RXL133" s="105"/>
      <c r="RXM133" s="105"/>
      <c r="RXN133" s="105"/>
      <c r="RXO133" s="105"/>
      <c r="RXP133" s="105"/>
      <c r="RXQ133" s="105"/>
      <c r="RXR133" s="105"/>
      <c r="RXS133" s="105"/>
      <c r="RXT133" s="105"/>
      <c r="RXU133" s="105"/>
      <c r="RXV133" s="105"/>
      <c r="RXW133" s="105"/>
      <c r="RXX133" s="105"/>
      <c r="RXY133" s="105"/>
      <c r="RXZ133" s="105"/>
      <c r="RYA133" s="105"/>
      <c r="RYB133" s="105"/>
      <c r="RYC133" s="105"/>
      <c r="RYD133" s="105"/>
      <c r="RYE133" s="105"/>
      <c r="RYF133" s="105"/>
      <c r="RYG133" s="105"/>
      <c r="RYH133" s="105"/>
      <c r="RYI133" s="105"/>
      <c r="RYJ133" s="105"/>
      <c r="RYK133" s="105"/>
      <c r="RYL133" s="105"/>
      <c r="RYM133" s="105"/>
      <c r="RYN133" s="105"/>
      <c r="RYO133" s="105"/>
      <c r="RYP133" s="105"/>
      <c r="RYQ133" s="105"/>
      <c r="RYR133" s="105"/>
      <c r="RYS133" s="105"/>
      <c r="RYT133" s="105"/>
      <c r="RYU133" s="105"/>
      <c r="RYV133" s="105"/>
      <c r="RYW133" s="105"/>
      <c r="RYX133" s="105"/>
      <c r="RYY133" s="105"/>
      <c r="RYZ133" s="105"/>
      <c r="RZA133" s="105"/>
      <c r="RZB133" s="105"/>
      <c r="RZC133" s="105"/>
      <c r="RZD133" s="105"/>
      <c r="RZE133" s="105"/>
      <c r="RZF133" s="105"/>
      <c r="RZG133" s="105"/>
      <c r="RZH133" s="105"/>
      <c r="RZI133" s="105"/>
      <c r="RZJ133" s="105"/>
      <c r="RZK133" s="105"/>
      <c r="RZL133" s="105"/>
      <c r="RZM133" s="105"/>
      <c r="RZN133" s="105"/>
      <c r="RZO133" s="105"/>
      <c r="RZP133" s="105"/>
      <c r="RZQ133" s="105"/>
      <c r="RZR133" s="105"/>
      <c r="RZS133" s="105"/>
      <c r="RZT133" s="105"/>
      <c r="RZU133" s="105"/>
      <c r="RZV133" s="105"/>
      <c r="RZW133" s="105"/>
      <c r="RZX133" s="105"/>
      <c r="RZY133" s="105"/>
      <c r="RZZ133" s="105"/>
      <c r="SAA133" s="105"/>
      <c r="SAB133" s="105"/>
      <c r="SAC133" s="105"/>
      <c r="SAD133" s="105"/>
      <c r="SAE133" s="105"/>
      <c r="SAF133" s="105"/>
      <c r="SAG133" s="105"/>
      <c r="SAH133" s="105"/>
      <c r="SAI133" s="105"/>
      <c r="SAJ133" s="105"/>
      <c r="SAK133" s="105"/>
      <c r="SAL133" s="105"/>
      <c r="SAM133" s="105"/>
      <c r="SAN133" s="105"/>
      <c r="SAO133" s="105"/>
      <c r="SAP133" s="105"/>
      <c r="SAQ133" s="105"/>
      <c r="SAR133" s="105"/>
      <c r="SAS133" s="105"/>
      <c r="SAT133" s="105"/>
      <c r="SAU133" s="105"/>
      <c r="SAV133" s="105"/>
      <c r="SAW133" s="105"/>
      <c r="SAX133" s="105"/>
      <c r="SAY133" s="105"/>
      <c r="SAZ133" s="105"/>
      <c r="SBA133" s="105"/>
      <c r="SBB133" s="105"/>
      <c r="SBC133" s="105"/>
      <c r="SBD133" s="105"/>
      <c r="SBE133" s="105"/>
      <c r="SBF133" s="105"/>
      <c r="SBG133" s="105"/>
      <c r="SBH133" s="105"/>
      <c r="SBI133" s="105"/>
      <c r="SBJ133" s="105"/>
      <c r="SBK133" s="105"/>
      <c r="SBL133" s="105"/>
      <c r="SBM133" s="105"/>
      <c r="SBN133" s="105"/>
      <c r="SBO133" s="105"/>
      <c r="SBP133" s="105"/>
      <c r="SBQ133" s="105"/>
      <c r="SBR133" s="105"/>
      <c r="SBS133" s="105"/>
      <c r="SBT133" s="105"/>
      <c r="SBU133" s="105"/>
      <c r="SBV133" s="105"/>
      <c r="SBW133" s="105"/>
      <c r="SBX133" s="105"/>
      <c r="SBY133" s="105"/>
      <c r="SBZ133" s="105"/>
      <c r="SCA133" s="105"/>
      <c r="SCB133" s="105"/>
      <c r="SCC133" s="105"/>
      <c r="SCD133" s="105"/>
      <c r="SCE133" s="105"/>
      <c r="SCF133" s="105"/>
      <c r="SCG133" s="105"/>
      <c r="SCH133" s="105"/>
      <c r="SCI133" s="105"/>
      <c r="SCJ133" s="105"/>
      <c r="SCK133" s="105"/>
      <c r="SCL133" s="105"/>
      <c r="SCM133" s="105"/>
      <c r="SCN133" s="105"/>
      <c r="SCO133" s="105"/>
      <c r="SCP133" s="105"/>
      <c r="SCQ133" s="105"/>
      <c r="SCR133" s="105"/>
      <c r="SCS133" s="105"/>
      <c r="SCT133" s="105"/>
      <c r="SCU133" s="105"/>
      <c r="SCV133" s="105"/>
      <c r="SCW133" s="105"/>
      <c r="SCX133" s="105"/>
      <c r="SCY133" s="105"/>
      <c r="SCZ133" s="105"/>
      <c r="SDA133" s="105"/>
      <c r="SDB133" s="105"/>
      <c r="SDC133" s="105"/>
      <c r="SDD133" s="105"/>
      <c r="SDE133" s="105"/>
      <c r="SDF133" s="105"/>
      <c r="SDG133" s="105"/>
      <c r="SDH133" s="105"/>
      <c r="SDI133" s="105"/>
      <c r="SDJ133" s="105"/>
      <c r="SDK133" s="105"/>
      <c r="SDL133" s="105"/>
      <c r="SDM133" s="105"/>
      <c r="SDN133" s="105"/>
      <c r="SDO133" s="105"/>
      <c r="SDP133" s="105"/>
      <c r="SDQ133" s="105"/>
      <c r="SDR133" s="105"/>
      <c r="SDS133" s="105"/>
      <c r="SDT133" s="105"/>
      <c r="SDU133" s="105"/>
      <c r="SDV133" s="105"/>
      <c r="SDW133" s="105"/>
      <c r="SDX133" s="105"/>
      <c r="SDY133" s="105"/>
      <c r="SDZ133" s="105"/>
      <c r="SEA133" s="105"/>
      <c r="SEB133" s="105"/>
      <c r="SEC133" s="105"/>
      <c r="SED133" s="105"/>
      <c r="SEE133" s="105"/>
      <c r="SEF133" s="105"/>
      <c r="SEG133" s="105"/>
      <c r="SEH133" s="105"/>
      <c r="SEI133" s="105"/>
      <c r="SEJ133" s="105"/>
      <c r="SEK133" s="105"/>
      <c r="SEL133" s="105"/>
      <c r="SEM133" s="105"/>
      <c r="SEN133" s="105"/>
      <c r="SEO133" s="105"/>
      <c r="SEP133" s="105"/>
      <c r="SEQ133" s="105"/>
      <c r="SER133" s="105"/>
      <c r="SES133" s="105"/>
      <c r="SET133" s="105"/>
      <c r="SEU133" s="105"/>
      <c r="SEV133" s="105"/>
      <c r="SEW133" s="105"/>
      <c r="SEX133" s="105"/>
      <c r="SEY133" s="105"/>
      <c r="SEZ133" s="105"/>
      <c r="SFA133" s="105"/>
      <c r="SFB133" s="105"/>
      <c r="SFC133" s="105"/>
      <c r="SFD133" s="105"/>
      <c r="SFE133" s="105"/>
      <c r="SFF133" s="105"/>
      <c r="SFG133" s="105"/>
      <c r="SFH133" s="105"/>
      <c r="SFI133" s="105"/>
      <c r="SFJ133" s="105"/>
      <c r="SFK133" s="105"/>
      <c r="SFL133" s="105"/>
      <c r="SFM133" s="105"/>
      <c r="SFN133" s="105"/>
      <c r="SFO133" s="105"/>
      <c r="SFP133" s="105"/>
      <c r="SFQ133" s="105"/>
      <c r="SFR133" s="105"/>
      <c r="SFS133" s="105"/>
      <c r="SFT133" s="105"/>
      <c r="SFU133" s="105"/>
      <c r="SFV133" s="105"/>
      <c r="SFW133" s="105"/>
      <c r="SFX133" s="105"/>
      <c r="SFY133" s="105"/>
      <c r="SFZ133" s="105"/>
      <c r="SGA133" s="105"/>
      <c r="SGB133" s="105"/>
      <c r="SGC133" s="105"/>
      <c r="SGD133" s="105"/>
      <c r="SGE133" s="105"/>
      <c r="SGF133" s="105"/>
      <c r="SGG133" s="105"/>
      <c r="SGH133" s="105"/>
      <c r="SGI133" s="105"/>
      <c r="SGJ133" s="105"/>
      <c r="SGK133" s="105"/>
      <c r="SGL133" s="105"/>
      <c r="SGM133" s="105"/>
      <c r="SGN133" s="105"/>
      <c r="SGO133" s="105"/>
      <c r="SGP133" s="105"/>
      <c r="SGQ133" s="105"/>
      <c r="SGR133" s="105"/>
      <c r="SGS133" s="105"/>
      <c r="SGT133" s="105"/>
      <c r="SGU133" s="105"/>
      <c r="SGV133" s="105"/>
      <c r="SGW133" s="105"/>
      <c r="SGX133" s="105"/>
      <c r="SGY133" s="105"/>
      <c r="SGZ133" s="105"/>
      <c r="SHA133" s="105"/>
      <c r="SHB133" s="105"/>
      <c r="SHC133" s="105"/>
      <c r="SHD133" s="105"/>
      <c r="SHE133" s="105"/>
      <c r="SHF133" s="105"/>
      <c r="SHG133" s="105"/>
      <c r="SHH133" s="105"/>
      <c r="SHI133" s="105"/>
      <c r="SHJ133" s="105"/>
      <c r="SHK133" s="105"/>
      <c r="SHL133" s="105"/>
      <c r="SHM133" s="105"/>
      <c r="SHN133" s="105"/>
      <c r="SHO133" s="105"/>
      <c r="SHP133" s="105"/>
      <c r="SHQ133" s="105"/>
      <c r="SHR133" s="105"/>
      <c r="SHS133" s="105"/>
      <c r="SHT133" s="105"/>
      <c r="SHU133" s="105"/>
      <c r="SHV133" s="105"/>
      <c r="SHW133" s="105"/>
      <c r="SHX133" s="105"/>
      <c r="SHY133" s="105"/>
      <c r="SHZ133" s="105"/>
      <c r="SIA133" s="105"/>
      <c r="SIB133" s="105"/>
      <c r="SIC133" s="105"/>
      <c r="SID133" s="105"/>
      <c r="SIE133" s="105"/>
      <c r="SIF133" s="105"/>
      <c r="SIG133" s="105"/>
      <c r="SIH133" s="105"/>
      <c r="SII133" s="105"/>
      <c r="SIJ133" s="105"/>
      <c r="SIK133" s="105"/>
      <c r="SIL133" s="105"/>
      <c r="SIM133" s="105"/>
      <c r="SIN133" s="105"/>
      <c r="SIO133" s="105"/>
      <c r="SIP133" s="105"/>
      <c r="SIQ133" s="105"/>
      <c r="SIR133" s="105"/>
      <c r="SIS133" s="105"/>
      <c r="SIT133" s="105"/>
      <c r="SIU133" s="105"/>
      <c r="SIV133" s="105"/>
      <c r="SIW133" s="105"/>
      <c r="SIX133" s="105"/>
      <c r="SIY133" s="105"/>
      <c r="SIZ133" s="105"/>
      <c r="SJA133" s="105"/>
      <c r="SJB133" s="105"/>
      <c r="SJC133" s="105"/>
      <c r="SJD133" s="105"/>
      <c r="SJE133" s="105"/>
      <c r="SJF133" s="105"/>
      <c r="SJG133" s="105"/>
      <c r="SJH133" s="105"/>
      <c r="SJI133" s="105"/>
      <c r="SJJ133" s="105"/>
      <c r="SJK133" s="105"/>
      <c r="SJL133" s="105"/>
      <c r="SJM133" s="105"/>
      <c r="SJN133" s="105"/>
      <c r="SJO133" s="105"/>
      <c r="SJP133" s="105"/>
      <c r="SJQ133" s="105"/>
      <c r="SJR133" s="105"/>
      <c r="SJS133" s="105"/>
      <c r="SJT133" s="105"/>
      <c r="SJU133" s="105"/>
      <c r="SJV133" s="105"/>
      <c r="SJW133" s="105"/>
      <c r="SJX133" s="105"/>
      <c r="SJY133" s="105"/>
      <c r="SJZ133" s="105"/>
      <c r="SKA133" s="105"/>
      <c r="SKB133" s="105"/>
      <c r="SKC133" s="105"/>
      <c r="SKD133" s="105"/>
      <c r="SKE133" s="105"/>
      <c r="SKF133" s="105"/>
      <c r="SKG133" s="105"/>
      <c r="SKH133" s="105"/>
      <c r="SKI133" s="105"/>
      <c r="SKJ133" s="105"/>
      <c r="SKK133" s="105"/>
      <c r="SKL133" s="105"/>
      <c r="SKM133" s="105"/>
      <c r="SKN133" s="105"/>
      <c r="SKO133" s="105"/>
      <c r="SKP133" s="105"/>
      <c r="SKQ133" s="105"/>
      <c r="SKR133" s="105"/>
      <c r="SKS133" s="105"/>
      <c r="SKT133" s="105"/>
      <c r="SKU133" s="105"/>
      <c r="SKV133" s="105"/>
      <c r="SKW133" s="105"/>
      <c r="SKX133" s="105"/>
      <c r="SKY133" s="105"/>
      <c r="SKZ133" s="105"/>
      <c r="SLA133" s="105"/>
      <c r="SLB133" s="105"/>
      <c r="SLC133" s="105"/>
      <c r="SLD133" s="105"/>
      <c r="SLE133" s="105"/>
      <c r="SLF133" s="105"/>
      <c r="SLG133" s="105"/>
      <c r="SLH133" s="105"/>
      <c r="SLI133" s="105"/>
      <c r="SLJ133" s="105"/>
      <c r="SLK133" s="105"/>
      <c r="SLL133" s="105"/>
      <c r="SLM133" s="105"/>
      <c r="SLN133" s="105"/>
      <c r="SLO133" s="105"/>
      <c r="SLP133" s="105"/>
      <c r="SLQ133" s="105"/>
      <c r="SLR133" s="105"/>
      <c r="SLS133" s="105"/>
      <c r="SLT133" s="105"/>
      <c r="SLU133" s="105"/>
      <c r="SLV133" s="105"/>
      <c r="SLW133" s="105"/>
      <c r="SLX133" s="105"/>
      <c r="SLY133" s="105"/>
      <c r="SLZ133" s="105"/>
      <c r="SMA133" s="105"/>
      <c r="SMB133" s="105"/>
      <c r="SMC133" s="105"/>
      <c r="SMD133" s="105"/>
      <c r="SME133" s="105"/>
      <c r="SMF133" s="105"/>
      <c r="SMG133" s="105"/>
      <c r="SMH133" s="105"/>
      <c r="SMI133" s="105"/>
      <c r="SMJ133" s="105"/>
      <c r="SMK133" s="105"/>
      <c r="SML133" s="105"/>
      <c r="SMM133" s="105"/>
      <c r="SMN133" s="105"/>
      <c r="SMO133" s="105"/>
      <c r="SMP133" s="105"/>
      <c r="SMQ133" s="105"/>
      <c r="SMR133" s="105"/>
      <c r="SMS133" s="105"/>
      <c r="SMT133" s="105"/>
      <c r="SMU133" s="105"/>
      <c r="SMV133" s="105"/>
      <c r="SMW133" s="105"/>
      <c r="SMX133" s="105"/>
      <c r="SMY133" s="105"/>
      <c r="SMZ133" s="105"/>
      <c r="SNA133" s="105"/>
      <c r="SNB133" s="105"/>
      <c r="SNC133" s="105"/>
      <c r="SND133" s="105"/>
      <c r="SNE133" s="105"/>
      <c r="SNF133" s="105"/>
      <c r="SNG133" s="105"/>
      <c r="SNH133" s="105"/>
      <c r="SNI133" s="105"/>
      <c r="SNJ133" s="105"/>
      <c r="SNK133" s="105"/>
      <c r="SNL133" s="105"/>
      <c r="SNM133" s="105"/>
      <c r="SNN133" s="105"/>
      <c r="SNO133" s="105"/>
      <c r="SNP133" s="105"/>
      <c r="SNQ133" s="105"/>
      <c r="SNR133" s="105"/>
      <c r="SNS133" s="105"/>
      <c r="SNT133" s="105"/>
      <c r="SNU133" s="105"/>
      <c r="SNV133" s="105"/>
      <c r="SNW133" s="105"/>
      <c r="SNX133" s="105"/>
      <c r="SNY133" s="105"/>
      <c r="SNZ133" s="105"/>
      <c r="SOA133" s="105"/>
      <c r="SOB133" s="105"/>
      <c r="SOC133" s="105"/>
      <c r="SOD133" s="105"/>
      <c r="SOE133" s="105"/>
      <c r="SOF133" s="105"/>
      <c r="SOG133" s="105"/>
      <c r="SOH133" s="105"/>
      <c r="SOI133" s="105"/>
      <c r="SOJ133" s="105"/>
      <c r="SOK133" s="105"/>
      <c r="SOL133" s="105"/>
      <c r="SOM133" s="105"/>
      <c r="SON133" s="105"/>
      <c r="SOO133" s="105"/>
      <c r="SOP133" s="105"/>
      <c r="SOQ133" s="105"/>
      <c r="SOR133" s="105"/>
      <c r="SOS133" s="105"/>
      <c r="SOT133" s="105"/>
      <c r="SOU133" s="105"/>
      <c r="SOV133" s="105"/>
      <c r="SOW133" s="105"/>
      <c r="SOX133" s="105"/>
      <c r="SOY133" s="105"/>
      <c r="SOZ133" s="105"/>
      <c r="SPA133" s="105"/>
      <c r="SPB133" s="105"/>
      <c r="SPC133" s="105"/>
      <c r="SPD133" s="105"/>
      <c r="SPE133" s="105"/>
      <c r="SPF133" s="105"/>
      <c r="SPG133" s="105"/>
      <c r="SPH133" s="105"/>
      <c r="SPI133" s="105"/>
      <c r="SPJ133" s="105"/>
      <c r="SPK133" s="105"/>
      <c r="SPL133" s="105"/>
      <c r="SPM133" s="105"/>
      <c r="SPN133" s="105"/>
      <c r="SPO133" s="105"/>
      <c r="SPP133" s="105"/>
      <c r="SPQ133" s="105"/>
      <c r="SPR133" s="105"/>
      <c r="SPS133" s="105"/>
      <c r="SPT133" s="105"/>
      <c r="SPU133" s="105"/>
      <c r="SPV133" s="105"/>
      <c r="SPW133" s="105"/>
      <c r="SPX133" s="105"/>
      <c r="SPY133" s="105"/>
      <c r="SPZ133" s="105"/>
      <c r="SQA133" s="105"/>
      <c r="SQB133" s="105"/>
      <c r="SQC133" s="105"/>
      <c r="SQD133" s="105"/>
      <c r="SQE133" s="105"/>
      <c r="SQF133" s="105"/>
      <c r="SQG133" s="105"/>
      <c r="SQH133" s="105"/>
      <c r="SQI133" s="105"/>
      <c r="SQJ133" s="105"/>
      <c r="SQK133" s="105"/>
      <c r="SQL133" s="105"/>
      <c r="SQM133" s="105"/>
      <c r="SQN133" s="105"/>
      <c r="SQO133" s="105"/>
      <c r="SQP133" s="105"/>
      <c r="SQQ133" s="105"/>
      <c r="SQR133" s="105"/>
      <c r="SQS133" s="105"/>
      <c r="SQT133" s="105"/>
      <c r="SQU133" s="105"/>
      <c r="SQV133" s="105"/>
      <c r="SQW133" s="105"/>
      <c r="SQX133" s="105"/>
      <c r="SQY133" s="105"/>
      <c r="SQZ133" s="105"/>
      <c r="SRA133" s="105"/>
      <c r="SRB133" s="105"/>
      <c r="SRC133" s="105"/>
      <c r="SRD133" s="105"/>
      <c r="SRE133" s="105"/>
      <c r="SRF133" s="105"/>
      <c r="SRG133" s="105"/>
      <c r="SRH133" s="105"/>
      <c r="SRI133" s="105"/>
      <c r="SRJ133" s="105"/>
      <c r="SRK133" s="105"/>
      <c r="SRL133" s="105"/>
      <c r="SRM133" s="105"/>
      <c r="SRN133" s="105"/>
      <c r="SRO133" s="105"/>
      <c r="SRP133" s="105"/>
      <c r="SRQ133" s="105"/>
      <c r="SRR133" s="105"/>
      <c r="SRS133" s="105"/>
      <c r="SRT133" s="105"/>
      <c r="SRU133" s="105"/>
      <c r="SRV133" s="105"/>
      <c r="SRW133" s="105"/>
      <c r="SRX133" s="105"/>
      <c r="SRY133" s="105"/>
      <c r="SRZ133" s="105"/>
      <c r="SSA133" s="105"/>
      <c r="SSB133" s="105"/>
      <c r="SSC133" s="105"/>
      <c r="SSD133" s="105"/>
      <c r="SSE133" s="105"/>
      <c r="SSF133" s="105"/>
      <c r="SSG133" s="105"/>
      <c r="SSH133" s="105"/>
      <c r="SSI133" s="105"/>
      <c r="SSJ133" s="105"/>
      <c r="SSK133" s="105"/>
      <c r="SSL133" s="105"/>
      <c r="SSM133" s="105"/>
      <c r="SSN133" s="105"/>
      <c r="SSO133" s="105"/>
      <c r="SSP133" s="105"/>
      <c r="SSQ133" s="105"/>
      <c r="SSR133" s="105"/>
      <c r="SSS133" s="105"/>
      <c r="SST133" s="105"/>
      <c r="SSU133" s="105"/>
      <c r="SSV133" s="105"/>
      <c r="SSW133" s="105"/>
      <c r="SSX133" s="105"/>
      <c r="SSY133" s="105"/>
      <c r="SSZ133" s="105"/>
      <c r="STA133" s="105"/>
      <c r="STB133" s="105"/>
      <c r="STC133" s="105"/>
      <c r="STD133" s="105"/>
      <c r="STE133" s="105"/>
      <c r="STF133" s="105"/>
      <c r="STG133" s="105"/>
      <c r="STH133" s="105"/>
      <c r="STI133" s="105"/>
      <c r="STJ133" s="105"/>
      <c r="STK133" s="105"/>
      <c r="STL133" s="105"/>
      <c r="STM133" s="105"/>
      <c r="STN133" s="105"/>
      <c r="STO133" s="105"/>
      <c r="STP133" s="105"/>
      <c r="STQ133" s="105"/>
      <c r="STR133" s="105"/>
      <c r="STS133" s="105"/>
      <c r="STT133" s="105"/>
      <c r="STU133" s="105"/>
      <c r="STV133" s="105"/>
      <c r="STW133" s="105"/>
      <c r="STX133" s="105"/>
      <c r="STY133" s="105"/>
      <c r="STZ133" s="105"/>
      <c r="SUA133" s="105"/>
      <c r="SUB133" s="105"/>
      <c r="SUC133" s="105"/>
      <c r="SUD133" s="105"/>
      <c r="SUE133" s="105"/>
      <c r="SUF133" s="105"/>
      <c r="SUG133" s="105"/>
      <c r="SUH133" s="105"/>
      <c r="SUI133" s="105"/>
      <c r="SUJ133" s="105"/>
      <c r="SUK133" s="105"/>
      <c r="SUL133" s="105"/>
      <c r="SUM133" s="105"/>
      <c r="SUN133" s="105"/>
      <c r="SUO133" s="105"/>
      <c r="SUP133" s="105"/>
      <c r="SUQ133" s="105"/>
      <c r="SUR133" s="105"/>
      <c r="SUS133" s="105"/>
      <c r="SUT133" s="105"/>
      <c r="SUU133" s="105"/>
      <c r="SUV133" s="105"/>
      <c r="SUW133" s="105"/>
      <c r="SUX133" s="105"/>
      <c r="SUY133" s="105"/>
      <c r="SUZ133" s="105"/>
      <c r="SVA133" s="105"/>
      <c r="SVB133" s="105"/>
      <c r="SVC133" s="105"/>
      <c r="SVD133" s="105"/>
      <c r="SVE133" s="105"/>
      <c r="SVF133" s="105"/>
      <c r="SVG133" s="105"/>
      <c r="SVH133" s="105"/>
      <c r="SVI133" s="105"/>
      <c r="SVJ133" s="105"/>
      <c r="SVK133" s="105"/>
      <c r="SVL133" s="105"/>
      <c r="SVM133" s="105"/>
      <c r="SVN133" s="105"/>
      <c r="SVO133" s="105"/>
      <c r="SVP133" s="105"/>
      <c r="SVQ133" s="105"/>
      <c r="SVR133" s="105"/>
      <c r="SVS133" s="105"/>
      <c r="SVT133" s="105"/>
      <c r="SVU133" s="105"/>
      <c r="SVV133" s="105"/>
      <c r="SVW133" s="105"/>
      <c r="SVX133" s="105"/>
      <c r="SVY133" s="105"/>
      <c r="SVZ133" s="105"/>
      <c r="SWA133" s="105"/>
      <c r="SWB133" s="105"/>
      <c r="SWC133" s="105"/>
      <c r="SWD133" s="105"/>
      <c r="SWE133" s="105"/>
      <c r="SWF133" s="105"/>
      <c r="SWG133" s="105"/>
      <c r="SWH133" s="105"/>
      <c r="SWI133" s="105"/>
      <c r="SWJ133" s="105"/>
      <c r="SWK133" s="105"/>
      <c r="SWL133" s="105"/>
      <c r="SWM133" s="105"/>
      <c r="SWN133" s="105"/>
      <c r="SWO133" s="105"/>
      <c r="SWP133" s="105"/>
      <c r="SWQ133" s="105"/>
      <c r="SWR133" s="105"/>
      <c r="SWS133" s="105"/>
      <c r="SWT133" s="105"/>
      <c r="SWU133" s="105"/>
      <c r="SWV133" s="105"/>
      <c r="SWW133" s="105"/>
      <c r="SWX133" s="105"/>
      <c r="SWY133" s="105"/>
      <c r="SWZ133" s="105"/>
      <c r="SXA133" s="105"/>
      <c r="SXB133" s="105"/>
      <c r="SXC133" s="105"/>
      <c r="SXD133" s="105"/>
      <c r="SXE133" s="105"/>
      <c r="SXF133" s="105"/>
      <c r="SXG133" s="105"/>
      <c r="SXH133" s="105"/>
      <c r="SXI133" s="105"/>
      <c r="SXJ133" s="105"/>
      <c r="SXK133" s="105"/>
      <c r="SXL133" s="105"/>
      <c r="SXM133" s="105"/>
      <c r="SXN133" s="105"/>
      <c r="SXO133" s="105"/>
      <c r="SXP133" s="105"/>
      <c r="SXQ133" s="105"/>
      <c r="SXR133" s="105"/>
      <c r="SXS133" s="105"/>
      <c r="SXT133" s="105"/>
      <c r="SXU133" s="105"/>
      <c r="SXV133" s="105"/>
      <c r="SXW133" s="105"/>
      <c r="SXX133" s="105"/>
      <c r="SXY133" s="105"/>
      <c r="SXZ133" s="105"/>
      <c r="SYA133" s="105"/>
      <c r="SYB133" s="105"/>
      <c r="SYC133" s="105"/>
      <c r="SYD133" s="105"/>
      <c r="SYE133" s="105"/>
      <c r="SYF133" s="105"/>
      <c r="SYG133" s="105"/>
      <c r="SYH133" s="105"/>
      <c r="SYI133" s="105"/>
      <c r="SYJ133" s="105"/>
      <c r="SYK133" s="105"/>
      <c r="SYL133" s="105"/>
      <c r="SYM133" s="105"/>
      <c r="SYN133" s="105"/>
      <c r="SYO133" s="105"/>
      <c r="SYP133" s="105"/>
      <c r="SYQ133" s="105"/>
      <c r="SYR133" s="105"/>
      <c r="SYS133" s="105"/>
      <c r="SYT133" s="105"/>
      <c r="SYU133" s="105"/>
      <c r="SYV133" s="105"/>
      <c r="SYW133" s="105"/>
      <c r="SYX133" s="105"/>
      <c r="SYY133" s="105"/>
      <c r="SYZ133" s="105"/>
      <c r="SZA133" s="105"/>
      <c r="SZB133" s="105"/>
      <c r="SZC133" s="105"/>
      <c r="SZD133" s="105"/>
      <c r="SZE133" s="105"/>
      <c r="SZF133" s="105"/>
      <c r="SZG133" s="105"/>
      <c r="SZH133" s="105"/>
      <c r="SZI133" s="105"/>
      <c r="SZJ133" s="105"/>
      <c r="SZK133" s="105"/>
      <c r="SZL133" s="105"/>
      <c r="SZM133" s="105"/>
      <c r="SZN133" s="105"/>
      <c r="SZO133" s="105"/>
      <c r="SZP133" s="105"/>
      <c r="SZQ133" s="105"/>
      <c r="SZR133" s="105"/>
      <c r="SZS133" s="105"/>
      <c r="SZT133" s="105"/>
      <c r="SZU133" s="105"/>
      <c r="SZV133" s="105"/>
      <c r="SZW133" s="105"/>
      <c r="SZX133" s="105"/>
      <c r="SZY133" s="105"/>
      <c r="SZZ133" s="105"/>
      <c r="TAA133" s="105"/>
      <c r="TAB133" s="105"/>
      <c r="TAC133" s="105"/>
      <c r="TAD133" s="105"/>
      <c r="TAE133" s="105"/>
      <c r="TAF133" s="105"/>
      <c r="TAG133" s="105"/>
      <c r="TAH133" s="105"/>
      <c r="TAI133" s="105"/>
      <c r="TAJ133" s="105"/>
      <c r="TAK133" s="105"/>
      <c r="TAL133" s="105"/>
      <c r="TAM133" s="105"/>
      <c r="TAN133" s="105"/>
      <c r="TAO133" s="105"/>
      <c r="TAP133" s="105"/>
      <c r="TAQ133" s="105"/>
      <c r="TAR133" s="105"/>
      <c r="TAS133" s="105"/>
      <c r="TAT133" s="105"/>
      <c r="TAU133" s="105"/>
      <c r="TAV133" s="105"/>
      <c r="TAW133" s="105"/>
      <c r="TAX133" s="105"/>
      <c r="TAY133" s="105"/>
      <c r="TAZ133" s="105"/>
      <c r="TBA133" s="105"/>
      <c r="TBB133" s="105"/>
      <c r="TBC133" s="105"/>
      <c r="TBD133" s="105"/>
      <c r="TBE133" s="105"/>
      <c r="TBF133" s="105"/>
      <c r="TBG133" s="105"/>
      <c r="TBH133" s="105"/>
      <c r="TBI133" s="105"/>
      <c r="TBJ133" s="105"/>
      <c r="TBK133" s="105"/>
      <c r="TBL133" s="105"/>
      <c r="TBM133" s="105"/>
      <c r="TBN133" s="105"/>
      <c r="TBO133" s="105"/>
      <c r="TBP133" s="105"/>
      <c r="TBQ133" s="105"/>
      <c r="TBR133" s="105"/>
      <c r="TBS133" s="105"/>
      <c r="TBT133" s="105"/>
      <c r="TBU133" s="105"/>
      <c r="TBV133" s="105"/>
      <c r="TBW133" s="105"/>
      <c r="TBX133" s="105"/>
      <c r="TBY133" s="105"/>
      <c r="TBZ133" s="105"/>
      <c r="TCA133" s="105"/>
      <c r="TCB133" s="105"/>
      <c r="TCC133" s="105"/>
      <c r="TCD133" s="105"/>
      <c r="TCE133" s="105"/>
      <c r="TCF133" s="105"/>
      <c r="TCG133" s="105"/>
      <c r="TCH133" s="105"/>
      <c r="TCI133" s="105"/>
      <c r="TCJ133" s="105"/>
      <c r="TCK133" s="105"/>
      <c r="TCL133" s="105"/>
      <c r="TCM133" s="105"/>
      <c r="TCN133" s="105"/>
      <c r="TCO133" s="105"/>
      <c r="TCP133" s="105"/>
      <c r="TCQ133" s="105"/>
      <c r="TCR133" s="105"/>
      <c r="TCS133" s="105"/>
      <c r="TCT133" s="105"/>
      <c r="TCU133" s="105"/>
      <c r="TCV133" s="105"/>
      <c r="TCW133" s="105"/>
      <c r="TCX133" s="105"/>
      <c r="TCY133" s="105"/>
      <c r="TCZ133" s="105"/>
      <c r="TDA133" s="105"/>
      <c r="TDB133" s="105"/>
      <c r="TDC133" s="105"/>
      <c r="TDD133" s="105"/>
      <c r="TDE133" s="105"/>
      <c r="TDF133" s="105"/>
      <c r="TDG133" s="105"/>
      <c r="TDH133" s="105"/>
      <c r="TDI133" s="105"/>
      <c r="TDJ133" s="105"/>
      <c r="TDK133" s="105"/>
      <c r="TDL133" s="105"/>
      <c r="TDM133" s="105"/>
      <c r="TDN133" s="105"/>
      <c r="TDO133" s="105"/>
      <c r="TDP133" s="105"/>
      <c r="TDQ133" s="105"/>
      <c r="TDR133" s="105"/>
      <c r="TDS133" s="105"/>
      <c r="TDT133" s="105"/>
      <c r="TDU133" s="105"/>
      <c r="TDV133" s="105"/>
      <c r="TDW133" s="105"/>
      <c r="TDX133" s="105"/>
      <c r="TDY133" s="105"/>
      <c r="TDZ133" s="105"/>
      <c r="TEA133" s="105"/>
      <c r="TEB133" s="105"/>
      <c r="TEC133" s="105"/>
      <c r="TED133" s="105"/>
      <c r="TEE133" s="105"/>
      <c r="TEF133" s="105"/>
      <c r="TEG133" s="105"/>
      <c r="TEH133" s="105"/>
      <c r="TEI133" s="105"/>
      <c r="TEJ133" s="105"/>
      <c r="TEK133" s="105"/>
      <c r="TEL133" s="105"/>
      <c r="TEM133" s="105"/>
      <c r="TEN133" s="105"/>
      <c r="TEO133" s="105"/>
      <c r="TEP133" s="105"/>
      <c r="TEQ133" s="105"/>
      <c r="TER133" s="105"/>
      <c r="TES133" s="105"/>
      <c r="TET133" s="105"/>
      <c r="TEU133" s="105"/>
      <c r="TEV133" s="105"/>
      <c r="TEW133" s="105"/>
      <c r="TEX133" s="105"/>
      <c r="TEY133" s="105"/>
      <c r="TEZ133" s="105"/>
      <c r="TFA133" s="105"/>
      <c r="TFB133" s="105"/>
      <c r="TFC133" s="105"/>
      <c r="TFD133" s="105"/>
      <c r="TFE133" s="105"/>
      <c r="TFF133" s="105"/>
      <c r="TFG133" s="105"/>
      <c r="TFH133" s="105"/>
      <c r="TFI133" s="105"/>
      <c r="TFJ133" s="105"/>
      <c r="TFK133" s="105"/>
      <c r="TFL133" s="105"/>
      <c r="TFM133" s="105"/>
      <c r="TFN133" s="105"/>
      <c r="TFO133" s="105"/>
      <c r="TFP133" s="105"/>
      <c r="TFQ133" s="105"/>
      <c r="TFR133" s="105"/>
      <c r="TFS133" s="105"/>
      <c r="TFT133" s="105"/>
      <c r="TFU133" s="105"/>
      <c r="TFV133" s="105"/>
      <c r="TFW133" s="105"/>
      <c r="TFX133" s="105"/>
      <c r="TFY133" s="105"/>
      <c r="TFZ133" s="105"/>
      <c r="TGA133" s="105"/>
      <c r="TGB133" s="105"/>
      <c r="TGC133" s="105"/>
      <c r="TGD133" s="105"/>
      <c r="TGE133" s="105"/>
      <c r="TGF133" s="105"/>
      <c r="TGG133" s="105"/>
      <c r="TGH133" s="105"/>
      <c r="TGI133" s="105"/>
      <c r="TGJ133" s="105"/>
      <c r="TGK133" s="105"/>
      <c r="TGL133" s="105"/>
      <c r="TGM133" s="105"/>
      <c r="TGN133" s="105"/>
      <c r="TGO133" s="105"/>
      <c r="TGP133" s="105"/>
      <c r="TGQ133" s="105"/>
      <c r="TGR133" s="105"/>
      <c r="TGS133" s="105"/>
      <c r="TGT133" s="105"/>
      <c r="TGU133" s="105"/>
      <c r="TGV133" s="105"/>
      <c r="TGW133" s="105"/>
      <c r="TGX133" s="105"/>
      <c r="TGY133" s="105"/>
      <c r="TGZ133" s="105"/>
      <c r="THA133" s="105"/>
      <c r="THB133" s="105"/>
      <c r="THC133" s="105"/>
      <c r="THD133" s="105"/>
      <c r="THE133" s="105"/>
      <c r="THF133" s="105"/>
      <c r="THG133" s="105"/>
      <c r="THH133" s="105"/>
      <c r="THI133" s="105"/>
      <c r="THJ133" s="105"/>
      <c r="THK133" s="105"/>
      <c r="THL133" s="105"/>
      <c r="THM133" s="105"/>
      <c r="THN133" s="105"/>
      <c r="THO133" s="105"/>
      <c r="THP133" s="105"/>
      <c r="THQ133" s="105"/>
      <c r="THR133" s="105"/>
      <c r="THS133" s="105"/>
      <c r="THT133" s="105"/>
      <c r="THU133" s="105"/>
      <c r="THV133" s="105"/>
      <c r="THW133" s="105"/>
      <c r="THX133" s="105"/>
      <c r="THY133" s="105"/>
      <c r="THZ133" s="105"/>
      <c r="TIA133" s="105"/>
      <c r="TIB133" s="105"/>
      <c r="TIC133" s="105"/>
      <c r="TID133" s="105"/>
      <c r="TIE133" s="105"/>
      <c r="TIF133" s="105"/>
      <c r="TIG133" s="105"/>
      <c r="TIH133" s="105"/>
      <c r="TII133" s="105"/>
      <c r="TIJ133" s="105"/>
      <c r="TIK133" s="105"/>
      <c r="TIL133" s="105"/>
      <c r="TIM133" s="105"/>
      <c r="TIN133" s="105"/>
      <c r="TIO133" s="105"/>
      <c r="TIP133" s="105"/>
      <c r="TIQ133" s="105"/>
      <c r="TIR133" s="105"/>
      <c r="TIS133" s="105"/>
      <c r="TIT133" s="105"/>
      <c r="TIU133" s="105"/>
      <c r="TIV133" s="105"/>
      <c r="TIW133" s="105"/>
      <c r="TIX133" s="105"/>
      <c r="TIY133" s="105"/>
      <c r="TIZ133" s="105"/>
      <c r="TJA133" s="105"/>
      <c r="TJB133" s="105"/>
      <c r="TJC133" s="105"/>
      <c r="TJD133" s="105"/>
      <c r="TJE133" s="105"/>
      <c r="TJF133" s="105"/>
      <c r="TJG133" s="105"/>
      <c r="TJH133" s="105"/>
      <c r="TJI133" s="105"/>
      <c r="TJJ133" s="105"/>
      <c r="TJK133" s="105"/>
      <c r="TJL133" s="105"/>
      <c r="TJM133" s="105"/>
      <c r="TJN133" s="105"/>
      <c r="TJO133" s="105"/>
      <c r="TJP133" s="105"/>
      <c r="TJQ133" s="105"/>
      <c r="TJR133" s="105"/>
      <c r="TJS133" s="105"/>
      <c r="TJT133" s="105"/>
      <c r="TJU133" s="105"/>
      <c r="TJV133" s="105"/>
      <c r="TJW133" s="105"/>
      <c r="TJX133" s="105"/>
      <c r="TJY133" s="105"/>
      <c r="TJZ133" s="105"/>
      <c r="TKA133" s="105"/>
      <c r="TKB133" s="105"/>
      <c r="TKC133" s="105"/>
      <c r="TKD133" s="105"/>
      <c r="TKE133" s="105"/>
      <c r="TKF133" s="105"/>
      <c r="TKG133" s="105"/>
      <c r="TKH133" s="105"/>
      <c r="TKI133" s="105"/>
      <c r="TKJ133" s="105"/>
      <c r="TKK133" s="105"/>
      <c r="TKL133" s="105"/>
      <c r="TKM133" s="105"/>
      <c r="TKN133" s="105"/>
      <c r="TKO133" s="105"/>
      <c r="TKP133" s="105"/>
      <c r="TKQ133" s="105"/>
      <c r="TKR133" s="105"/>
      <c r="TKS133" s="105"/>
      <c r="TKT133" s="105"/>
      <c r="TKU133" s="105"/>
      <c r="TKV133" s="105"/>
      <c r="TKW133" s="105"/>
      <c r="TKX133" s="105"/>
      <c r="TKY133" s="105"/>
      <c r="TKZ133" s="105"/>
      <c r="TLA133" s="105"/>
      <c r="TLB133" s="105"/>
      <c r="TLC133" s="105"/>
      <c r="TLD133" s="105"/>
      <c r="TLE133" s="105"/>
      <c r="TLF133" s="105"/>
      <c r="TLG133" s="105"/>
      <c r="TLH133" s="105"/>
      <c r="TLI133" s="105"/>
      <c r="TLJ133" s="105"/>
      <c r="TLK133" s="105"/>
      <c r="TLL133" s="105"/>
      <c r="TLM133" s="105"/>
      <c r="TLN133" s="105"/>
      <c r="TLO133" s="105"/>
      <c r="TLP133" s="105"/>
      <c r="TLQ133" s="105"/>
      <c r="TLR133" s="105"/>
      <c r="TLS133" s="105"/>
      <c r="TLT133" s="105"/>
      <c r="TLU133" s="105"/>
      <c r="TLV133" s="105"/>
      <c r="TLW133" s="105"/>
      <c r="TLX133" s="105"/>
      <c r="TLY133" s="105"/>
      <c r="TLZ133" s="105"/>
      <c r="TMA133" s="105"/>
      <c r="TMB133" s="105"/>
      <c r="TMC133" s="105"/>
      <c r="TMD133" s="105"/>
      <c r="TME133" s="105"/>
      <c r="TMF133" s="105"/>
      <c r="TMG133" s="105"/>
      <c r="TMH133" s="105"/>
      <c r="TMI133" s="105"/>
      <c r="TMJ133" s="105"/>
      <c r="TMK133" s="105"/>
      <c r="TML133" s="105"/>
      <c r="TMM133" s="105"/>
      <c r="TMN133" s="105"/>
      <c r="TMO133" s="105"/>
      <c r="TMP133" s="105"/>
      <c r="TMQ133" s="105"/>
      <c r="TMR133" s="105"/>
      <c r="TMS133" s="105"/>
      <c r="TMT133" s="105"/>
      <c r="TMU133" s="105"/>
      <c r="TMV133" s="105"/>
      <c r="TMW133" s="105"/>
      <c r="TMX133" s="105"/>
      <c r="TMY133" s="105"/>
      <c r="TMZ133" s="105"/>
      <c r="TNA133" s="105"/>
      <c r="TNB133" s="105"/>
      <c r="TNC133" s="105"/>
      <c r="TND133" s="105"/>
      <c r="TNE133" s="105"/>
      <c r="TNF133" s="105"/>
      <c r="TNG133" s="105"/>
      <c r="TNH133" s="105"/>
      <c r="TNI133" s="105"/>
      <c r="TNJ133" s="105"/>
      <c r="TNK133" s="105"/>
      <c r="TNL133" s="105"/>
      <c r="TNM133" s="105"/>
      <c r="TNN133" s="105"/>
      <c r="TNO133" s="105"/>
      <c r="TNP133" s="105"/>
      <c r="TNQ133" s="105"/>
      <c r="TNR133" s="105"/>
      <c r="TNS133" s="105"/>
      <c r="TNT133" s="105"/>
      <c r="TNU133" s="105"/>
      <c r="TNV133" s="105"/>
      <c r="TNW133" s="105"/>
      <c r="TNX133" s="105"/>
      <c r="TNY133" s="105"/>
      <c r="TNZ133" s="105"/>
      <c r="TOA133" s="105"/>
      <c r="TOB133" s="105"/>
      <c r="TOC133" s="105"/>
      <c r="TOD133" s="105"/>
      <c r="TOE133" s="105"/>
      <c r="TOF133" s="105"/>
      <c r="TOG133" s="105"/>
      <c r="TOH133" s="105"/>
      <c r="TOI133" s="105"/>
      <c r="TOJ133" s="105"/>
      <c r="TOK133" s="105"/>
      <c r="TOL133" s="105"/>
      <c r="TOM133" s="105"/>
      <c r="TON133" s="105"/>
      <c r="TOO133" s="105"/>
      <c r="TOP133" s="105"/>
      <c r="TOQ133" s="105"/>
      <c r="TOR133" s="105"/>
      <c r="TOS133" s="105"/>
      <c r="TOT133" s="105"/>
      <c r="TOU133" s="105"/>
      <c r="TOV133" s="105"/>
      <c r="TOW133" s="105"/>
      <c r="TOX133" s="105"/>
      <c r="TOY133" s="105"/>
      <c r="TOZ133" s="105"/>
      <c r="TPA133" s="105"/>
      <c r="TPB133" s="105"/>
      <c r="TPC133" s="105"/>
      <c r="TPD133" s="105"/>
      <c r="TPE133" s="105"/>
      <c r="TPF133" s="105"/>
      <c r="TPG133" s="105"/>
      <c r="TPH133" s="105"/>
      <c r="TPI133" s="105"/>
      <c r="TPJ133" s="105"/>
      <c r="TPK133" s="105"/>
      <c r="TPL133" s="105"/>
      <c r="TPM133" s="105"/>
      <c r="TPN133" s="105"/>
      <c r="TPO133" s="105"/>
      <c r="TPP133" s="105"/>
      <c r="TPQ133" s="105"/>
      <c r="TPR133" s="105"/>
      <c r="TPS133" s="105"/>
      <c r="TPT133" s="105"/>
      <c r="TPU133" s="105"/>
      <c r="TPV133" s="105"/>
      <c r="TPW133" s="105"/>
      <c r="TPX133" s="105"/>
      <c r="TPY133" s="105"/>
      <c r="TPZ133" s="105"/>
      <c r="TQA133" s="105"/>
      <c r="TQB133" s="105"/>
      <c r="TQC133" s="105"/>
      <c r="TQD133" s="105"/>
      <c r="TQE133" s="105"/>
      <c r="TQF133" s="105"/>
      <c r="TQG133" s="105"/>
      <c r="TQH133" s="105"/>
      <c r="TQI133" s="105"/>
      <c r="TQJ133" s="105"/>
      <c r="TQK133" s="105"/>
      <c r="TQL133" s="105"/>
      <c r="TQM133" s="105"/>
      <c r="TQN133" s="105"/>
      <c r="TQO133" s="105"/>
      <c r="TQP133" s="105"/>
      <c r="TQQ133" s="105"/>
      <c r="TQR133" s="105"/>
      <c r="TQS133" s="105"/>
      <c r="TQT133" s="105"/>
      <c r="TQU133" s="105"/>
      <c r="TQV133" s="105"/>
      <c r="TQW133" s="105"/>
      <c r="TQX133" s="105"/>
      <c r="TQY133" s="105"/>
      <c r="TQZ133" s="105"/>
      <c r="TRA133" s="105"/>
      <c r="TRB133" s="105"/>
      <c r="TRC133" s="105"/>
      <c r="TRD133" s="105"/>
      <c r="TRE133" s="105"/>
      <c r="TRF133" s="105"/>
      <c r="TRG133" s="105"/>
      <c r="TRH133" s="105"/>
      <c r="TRI133" s="105"/>
      <c r="TRJ133" s="105"/>
      <c r="TRK133" s="105"/>
      <c r="TRL133" s="105"/>
      <c r="TRM133" s="105"/>
      <c r="TRN133" s="105"/>
      <c r="TRO133" s="105"/>
      <c r="TRP133" s="105"/>
      <c r="TRQ133" s="105"/>
      <c r="TRR133" s="105"/>
      <c r="TRS133" s="105"/>
      <c r="TRT133" s="105"/>
      <c r="TRU133" s="105"/>
      <c r="TRV133" s="105"/>
      <c r="TRW133" s="105"/>
      <c r="TRX133" s="105"/>
      <c r="TRY133" s="105"/>
      <c r="TRZ133" s="105"/>
      <c r="TSA133" s="105"/>
      <c r="TSB133" s="105"/>
      <c r="TSC133" s="105"/>
      <c r="TSD133" s="105"/>
      <c r="TSE133" s="105"/>
      <c r="TSF133" s="105"/>
      <c r="TSG133" s="105"/>
      <c r="TSH133" s="105"/>
      <c r="TSI133" s="105"/>
      <c r="TSJ133" s="105"/>
      <c r="TSK133" s="105"/>
      <c r="TSL133" s="105"/>
      <c r="TSM133" s="105"/>
      <c r="TSN133" s="105"/>
      <c r="TSO133" s="105"/>
      <c r="TSP133" s="105"/>
      <c r="TSQ133" s="105"/>
      <c r="TSR133" s="105"/>
      <c r="TSS133" s="105"/>
      <c r="TST133" s="105"/>
      <c r="TSU133" s="105"/>
      <c r="TSV133" s="105"/>
      <c r="TSW133" s="105"/>
      <c r="TSX133" s="105"/>
      <c r="TSY133" s="105"/>
      <c r="TSZ133" s="105"/>
      <c r="TTA133" s="105"/>
      <c r="TTB133" s="105"/>
      <c r="TTC133" s="105"/>
      <c r="TTD133" s="105"/>
      <c r="TTE133" s="105"/>
      <c r="TTF133" s="105"/>
      <c r="TTG133" s="105"/>
      <c r="TTH133" s="105"/>
      <c r="TTI133" s="105"/>
      <c r="TTJ133" s="105"/>
      <c r="TTK133" s="105"/>
      <c r="TTL133" s="105"/>
      <c r="TTM133" s="105"/>
      <c r="TTN133" s="105"/>
      <c r="TTO133" s="105"/>
      <c r="TTP133" s="105"/>
      <c r="TTQ133" s="105"/>
      <c r="TTR133" s="105"/>
      <c r="TTS133" s="105"/>
      <c r="TTT133" s="105"/>
      <c r="TTU133" s="105"/>
      <c r="TTV133" s="105"/>
      <c r="TTW133" s="105"/>
      <c r="TTX133" s="105"/>
      <c r="TTY133" s="105"/>
      <c r="TTZ133" s="105"/>
      <c r="TUA133" s="105"/>
      <c r="TUB133" s="105"/>
      <c r="TUC133" s="105"/>
      <c r="TUD133" s="105"/>
      <c r="TUE133" s="105"/>
      <c r="TUF133" s="105"/>
      <c r="TUG133" s="105"/>
      <c r="TUH133" s="105"/>
      <c r="TUI133" s="105"/>
      <c r="TUJ133" s="105"/>
      <c r="TUK133" s="105"/>
      <c r="TUL133" s="105"/>
      <c r="TUM133" s="105"/>
      <c r="TUN133" s="105"/>
      <c r="TUO133" s="105"/>
      <c r="TUP133" s="105"/>
      <c r="TUQ133" s="105"/>
      <c r="TUR133" s="105"/>
      <c r="TUS133" s="105"/>
      <c r="TUT133" s="105"/>
      <c r="TUU133" s="105"/>
      <c r="TUV133" s="105"/>
      <c r="TUW133" s="105"/>
      <c r="TUX133" s="105"/>
      <c r="TUY133" s="105"/>
      <c r="TUZ133" s="105"/>
      <c r="TVA133" s="105"/>
      <c r="TVB133" s="105"/>
      <c r="TVC133" s="105"/>
      <c r="TVD133" s="105"/>
      <c r="TVE133" s="105"/>
      <c r="TVF133" s="105"/>
      <c r="TVG133" s="105"/>
      <c r="TVH133" s="105"/>
      <c r="TVI133" s="105"/>
      <c r="TVJ133" s="105"/>
      <c r="TVK133" s="105"/>
      <c r="TVL133" s="105"/>
      <c r="TVM133" s="105"/>
      <c r="TVN133" s="105"/>
      <c r="TVO133" s="105"/>
      <c r="TVP133" s="105"/>
      <c r="TVQ133" s="105"/>
      <c r="TVR133" s="105"/>
      <c r="TVS133" s="105"/>
      <c r="TVT133" s="105"/>
      <c r="TVU133" s="105"/>
      <c r="TVV133" s="105"/>
      <c r="TVW133" s="105"/>
      <c r="TVX133" s="105"/>
      <c r="TVY133" s="105"/>
      <c r="TVZ133" s="105"/>
      <c r="TWA133" s="105"/>
      <c r="TWB133" s="105"/>
      <c r="TWC133" s="105"/>
      <c r="TWD133" s="105"/>
      <c r="TWE133" s="105"/>
      <c r="TWF133" s="105"/>
      <c r="TWG133" s="105"/>
      <c r="TWH133" s="105"/>
      <c r="TWI133" s="105"/>
      <c r="TWJ133" s="105"/>
      <c r="TWK133" s="105"/>
      <c r="TWL133" s="105"/>
      <c r="TWM133" s="105"/>
      <c r="TWN133" s="105"/>
      <c r="TWO133" s="105"/>
      <c r="TWP133" s="105"/>
      <c r="TWQ133" s="105"/>
      <c r="TWR133" s="105"/>
      <c r="TWS133" s="105"/>
      <c r="TWT133" s="105"/>
      <c r="TWU133" s="105"/>
      <c r="TWV133" s="105"/>
      <c r="TWW133" s="105"/>
      <c r="TWX133" s="105"/>
      <c r="TWY133" s="105"/>
      <c r="TWZ133" s="105"/>
      <c r="TXA133" s="105"/>
      <c r="TXB133" s="105"/>
      <c r="TXC133" s="105"/>
      <c r="TXD133" s="105"/>
      <c r="TXE133" s="105"/>
      <c r="TXF133" s="105"/>
      <c r="TXG133" s="105"/>
      <c r="TXH133" s="105"/>
      <c r="TXI133" s="105"/>
      <c r="TXJ133" s="105"/>
      <c r="TXK133" s="105"/>
      <c r="TXL133" s="105"/>
      <c r="TXM133" s="105"/>
      <c r="TXN133" s="105"/>
      <c r="TXO133" s="105"/>
      <c r="TXP133" s="105"/>
      <c r="TXQ133" s="105"/>
      <c r="TXR133" s="105"/>
      <c r="TXS133" s="105"/>
      <c r="TXT133" s="105"/>
      <c r="TXU133" s="105"/>
      <c r="TXV133" s="105"/>
      <c r="TXW133" s="105"/>
      <c r="TXX133" s="105"/>
      <c r="TXY133" s="105"/>
      <c r="TXZ133" s="105"/>
      <c r="TYA133" s="105"/>
      <c r="TYB133" s="105"/>
      <c r="TYC133" s="105"/>
      <c r="TYD133" s="105"/>
      <c r="TYE133" s="105"/>
      <c r="TYF133" s="105"/>
      <c r="TYG133" s="105"/>
      <c r="TYH133" s="105"/>
      <c r="TYI133" s="105"/>
      <c r="TYJ133" s="105"/>
      <c r="TYK133" s="105"/>
      <c r="TYL133" s="105"/>
      <c r="TYM133" s="105"/>
      <c r="TYN133" s="105"/>
      <c r="TYO133" s="105"/>
      <c r="TYP133" s="105"/>
      <c r="TYQ133" s="105"/>
      <c r="TYR133" s="105"/>
      <c r="TYS133" s="105"/>
      <c r="TYT133" s="105"/>
      <c r="TYU133" s="105"/>
      <c r="TYV133" s="105"/>
      <c r="TYW133" s="105"/>
      <c r="TYX133" s="105"/>
      <c r="TYY133" s="105"/>
      <c r="TYZ133" s="105"/>
      <c r="TZA133" s="105"/>
      <c r="TZB133" s="105"/>
      <c r="TZC133" s="105"/>
      <c r="TZD133" s="105"/>
      <c r="TZE133" s="105"/>
      <c r="TZF133" s="105"/>
      <c r="TZG133" s="105"/>
      <c r="TZH133" s="105"/>
      <c r="TZI133" s="105"/>
      <c r="TZJ133" s="105"/>
      <c r="TZK133" s="105"/>
      <c r="TZL133" s="105"/>
      <c r="TZM133" s="105"/>
      <c r="TZN133" s="105"/>
      <c r="TZO133" s="105"/>
      <c r="TZP133" s="105"/>
      <c r="TZQ133" s="105"/>
      <c r="TZR133" s="105"/>
      <c r="TZS133" s="105"/>
      <c r="TZT133" s="105"/>
      <c r="TZU133" s="105"/>
      <c r="TZV133" s="105"/>
      <c r="TZW133" s="105"/>
      <c r="TZX133" s="105"/>
      <c r="TZY133" s="105"/>
      <c r="TZZ133" s="105"/>
      <c r="UAA133" s="105"/>
      <c r="UAB133" s="105"/>
      <c r="UAC133" s="105"/>
      <c r="UAD133" s="105"/>
      <c r="UAE133" s="105"/>
      <c r="UAF133" s="105"/>
      <c r="UAG133" s="105"/>
      <c r="UAH133" s="105"/>
      <c r="UAI133" s="105"/>
      <c r="UAJ133" s="105"/>
      <c r="UAK133" s="105"/>
      <c r="UAL133" s="105"/>
      <c r="UAM133" s="105"/>
      <c r="UAN133" s="105"/>
      <c r="UAO133" s="105"/>
      <c r="UAP133" s="105"/>
      <c r="UAQ133" s="105"/>
      <c r="UAR133" s="105"/>
      <c r="UAS133" s="105"/>
      <c r="UAT133" s="105"/>
      <c r="UAU133" s="105"/>
      <c r="UAV133" s="105"/>
      <c r="UAW133" s="105"/>
      <c r="UAX133" s="105"/>
      <c r="UAY133" s="105"/>
      <c r="UAZ133" s="105"/>
      <c r="UBA133" s="105"/>
      <c r="UBB133" s="105"/>
      <c r="UBC133" s="105"/>
      <c r="UBD133" s="105"/>
      <c r="UBE133" s="105"/>
      <c r="UBF133" s="105"/>
      <c r="UBG133" s="105"/>
      <c r="UBH133" s="105"/>
      <c r="UBI133" s="105"/>
      <c r="UBJ133" s="105"/>
      <c r="UBK133" s="105"/>
      <c r="UBL133" s="105"/>
      <c r="UBM133" s="105"/>
      <c r="UBN133" s="105"/>
      <c r="UBO133" s="105"/>
      <c r="UBP133" s="105"/>
      <c r="UBQ133" s="105"/>
      <c r="UBR133" s="105"/>
      <c r="UBS133" s="105"/>
      <c r="UBT133" s="105"/>
      <c r="UBU133" s="105"/>
      <c r="UBV133" s="105"/>
      <c r="UBW133" s="105"/>
      <c r="UBX133" s="105"/>
      <c r="UBY133" s="105"/>
      <c r="UBZ133" s="105"/>
      <c r="UCA133" s="105"/>
      <c r="UCB133" s="105"/>
      <c r="UCC133" s="105"/>
      <c r="UCD133" s="105"/>
      <c r="UCE133" s="105"/>
      <c r="UCF133" s="105"/>
      <c r="UCG133" s="105"/>
      <c r="UCH133" s="105"/>
      <c r="UCI133" s="105"/>
      <c r="UCJ133" s="105"/>
      <c r="UCK133" s="105"/>
      <c r="UCL133" s="105"/>
      <c r="UCM133" s="105"/>
      <c r="UCN133" s="105"/>
      <c r="UCO133" s="105"/>
      <c r="UCP133" s="105"/>
      <c r="UCQ133" s="105"/>
      <c r="UCR133" s="105"/>
      <c r="UCS133" s="105"/>
      <c r="UCT133" s="105"/>
      <c r="UCU133" s="105"/>
      <c r="UCV133" s="105"/>
      <c r="UCW133" s="105"/>
      <c r="UCX133" s="105"/>
      <c r="UCY133" s="105"/>
      <c r="UCZ133" s="105"/>
      <c r="UDA133" s="105"/>
      <c r="UDB133" s="105"/>
      <c r="UDC133" s="105"/>
      <c r="UDD133" s="105"/>
      <c r="UDE133" s="105"/>
      <c r="UDF133" s="105"/>
      <c r="UDG133" s="105"/>
      <c r="UDH133" s="105"/>
      <c r="UDI133" s="105"/>
      <c r="UDJ133" s="105"/>
      <c r="UDK133" s="105"/>
      <c r="UDL133" s="105"/>
      <c r="UDM133" s="105"/>
      <c r="UDN133" s="105"/>
      <c r="UDO133" s="105"/>
      <c r="UDP133" s="105"/>
      <c r="UDQ133" s="105"/>
      <c r="UDR133" s="105"/>
      <c r="UDS133" s="105"/>
      <c r="UDT133" s="105"/>
      <c r="UDU133" s="105"/>
      <c r="UDV133" s="105"/>
      <c r="UDW133" s="105"/>
      <c r="UDX133" s="105"/>
      <c r="UDY133" s="105"/>
      <c r="UDZ133" s="105"/>
      <c r="UEA133" s="105"/>
      <c r="UEB133" s="105"/>
      <c r="UEC133" s="105"/>
      <c r="UED133" s="105"/>
      <c r="UEE133" s="105"/>
      <c r="UEF133" s="105"/>
      <c r="UEG133" s="105"/>
      <c r="UEH133" s="105"/>
      <c r="UEI133" s="105"/>
      <c r="UEJ133" s="105"/>
      <c r="UEK133" s="105"/>
      <c r="UEL133" s="105"/>
      <c r="UEM133" s="105"/>
      <c r="UEN133" s="105"/>
      <c r="UEO133" s="105"/>
      <c r="UEP133" s="105"/>
      <c r="UEQ133" s="105"/>
      <c r="UER133" s="105"/>
      <c r="UES133" s="105"/>
      <c r="UET133" s="105"/>
      <c r="UEU133" s="105"/>
      <c r="UEV133" s="105"/>
      <c r="UEW133" s="105"/>
      <c r="UEX133" s="105"/>
      <c r="UEY133" s="105"/>
      <c r="UEZ133" s="105"/>
      <c r="UFA133" s="105"/>
      <c r="UFB133" s="105"/>
      <c r="UFC133" s="105"/>
      <c r="UFD133" s="105"/>
      <c r="UFE133" s="105"/>
      <c r="UFF133" s="105"/>
      <c r="UFG133" s="105"/>
      <c r="UFH133" s="105"/>
      <c r="UFI133" s="105"/>
      <c r="UFJ133" s="105"/>
      <c r="UFK133" s="105"/>
      <c r="UFL133" s="105"/>
      <c r="UFM133" s="105"/>
      <c r="UFN133" s="105"/>
      <c r="UFO133" s="105"/>
      <c r="UFP133" s="105"/>
      <c r="UFQ133" s="105"/>
      <c r="UFR133" s="105"/>
      <c r="UFS133" s="105"/>
      <c r="UFT133" s="105"/>
      <c r="UFU133" s="105"/>
      <c r="UFV133" s="105"/>
      <c r="UFW133" s="105"/>
      <c r="UFX133" s="105"/>
      <c r="UFY133" s="105"/>
      <c r="UFZ133" s="105"/>
      <c r="UGA133" s="105"/>
      <c r="UGB133" s="105"/>
      <c r="UGC133" s="105"/>
      <c r="UGD133" s="105"/>
      <c r="UGE133" s="105"/>
      <c r="UGF133" s="105"/>
      <c r="UGG133" s="105"/>
      <c r="UGH133" s="105"/>
      <c r="UGI133" s="105"/>
      <c r="UGJ133" s="105"/>
      <c r="UGK133" s="105"/>
      <c r="UGL133" s="105"/>
      <c r="UGM133" s="105"/>
      <c r="UGN133" s="105"/>
      <c r="UGO133" s="105"/>
      <c r="UGP133" s="105"/>
      <c r="UGQ133" s="105"/>
      <c r="UGR133" s="105"/>
      <c r="UGS133" s="105"/>
      <c r="UGT133" s="105"/>
      <c r="UGU133" s="105"/>
      <c r="UGV133" s="105"/>
      <c r="UGW133" s="105"/>
      <c r="UGX133" s="105"/>
      <c r="UGY133" s="105"/>
      <c r="UGZ133" s="105"/>
      <c r="UHA133" s="105"/>
      <c r="UHB133" s="105"/>
      <c r="UHC133" s="105"/>
      <c r="UHD133" s="105"/>
      <c r="UHE133" s="105"/>
      <c r="UHF133" s="105"/>
      <c r="UHG133" s="105"/>
      <c r="UHH133" s="105"/>
      <c r="UHI133" s="105"/>
      <c r="UHJ133" s="105"/>
      <c r="UHK133" s="105"/>
      <c r="UHL133" s="105"/>
      <c r="UHM133" s="105"/>
      <c r="UHN133" s="105"/>
      <c r="UHO133" s="105"/>
      <c r="UHP133" s="105"/>
      <c r="UHQ133" s="105"/>
      <c r="UHR133" s="105"/>
      <c r="UHS133" s="105"/>
      <c r="UHT133" s="105"/>
      <c r="UHU133" s="105"/>
      <c r="UHV133" s="105"/>
      <c r="UHW133" s="105"/>
      <c r="UHX133" s="105"/>
      <c r="UHY133" s="105"/>
      <c r="UHZ133" s="105"/>
      <c r="UIA133" s="105"/>
      <c r="UIB133" s="105"/>
      <c r="UIC133" s="105"/>
      <c r="UID133" s="105"/>
      <c r="UIE133" s="105"/>
      <c r="UIF133" s="105"/>
      <c r="UIG133" s="105"/>
      <c r="UIH133" s="105"/>
      <c r="UII133" s="105"/>
      <c r="UIJ133" s="105"/>
      <c r="UIK133" s="105"/>
      <c r="UIL133" s="105"/>
      <c r="UIM133" s="105"/>
      <c r="UIN133" s="105"/>
      <c r="UIO133" s="105"/>
      <c r="UIP133" s="105"/>
      <c r="UIQ133" s="105"/>
      <c r="UIR133" s="105"/>
      <c r="UIS133" s="105"/>
      <c r="UIT133" s="105"/>
      <c r="UIU133" s="105"/>
      <c r="UIV133" s="105"/>
      <c r="UIW133" s="105"/>
      <c r="UIX133" s="105"/>
      <c r="UIY133" s="105"/>
      <c r="UIZ133" s="105"/>
      <c r="UJA133" s="105"/>
      <c r="UJB133" s="105"/>
      <c r="UJC133" s="105"/>
      <c r="UJD133" s="105"/>
      <c r="UJE133" s="105"/>
      <c r="UJF133" s="105"/>
      <c r="UJG133" s="105"/>
      <c r="UJH133" s="105"/>
      <c r="UJI133" s="105"/>
      <c r="UJJ133" s="105"/>
      <c r="UJK133" s="105"/>
      <c r="UJL133" s="105"/>
      <c r="UJM133" s="105"/>
      <c r="UJN133" s="105"/>
      <c r="UJO133" s="105"/>
      <c r="UJP133" s="105"/>
      <c r="UJQ133" s="105"/>
      <c r="UJR133" s="105"/>
      <c r="UJS133" s="105"/>
      <c r="UJT133" s="105"/>
      <c r="UJU133" s="105"/>
      <c r="UJV133" s="105"/>
      <c r="UJW133" s="105"/>
      <c r="UJX133" s="105"/>
      <c r="UJY133" s="105"/>
      <c r="UJZ133" s="105"/>
      <c r="UKA133" s="105"/>
      <c r="UKB133" s="105"/>
      <c r="UKC133" s="105"/>
      <c r="UKD133" s="105"/>
      <c r="UKE133" s="105"/>
      <c r="UKF133" s="105"/>
      <c r="UKG133" s="105"/>
      <c r="UKH133" s="105"/>
      <c r="UKI133" s="105"/>
      <c r="UKJ133" s="105"/>
      <c r="UKK133" s="105"/>
      <c r="UKL133" s="105"/>
      <c r="UKM133" s="105"/>
      <c r="UKN133" s="105"/>
      <c r="UKO133" s="105"/>
      <c r="UKP133" s="105"/>
      <c r="UKQ133" s="105"/>
      <c r="UKR133" s="105"/>
      <c r="UKS133" s="105"/>
      <c r="UKT133" s="105"/>
      <c r="UKU133" s="105"/>
      <c r="UKV133" s="105"/>
      <c r="UKW133" s="105"/>
      <c r="UKX133" s="105"/>
      <c r="UKY133" s="105"/>
      <c r="UKZ133" s="105"/>
      <c r="ULA133" s="105"/>
      <c r="ULB133" s="105"/>
      <c r="ULC133" s="105"/>
      <c r="ULD133" s="105"/>
      <c r="ULE133" s="105"/>
      <c r="ULF133" s="105"/>
      <c r="ULG133" s="105"/>
      <c r="ULH133" s="105"/>
      <c r="ULI133" s="105"/>
      <c r="ULJ133" s="105"/>
      <c r="ULK133" s="105"/>
      <c r="ULL133" s="105"/>
      <c r="ULM133" s="105"/>
      <c r="ULN133" s="105"/>
      <c r="ULO133" s="105"/>
      <c r="ULP133" s="105"/>
      <c r="ULQ133" s="105"/>
      <c r="ULR133" s="105"/>
      <c r="ULS133" s="105"/>
      <c r="ULT133" s="105"/>
      <c r="ULU133" s="105"/>
      <c r="ULV133" s="105"/>
      <c r="ULW133" s="105"/>
      <c r="ULX133" s="105"/>
      <c r="ULY133" s="105"/>
      <c r="ULZ133" s="105"/>
      <c r="UMA133" s="105"/>
      <c r="UMB133" s="105"/>
      <c r="UMC133" s="105"/>
      <c r="UMD133" s="105"/>
      <c r="UME133" s="105"/>
      <c r="UMF133" s="105"/>
      <c r="UMG133" s="105"/>
      <c r="UMH133" s="105"/>
      <c r="UMI133" s="105"/>
      <c r="UMJ133" s="105"/>
      <c r="UMK133" s="105"/>
      <c r="UML133" s="105"/>
      <c r="UMM133" s="105"/>
      <c r="UMN133" s="105"/>
      <c r="UMO133" s="105"/>
      <c r="UMP133" s="105"/>
      <c r="UMQ133" s="105"/>
      <c r="UMR133" s="105"/>
      <c r="UMS133" s="105"/>
      <c r="UMT133" s="105"/>
      <c r="UMU133" s="105"/>
      <c r="UMV133" s="105"/>
      <c r="UMW133" s="105"/>
      <c r="UMX133" s="105"/>
      <c r="UMY133" s="105"/>
      <c r="UMZ133" s="105"/>
      <c r="UNA133" s="105"/>
      <c r="UNB133" s="105"/>
      <c r="UNC133" s="105"/>
      <c r="UND133" s="105"/>
      <c r="UNE133" s="105"/>
      <c r="UNF133" s="105"/>
      <c r="UNG133" s="105"/>
      <c r="UNH133" s="105"/>
      <c r="UNI133" s="105"/>
      <c r="UNJ133" s="105"/>
      <c r="UNK133" s="105"/>
      <c r="UNL133" s="105"/>
      <c r="UNM133" s="105"/>
      <c r="UNN133" s="105"/>
      <c r="UNO133" s="105"/>
      <c r="UNP133" s="105"/>
      <c r="UNQ133" s="105"/>
      <c r="UNR133" s="105"/>
      <c r="UNS133" s="105"/>
      <c r="UNT133" s="105"/>
      <c r="UNU133" s="105"/>
      <c r="UNV133" s="105"/>
      <c r="UNW133" s="105"/>
      <c r="UNX133" s="105"/>
      <c r="UNY133" s="105"/>
      <c r="UNZ133" s="105"/>
      <c r="UOA133" s="105"/>
      <c r="UOB133" s="105"/>
      <c r="UOC133" s="105"/>
      <c r="UOD133" s="105"/>
      <c r="UOE133" s="105"/>
      <c r="UOF133" s="105"/>
      <c r="UOG133" s="105"/>
      <c r="UOH133" s="105"/>
      <c r="UOI133" s="105"/>
      <c r="UOJ133" s="105"/>
      <c r="UOK133" s="105"/>
      <c r="UOL133" s="105"/>
      <c r="UOM133" s="105"/>
      <c r="UON133" s="105"/>
      <c r="UOO133" s="105"/>
      <c r="UOP133" s="105"/>
      <c r="UOQ133" s="105"/>
      <c r="UOR133" s="105"/>
      <c r="UOS133" s="105"/>
      <c r="UOT133" s="105"/>
      <c r="UOU133" s="105"/>
      <c r="UOV133" s="105"/>
      <c r="UOW133" s="105"/>
      <c r="UOX133" s="105"/>
      <c r="UOY133" s="105"/>
      <c r="UOZ133" s="105"/>
      <c r="UPA133" s="105"/>
      <c r="UPB133" s="105"/>
      <c r="UPC133" s="105"/>
      <c r="UPD133" s="105"/>
      <c r="UPE133" s="105"/>
      <c r="UPF133" s="105"/>
      <c r="UPG133" s="105"/>
      <c r="UPH133" s="105"/>
      <c r="UPI133" s="105"/>
      <c r="UPJ133" s="105"/>
      <c r="UPK133" s="105"/>
      <c r="UPL133" s="105"/>
      <c r="UPM133" s="105"/>
      <c r="UPN133" s="105"/>
      <c r="UPO133" s="105"/>
      <c r="UPP133" s="105"/>
      <c r="UPQ133" s="105"/>
      <c r="UPR133" s="105"/>
      <c r="UPS133" s="105"/>
      <c r="UPT133" s="105"/>
      <c r="UPU133" s="105"/>
      <c r="UPV133" s="105"/>
      <c r="UPW133" s="105"/>
      <c r="UPX133" s="105"/>
      <c r="UPY133" s="105"/>
      <c r="UPZ133" s="105"/>
      <c r="UQA133" s="105"/>
      <c r="UQB133" s="105"/>
      <c r="UQC133" s="105"/>
      <c r="UQD133" s="105"/>
      <c r="UQE133" s="105"/>
      <c r="UQF133" s="105"/>
      <c r="UQG133" s="105"/>
      <c r="UQH133" s="105"/>
      <c r="UQI133" s="105"/>
      <c r="UQJ133" s="105"/>
      <c r="UQK133" s="105"/>
      <c r="UQL133" s="105"/>
      <c r="UQM133" s="105"/>
      <c r="UQN133" s="105"/>
      <c r="UQO133" s="105"/>
      <c r="UQP133" s="105"/>
      <c r="UQQ133" s="105"/>
      <c r="UQR133" s="105"/>
      <c r="UQS133" s="105"/>
      <c r="UQT133" s="105"/>
      <c r="UQU133" s="105"/>
      <c r="UQV133" s="105"/>
      <c r="UQW133" s="105"/>
      <c r="UQX133" s="105"/>
      <c r="UQY133" s="105"/>
      <c r="UQZ133" s="105"/>
      <c r="URA133" s="105"/>
      <c r="URB133" s="105"/>
      <c r="URC133" s="105"/>
      <c r="URD133" s="105"/>
      <c r="URE133" s="105"/>
      <c r="URF133" s="105"/>
      <c r="URG133" s="105"/>
      <c r="URH133" s="105"/>
      <c r="URI133" s="105"/>
      <c r="URJ133" s="105"/>
      <c r="URK133" s="105"/>
      <c r="URL133" s="105"/>
      <c r="URM133" s="105"/>
      <c r="URN133" s="105"/>
      <c r="URO133" s="105"/>
      <c r="URP133" s="105"/>
      <c r="URQ133" s="105"/>
      <c r="URR133" s="105"/>
      <c r="URS133" s="105"/>
      <c r="URT133" s="105"/>
      <c r="URU133" s="105"/>
      <c r="URV133" s="105"/>
      <c r="URW133" s="105"/>
      <c r="URX133" s="105"/>
      <c r="URY133" s="105"/>
      <c r="URZ133" s="105"/>
      <c r="USA133" s="105"/>
      <c r="USB133" s="105"/>
      <c r="USC133" s="105"/>
      <c r="USD133" s="105"/>
      <c r="USE133" s="105"/>
      <c r="USF133" s="105"/>
      <c r="USG133" s="105"/>
      <c r="USH133" s="105"/>
      <c r="USI133" s="105"/>
      <c r="USJ133" s="105"/>
      <c r="USK133" s="105"/>
      <c r="USL133" s="105"/>
      <c r="USM133" s="105"/>
      <c r="USN133" s="105"/>
      <c r="USO133" s="105"/>
      <c r="USP133" s="105"/>
      <c r="USQ133" s="105"/>
      <c r="USR133" s="105"/>
      <c r="USS133" s="105"/>
      <c r="UST133" s="105"/>
      <c r="USU133" s="105"/>
      <c r="USV133" s="105"/>
      <c r="USW133" s="105"/>
      <c r="USX133" s="105"/>
      <c r="USY133" s="105"/>
      <c r="USZ133" s="105"/>
      <c r="UTA133" s="105"/>
      <c r="UTB133" s="105"/>
      <c r="UTC133" s="105"/>
      <c r="UTD133" s="105"/>
      <c r="UTE133" s="105"/>
      <c r="UTF133" s="105"/>
      <c r="UTG133" s="105"/>
      <c r="UTH133" s="105"/>
      <c r="UTI133" s="105"/>
      <c r="UTJ133" s="105"/>
      <c r="UTK133" s="105"/>
      <c r="UTL133" s="105"/>
      <c r="UTM133" s="105"/>
      <c r="UTN133" s="105"/>
      <c r="UTO133" s="105"/>
      <c r="UTP133" s="105"/>
      <c r="UTQ133" s="105"/>
      <c r="UTR133" s="105"/>
      <c r="UTS133" s="105"/>
      <c r="UTT133" s="105"/>
      <c r="UTU133" s="105"/>
      <c r="UTV133" s="105"/>
      <c r="UTW133" s="105"/>
      <c r="UTX133" s="105"/>
      <c r="UTY133" s="105"/>
      <c r="UTZ133" s="105"/>
      <c r="UUA133" s="105"/>
      <c r="UUB133" s="105"/>
      <c r="UUC133" s="105"/>
      <c r="UUD133" s="105"/>
      <c r="UUE133" s="105"/>
      <c r="UUF133" s="105"/>
      <c r="UUG133" s="105"/>
      <c r="UUH133" s="105"/>
      <c r="UUI133" s="105"/>
      <c r="UUJ133" s="105"/>
      <c r="UUK133" s="105"/>
      <c r="UUL133" s="105"/>
      <c r="UUM133" s="105"/>
      <c r="UUN133" s="105"/>
      <c r="UUO133" s="105"/>
      <c r="UUP133" s="105"/>
      <c r="UUQ133" s="105"/>
      <c r="UUR133" s="105"/>
      <c r="UUS133" s="105"/>
      <c r="UUT133" s="105"/>
      <c r="UUU133" s="105"/>
      <c r="UUV133" s="105"/>
      <c r="UUW133" s="105"/>
      <c r="UUX133" s="105"/>
      <c r="UUY133" s="105"/>
      <c r="UUZ133" s="105"/>
      <c r="UVA133" s="105"/>
      <c r="UVB133" s="105"/>
      <c r="UVC133" s="105"/>
      <c r="UVD133" s="105"/>
      <c r="UVE133" s="105"/>
      <c r="UVF133" s="105"/>
      <c r="UVG133" s="105"/>
      <c r="UVH133" s="105"/>
      <c r="UVI133" s="105"/>
      <c r="UVJ133" s="105"/>
      <c r="UVK133" s="105"/>
      <c r="UVL133" s="105"/>
      <c r="UVM133" s="105"/>
      <c r="UVN133" s="105"/>
      <c r="UVO133" s="105"/>
      <c r="UVP133" s="105"/>
      <c r="UVQ133" s="105"/>
      <c r="UVR133" s="105"/>
      <c r="UVS133" s="105"/>
      <c r="UVT133" s="105"/>
      <c r="UVU133" s="105"/>
      <c r="UVV133" s="105"/>
      <c r="UVW133" s="105"/>
      <c r="UVX133" s="105"/>
      <c r="UVY133" s="105"/>
      <c r="UVZ133" s="105"/>
      <c r="UWA133" s="105"/>
      <c r="UWB133" s="105"/>
      <c r="UWC133" s="105"/>
      <c r="UWD133" s="105"/>
      <c r="UWE133" s="105"/>
      <c r="UWF133" s="105"/>
      <c r="UWG133" s="105"/>
      <c r="UWH133" s="105"/>
      <c r="UWI133" s="105"/>
      <c r="UWJ133" s="105"/>
      <c r="UWK133" s="105"/>
      <c r="UWL133" s="105"/>
      <c r="UWM133" s="105"/>
      <c r="UWN133" s="105"/>
      <c r="UWO133" s="105"/>
      <c r="UWP133" s="105"/>
      <c r="UWQ133" s="105"/>
      <c r="UWR133" s="105"/>
      <c r="UWS133" s="105"/>
      <c r="UWT133" s="105"/>
      <c r="UWU133" s="105"/>
      <c r="UWV133" s="105"/>
      <c r="UWW133" s="105"/>
      <c r="UWX133" s="105"/>
      <c r="UWY133" s="105"/>
      <c r="UWZ133" s="105"/>
      <c r="UXA133" s="105"/>
      <c r="UXB133" s="105"/>
      <c r="UXC133" s="105"/>
      <c r="UXD133" s="105"/>
      <c r="UXE133" s="105"/>
      <c r="UXF133" s="105"/>
      <c r="UXG133" s="105"/>
      <c r="UXH133" s="105"/>
      <c r="UXI133" s="105"/>
      <c r="UXJ133" s="105"/>
      <c r="UXK133" s="105"/>
      <c r="UXL133" s="105"/>
      <c r="UXM133" s="105"/>
      <c r="UXN133" s="105"/>
      <c r="UXO133" s="105"/>
      <c r="UXP133" s="105"/>
      <c r="UXQ133" s="105"/>
      <c r="UXR133" s="105"/>
      <c r="UXS133" s="105"/>
      <c r="UXT133" s="105"/>
      <c r="UXU133" s="105"/>
      <c r="UXV133" s="105"/>
      <c r="UXW133" s="105"/>
      <c r="UXX133" s="105"/>
      <c r="UXY133" s="105"/>
      <c r="UXZ133" s="105"/>
      <c r="UYA133" s="105"/>
      <c r="UYB133" s="105"/>
      <c r="UYC133" s="105"/>
      <c r="UYD133" s="105"/>
      <c r="UYE133" s="105"/>
      <c r="UYF133" s="105"/>
      <c r="UYG133" s="105"/>
      <c r="UYH133" s="105"/>
      <c r="UYI133" s="105"/>
      <c r="UYJ133" s="105"/>
      <c r="UYK133" s="105"/>
      <c r="UYL133" s="105"/>
      <c r="UYM133" s="105"/>
      <c r="UYN133" s="105"/>
      <c r="UYO133" s="105"/>
      <c r="UYP133" s="105"/>
      <c r="UYQ133" s="105"/>
      <c r="UYR133" s="105"/>
      <c r="UYS133" s="105"/>
      <c r="UYT133" s="105"/>
      <c r="UYU133" s="105"/>
      <c r="UYV133" s="105"/>
      <c r="UYW133" s="105"/>
      <c r="UYX133" s="105"/>
      <c r="UYY133" s="105"/>
      <c r="UYZ133" s="105"/>
      <c r="UZA133" s="105"/>
      <c r="UZB133" s="105"/>
      <c r="UZC133" s="105"/>
      <c r="UZD133" s="105"/>
      <c r="UZE133" s="105"/>
      <c r="UZF133" s="105"/>
      <c r="UZG133" s="105"/>
      <c r="UZH133" s="105"/>
      <c r="UZI133" s="105"/>
      <c r="UZJ133" s="105"/>
      <c r="UZK133" s="105"/>
      <c r="UZL133" s="105"/>
      <c r="UZM133" s="105"/>
      <c r="UZN133" s="105"/>
      <c r="UZO133" s="105"/>
      <c r="UZP133" s="105"/>
      <c r="UZQ133" s="105"/>
      <c r="UZR133" s="105"/>
      <c r="UZS133" s="105"/>
      <c r="UZT133" s="105"/>
      <c r="UZU133" s="105"/>
      <c r="UZV133" s="105"/>
      <c r="UZW133" s="105"/>
      <c r="UZX133" s="105"/>
      <c r="UZY133" s="105"/>
      <c r="UZZ133" s="105"/>
      <c r="VAA133" s="105"/>
      <c r="VAB133" s="105"/>
      <c r="VAC133" s="105"/>
      <c r="VAD133" s="105"/>
      <c r="VAE133" s="105"/>
      <c r="VAF133" s="105"/>
      <c r="VAG133" s="105"/>
      <c r="VAH133" s="105"/>
      <c r="VAI133" s="105"/>
      <c r="VAJ133" s="105"/>
      <c r="VAK133" s="105"/>
      <c r="VAL133" s="105"/>
      <c r="VAM133" s="105"/>
      <c r="VAN133" s="105"/>
      <c r="VAO133" s="105"/>
      <c r="VAP133" s="105"/>
      <c r="VAQ133" s="105"/>
      <c r="VAR133" s="105"/>
      <c r="VAS133" s="105"/>
      <c r="VAT133" s="105"/>
      <c r="VAU133" s="105"/>
      <c r="VAV133" s="105"/>
      <c r="VAW133" s="105"/>
      <c r="VAX133" s="105"/>
      <c r="VAY133" s="105"/>
      <c r="VAZ133" s="105"/>
      <c r="VBA133" s="105"/>
      <c r="VBB133" s="105"/>
      <c r="VBC133" s="105"/>
      <c r="VBD133" s="105"/>
      <c r="VBE133" s="105"/>
      <c r="VBF133" s="105"/>
      <c r="VBG133" s="105"/>
      <c r="VBH133" s="105"/>
      <c r="VBI133" s="105"/>
      <c r="VBJ133" s="105"/>
      <c r="VBK133" s="105"/>
      <c r="VBL133" s="105"/>
      <c r="VBM133" s="105"/>
      <c r="VBN133" s="105"/>
      <c r="VBO133" s="105"/>
      <c r="VBP133" s="105"/>
      <c r="VBQ133" s="105"/>
      <c r="VBR133" s="105"/>
      <c r="VBS133" s="105"/>
      <c r="VBT133" s="105"/>
      <c r="VBU133" s="105"/>
      <c r="VBV133" s="105"/>
      <c r="VBW133" s="105"/>
      <c r="VBX133" s="105"/>
      <c r="VBY133" s="105"/>
      <c r="VBZ133" s="105"/>
      <c r="VCA133" s="105"/>
      <c r="VCB133" s="105"/>
      <c r="VCC133" s="105"/>
      <c r="VCD133" s="105"/>
      <c r="VCE133" s="105"/>
      <c r="VCF133" s="105"/>
      <c r="VCG133" s="105"/>
      <c r="VCH133" s="105"/>
      <c r="VCI133" s="105"/>
      <c r="VCJ133" s="105"/>
      <c r="VCK133" s="105"/>
      <c r="VCL133" s="105"/>
      <c r="VCM133" s="105"/>
      <c r="VCN133" s="105"/>
      <c r="VCO133" s="105"/>
      <c r="VCP133" s="105"/>
      <c r="VCQ133" s="105"/>
      <c r="VCR133" s="105"/>
      <c r="VCS133" s="105"/>
      <c r="VCT133" s="105"/>
      <c r="VCU133" s="105"/>
      <c r="VCV133" s="105"/>
      <c r="VCW133" s="105"/>
      <c r="VCX133" s="105"/>
      <c r="VCY133" s="105"/>
      <c r="VCZ133" s="105"/>
      <c r="VDA133" s="105"/>
      <c r="VDB133" s="105"/>
      <c r="VDC133" s="105"/>
      <c r="VDD133" s="105"/>
      <c r="VDE133" s="105"/>
      <c r="VDF133" s="105"/>
      <c r="VDG133" s="105"/>
      <c r="VDH133" s="105"/>
      <c r="VDI133" s="105"/>
      <c r="VDJ133" s="105"/>
      <c r="VDK133" s="105"/>
      <c r="VDL133" s="105"/>
      <c r="VDM133" s="105"/>
      <c r="VDN133" s="105"/>
      <c r="VDO133" s="105"/>
      <c r="VDP133" s="105"/>
      <c r="VDQ133" s="105"/>
      <c r="VDR133" s="105"/>
      <c r="VDS133" s="105"/>
      <c r="VDT133" s="105"/>
      <c r="VDU133" s="105"/>
      <c r="VDV133" s="105"/>
      <c r="VDW133" s="105"/>
      <c r="VDX133" s="105"/>
      <c r="VDY133" s="105"/>
      <c r="VDZ133" s="105"/>
      <c r="VEA133" s="105"/>
      <c r="VEB133" s="105"/>
      <c r="VEC133" s="105"/>
      <c r="VED133" s="105"/>
      <c r="VEE133" s="105"/>
      <c r="VEF133" s="105"/>
      <c r="VEG133" s="105"/>
      <c r="VEH133" s="105"/>
      <c r="VEI133" s="105"/>
      <c r="VEJ133" s="105"/>
      <c r="VEK133" s="105"/>
      <c r="VEL133" s="105"/>
      <c r="VEM133" s="105"/>
      <c r="VEN133" s="105"/>
      <c r="VEO133" s="105"/>
      <c r="VEP133" s="105"/>
      <c r="VEQ133" s="105"/>
      <c r="VER133" s="105"/>
      <c r="VES133" s="105"/>
      <c r="VET133" s="105"/>
      <c r="VEU133" s="105"/>
      <c r="VEV133" s="105"/>
      <c r="VEW133" s="105"/>
      <c r="VEX133" s="105"/>
      <c r="VEY133" s="105"/>
      <c r="VEZ133" s="105"/>
      <c r="VFA133" s="105"/>
      <c r="VFB133" s="105"/>
      <c r="VFC133" s="105"/>
      <c r="VFD133" s="105"/>
      <c r="VFE133" s="105"/>
      <c r="VFF133" s="105"/>
      <c r="VFG133" s="105"/>
      <c r="VFH133" s="105"/>
      <c r="VFI133" s="105"/>
      <c r="VFJ133" s="105"/>
      <c r="VFK133" s="105"/>
      <c r="VFL133" s="105"/>
      <c r="VFM133" s="105"/>
      <c r="VFN133" s="105"/>
      <c r="VFO133" s="105"/>
      <c r="VFP133" s="105"/>
      <c r="VFQ133" s="105"/>
      <c r="VFR133" s="105"/>
      <c r="VFS133" s="105"/>
      <c r="VFT133" s="105"/>
      <c r="VFU133" s="105"/>
      <c r="VFV133" s="105"/>
      <c r="VFW133" s="105"/>
      <c r="VFX133" s="105"/>
      <c r="VFY133" s="105"/>
      <c r="VFZ133" s="105"/>
      <c r="VGA133" s="105"/>
      <c r="VGB133" s="105"/>
      <c r="VGC133" s="105"/>
      <c r="VGD133" s="105"/>
      <c r="VGE133" s="105"/>
      <c r="VGF133" s="105"/>
      <c r="VGG133" s="105"/>
      <c r="VGH133" s="105"/>
      <c r="VGI133" s="105"/>
      <c r="VGJ133" s="105"/>
      <c r="VGK133" s="105"/>
      <c r="VGL133" s="105"/>
      <c r="VGM133" s="105"/>
      <c r="VGN133" s="105"/>
      <c r="VGO133" s="105"/>
      <c r="VGP133" s="105"/>
      <c r="VGQ133" s="105"/>
      <c r="VGR133" s="105"/>
      <c r="VGS133" s="105"/>
      <c r="VGT133" s="105"/>
      <c r="VGU133" s="105"/>
      <c r="VGV133" s="105"/>
      <c r="VGW133" s="105"/>
      <c r="VGX133" s="105"/>
      <c r="VGY133" s="105"/>
      <c r="VGZ133" s="105"/>
      <c r="VHA133" s="105"/>
      <c r="VHB133" s="105"/>
      <c r="VHC133" s="105"/>
      <c r="VHD133" s="105"/>
      <c r="VHE133" s="105"/>
      <c r="VHF133" s="105"/>
      <c r="VHG133" s="105"/>
      <c r="VHH133" s="105"/>
      <c r="VHI133" s="105"/>
      <c r="VHJ133" s="105"/>
      <c r="VHK133" s="105"/>
      <c r="VHL133" s="105"/>
      <c r="VHM133" s="105"/>
      <c r="VHN133" s="105"/>
      <c r="VHO133" s="105"/>
      <c r="VHP133" s="105"/>
      <c r="VHQ133" s="105"/>
      <c r="VHR133" s="105"/>
      <c r="VHS133" s="105"/>
      <c r="VHT133" s="105"/>
      <c r="VHU133" s="105"/>
      <c r="VHV133" s="105"/>
      <c r="VHW133" s="105"/>
      <c r="VHX133" s="105"/>
      <c r="VHY133" s="105"/>
      <c r="VHZ133" s="105"/>
      <c r="VIA133" s="105"/>
      <c r="VIB133" s="105"/>
      <c r="VIC133" s="105"/>
      <c r="VID133" s="105"/>
      <c r="VIE133" s="105"/>
      <c r="VIF133" s="105"/>
      <c r="VIG133" s="105"/>
      <c r="VIH133" s="105"/>
      <c r="VII133" s="105"/>
      <c r="VIJ133" s="105"/>
      <c r="VIK133" s="105"/>
      <c r="VIL133" s="105"/>
      <c r="VIM133" s="105"/>
      <c r="VIN133" s="105"/>
      <c r="VIO133" s="105"/>
      <c r="VIP133" s="105"/>
      <c r="VIQ133" s="105"/>
      <c r="VIR133" s="105"/>
      <c r="VIS133" s="105"/>
      <c r="VIT133" s="105"/>
      <c r="VIU133" s="105"/>
      <c r="VIV133" s="105"/>
      <c r="VIW133" s="105"/>
      <c r="VIX133" s="105"/>
      <c r="VIY133" s="105"/>
      <c r="VIZ133" s="105"/>
      <c r="VJA133" s="105"/>
      <c r="VJB133" s="105"/>
      <c r="VJC133" s="105"/>
      <c r="VJD133" s="105"/>
      <c r="VJE133" s="105"/>
      <c r="VJF133" s="105"/>
      <c r="VJG133" s="105"/>
      <c r="VJH133" s="105"/>
      <c r="VJI133" s="105"/>
      <c r="VJJ133" s="105"/>
      <c r="VJK133" s="105"/>
      <c r="VJL133" s="105"/>
      <c r="VJM133" s="105"/>
      <c r="VJN133" s="105"/>
      <c r="VJO133" s="105"/>
      <c r="VJP133" s="105"/>
      <c r="VJQ133" s="105"/>
      <c r="VJR133" s="105"/>
      <c r="VJS133" s="105"/>
      <c r="VJT133" s="105"/>
      <c r="VJU133" s="105"/>
      <c r="VJV133" s="105"/>
      <c r="VJW133" s="105"/>
      <c r="VJX133" s="105"/>
      <c r="VJY133" s="105"/>
      <c r="VJZ133" s="105"/>
      <c r="VKA133" s="105"/>
      <c r="VKB133" s="105"/>
      <c r="VKC133" s="105"/>
      <c r="VKD133" s="105"/>
      <c r="VKE133" s="105"/>
      <c r="VKF133" s="105"/>
      <c r="VKG133" s="105"/>
      <c r="VKH133" s="105"/>
      <c r="VKI133" s="105"/>
      <c r="VKJ133" s="105"/>
      <c r="VKK133" s="105"/>
      <c r="VKL133" s="105"/>
      <c r="VKM133" s="105"/>
      <c r="VKN133" s="105"/>
      <c r="VKO133" s="105"/>
      <c r="VKP133" s="105"/>
      <c r="VKQ133" s="105"/>
      <c r="VKR133" s="105"/>
      <c r="VKS133" s="105"/>
      <c r="VKT133" s="105"/>
      <c r="VKU133" s="105"/>
      <c r="VKV133" s="105"/>
      <c r="VKW133" s="105"/>
      <c r="VKX133" s="105"/>
      <c r="VKY133" s="105"/>
      <c r="VKZ133" s="105"/>
      <c r="VLA133" s="105"/>
      <c r="VLB133" s="105"/>
      <c r="VLC133" s="105"/>
      <c r="VLD133" s="105"/>
      <c r="VLE133" s="105"/>
      <c r="VLF133" s="105"/>
      <c r="VLG133" s="105"/>
      <c r="VLH133" s="105"/>
      <c r="VLI133" s="105"/>
      <c r="VLJ133" s="105"/>
      <c r="VLK133" s="105"/>
      <c r="VLL133" s="105"/>
      <c r="VLM133" s="105"/>
      <c r="VLN133" s="105"/>
      <c r="VLO133" s="105"/>
      <c r="VLP133" s="105"/>
      <c r="VLQ133" s="105"/>
      <c r="VLR133" s="105"/>
      <c r="VLS133" s="105"/>
      <c r="VLT133" s="105"/>
      <c r="VLU133" s="105"/>
      <c r="VLV133" s="105"/>
      <c r="VLW133" s="105"/>
      <c r="VLX133" s="105"/>
      <c r="VLY133" s="105"/>
      <c r="VLZ133" s="105"/>
      <c r="VMA133" s="105"/>
      <c r="VMB133" s="105"/>
      <c r="VMC133" s="105"/>
      <c r="VMD133" s="105"/>
      <c r="VME133" s="105"/>
      <c r="VMF133" s="105"/>
      <c r="VMG133" s="105"/>
      <c r="VMH133" s="105"/>
      <c r="VMI133" s="105"/>
      <c r="VMJ133" s="105"/>
      <c r="VMK133" s="105"/>
      <c r="VML133" s="105"/>
      <c r="VMM133" s="105"/>
      <c r="VMN133" s="105"/>
      <c r="VMO133" s="105"/>
      <c r="VMP133" s="105"/>
      <c r="VMQ133" s="105"/>
      <c r="VMR133" s="105"/>
      <c r="VMS133" s="105"/>
      <c r="VMT133" s="105"/>
      <c r="VMU133" s="105"/>
      <c r="VMV133" s="105"/>
      <c r="VMW133" s="105"/>
      <c r="VMX133" s="105"/>
      <c r="VMY133" s="105"/>
      <c r="VMZ133" s="105"/>
      <c r="VNA133" s="105"/>
      <c r="VNB133" s="105"/>
      <c r="VNC133" s="105"/>
      <c r="VND133" s="105"/>
      <c r="VNE133" s="105"/>
      <c r="VNF133" s="105"/>
      <c r="VNG133" s="105"/>
      <c r="VNH133" s="105"/>
      <c r="VNI133" s="105"/>
      <c r="VNJ133" s="105"/>
      <c r="VNK133" s="105"/>
      <c r="VNL133" s="105"/>
      <c r="VNM133" s="105"/>
      <c r="VNN133" s="105"/>
      <c r="VNO133" s="105"/>
      <c r="VNP133" s="105"/>
      <c r="VNQ133" s="105"/>
      <c r="VNR133" s="105"/>
      <c r="VNS133" s="105"/>
      <c r="VNT133" s="105"/>
      <c r="VNU133" s="105"/>
      <c r="VNV133" s="105"/>
      <c r="VNW133" s="105"/>
      <c r="VNX133" s="105"/>
      <c r="VNY133" s="105"/>
      <c r="VNZ133" s="105"/>
      <c r="VOA133" s="105"/>
      <c r="VOB133" s="105"/>
      <c r="VOC133" s="105"/>
      <c r="VOD133" s="105"/>
      <c r="VOE133" s="105"/>
      <c r="VOF133" s="105"/>
      <c r="VOG133" s="105"/>
      <c r="VOH133" s="105"/>
      <c r="VOI133" s="105"/>
      <c r="VOJ133" s="105"/>
      <c r="VOK133" s="105"/>
      <c r="VOL133" s="105"/>
      <c r="VOM133" s="105"/>
      <c r="VON133" s="105"/>
      <c r="VOO133" s="105"/>
      <c r="VOP133" s="105"/>
      <c r="VOQ133" s="105"/>
      <c r="VOR133" s="105"/>
      <c r="VOS133" s="105"/>
      <c r="VOT133" s="105"/>
      <c r="VOU133" s="105"/>
      <c r="VOV133" s="105"/>
      <c r="VOW133" s="105"/>
      <c r="VOX133" s="105"/>
      <c r="VOY133" s="105"/>
      <c r="VOZ133" s="105"/>
      <c r="VPA133" s="105"/>
      <c r="VPB133" s="105"/>
      <c r="VPC133" s="105"/>
      <c r="VPD133" s="105"/>
      <c r="VPE133" s="105"/>
      <c r="VPF133" s="105"/>
      <c r="VPG133" s="105"/>
      <c r="VPH133" s="105"/>
      <c r="VPI133" s="105"/>
      <c r="VPJ133" s="105"/>
      <c r="VPK133" s="105"/>
      <c r="VPL133" s="105"/>
      <c r="VPM133" s="105"/>
      <c r="VPN133" s="105"/>
      <c r="VPO133" s="105"/>
      <c r="VPP133" s="105"/>
      <c r="VPQ133" s="105"/>
      <c r="VPR133" s="105"/>
      <c r="VPS133" s="105"/>
      <c r="VPT133" s="105"/>
      <c r="VPU133" s="105"/>
      <c r="VPV133" s="105"/>
      <c r="VPW133" s="105"/>
      <c r="VPX133" s="105"/>
      <c r="VPY133" s="105"/>
      <c r="VPZ133" s="105"/>
      <c r="VQA133" s="105"/>
      <c r="VQB133" s="105"/>
      <c r="VQC133" s="105"/>
      <c r="VQD133" s="105"/>
      <c r="VQE133" s="105"/>
      <c r="VQF133" s="105"/>
      <c r="VQG133" s="105"/>
      <c r="VQH133" s="105"/>
      <c r="VQI133" s="105"/>
      <c r="VQJ133" s="105"/>
      <c r="VQK133" s="105"/>
      <c r="VQL133" s="105"/>
      <c r="VQM133" s="105"/>
      <c r="VQN133" s="105"/>
      <c r="VQO133" s="105"/>
      <c r="VQP133" s="105"/>
      <c r="VQQ133" s="105"/>
      <c r="VQR133" s="105"/>
      <c r="VQS133" s="105"/>
      <c r="VQT133" s="105"/>
      <c r="VQU133" s="105"/>
      <c r="VQV133" s="105"/>
      <c r="VQW133" s="105"/>
      <c r="VQX133" s="105"/>
      <c r="VQY133" s="105"/>
      <c r="VQZ133" s="105"/>
      <c r="VRA133" s="105"/>
      <c r="VRB133" s="105"/>
      <c r="VRC133" s="105"/>
      <c r="VRD133" s="105"/>
      <c r="VRE133" s="105"/>
      <c r="VRF133" s="105"/>
      <c r="VRG133" s="105"/>
      <c r="VRH133" s="105"/>
      <c r="VRI133" s="105"/>
      <c r="VRJ133" s="105"/>
      <c r="VRK133" s="105"/>
      <c r="VRL133" s="105"/>
      <c r="VRM133" s="105"/>
      <c r="VRN133" s="105"/>
      <c r="VRO133" s="105"/>
      <c r="VRP133" s="105"/>
      <c r="VRQ133" s="105"/>
      <c r="VRR133" s="105"/>
      <c r="VRS133" s="105"/>
      <c r="VRT133" s="105"/>
      <c r="VRU133" s="105"/>
      <c r="VRV133" s="105"/>
      <c r="VRW133" s="105"/>
      <c r="VRX133" s="105"/>
      <c r="VRY133" s="105"/>
      <c r="VRZ133" s="105"/>
      <c r="VSA133" s="105"/>
      <c r="VSB133" s="105"/>
      <c r="VSC133" s="105"/>
      <c r="VSD133" s="105"/>
      <c r="VSE133" s="105"/>
      <c r="VSF133" s="105"/>
      <c r="VSG133" s="105"/>
      <c r="VSH133" s="105"/>
      <c r="VSI133" s="105"/>
      <c r="VSJ133" s="105"/>
      <c r="VSK133" s="105"/>
      <c r="VSL133" s="105"/>
      <c r="VSM133" s="105"/>
      <c r="VSN133" s="105"/>
      <c r="VSO133" s="105"/>
      <c r="VSP133" s="105"/>
      <c r="VSQ133" s="105"/>
      <c r="VSR133" s="105"/>
      <c r="VSS133" s="105"/>
      <c r="VST133" s="105"/>
      <c r="VSU133" s="105"/>
      <c r="VSV133" s="105"/>
      <c r="VSW133" s="105"/>
      <c r="VSX133" s="105"/>
      <c r="VSY133" s="105"/>
      <c r="VSZ133" s="105"/>
      <c r="VTA133" s="105"/>
      <c r="VTB133" s="105"/>
      <c r="VTC133" s="105"/>
      <c r="VTD133" s="105"/>
      <c r="VTE133" s="105"/>
      <c r="VTF133" s="105"/>
      <c r="VTG133" s="105"/>
      <c r="VTH133" s="105"/>
      <c r="VTI133" s="105"/>
      <c r="VTJ133" s="105"/>
      <c r="VTK133" s="105"/>
      <c r="VTL133" s="105"/>
      <c r="VTM133" s="105"/>
      <c r="VTN133" s="105"/>
      <c r="VTO133" s="105"/>
      <c r="VTP133" s="105"/>
      <c r="VTQ133" s="105"/>
      <c r="VTR133" s="105"/>
      <c r="VTS133" s="105"/>
      <c r="VTT133" s="105"/>
      <c r="VTU133" s="105"/>
      <c r="VTV133" s="105"/>
      <c r="VTW133" s="105"/>
      <c r="VTX133" s="105"/>
      <c r="VTY133" s="105"/>
      <c r="VTZ133" s="105"/>
      <c r="VUA133" s="105"/>
      <c r="VUB133" s="105"/>
      <c r="VUC133" s="105"/>
      <c r="VUD133" s="105"/>
      <c r="VUE133" s="105"/>
      <c r="VUF133" s="105"/>
      <c r="VUG133" s="105"/>
      <c r="VUH133" s="105"/>
      <c r="VUI133" s="105"/>
      <c r="VUJ133" s="105"/>
      <c r="VUK133" s="105"/>
      <c r="VUL133" s="105"/>
      <c r="VUM133" s="105"/>
      <c r="VUN133" s="105"/>
      <c r="VUO133" s="105"/>
      <c r="VUP133" s="105"/>
      <c r="VUQ133" s="105"/>
      <c r="VUR133" s="105"/>
      <c r="VUS133" s="105"/>
      <c r="VUT133" s="105"/>
      <c r="VUU133" s="105"/>
      <c r="VUV133" s="105"/>
      <c r="VUW133" s="105"/>
      <c r="VUX133" s="105"/>
      <c r="VUY133" s="105"/>
      <c r="VUZ133" s="105"/>
      <c r="VVA133" s="105"/>
      <c r="VVB133" s="105"/>
      <c r="VVC133" s="105"/>
      <c r="VVD133" s="105"/>
      <c r="VVE133" s="105"/>
      <c r="VVF133" s="105"/>
      <c r="VVG133" s="105"/>
      <c r="VVH133" s="105"/>
      <c r="VVI133" s="105"/>
      <c r="VVJ133" s="105"/>
      <c r="VVK133" s="105"/>
      <c r="VVL133" s="105"/>
      <c r="VVM133" s="105"/>
      <c r="VVN133" s="105"/>
      <c r="VVO133" s="105"/>
      <c r="VVP133" s="105"/>
      <c r="VVQ133" s="105"/>
      <c r="VVR133" s="105"/>
      <c r="VVS133" s="105"/>
      <c r="VVT133" s="105"/>
      <c r="VVU133" s="105"/>
      <c r="VVV133" s="105"/>
      <c r="VVW133" s="105"/>
      <c r="VVX133" s="105"/>
      <c r="VVY133" s="105"/>
      <c r="VVZ133" s="105"/>
      <c r="VWA133" s="105"/>
      <c r="VWB133" s="105"/>
      <c r="VWC133" s="105"/>
      <c r="VWD133" s="105"/>
      <c r="VWE133" s="105"/>
      <c r="VWF133" s="105"/>
      <c r="VWG133" s="105"/>
      <c r="VWH133" s="105"/>
      <c r="VWI133" s="105"/>
      <c r="VWJ133" s="105"/>
      <c r="VWK133" s="105"/>
      <c r="VWL133" s="105"/>
      <c r="VWM133" s="105"/>
      <c r="VWN133" s="105"/>
      <c r="VWO133" s="105"/>
      <c r="VWP133" s="105"/>
      <c r="VWQ133" s="105"/>
      <c r="VWR133" s="105"/>
      <c r="VWS133" s="105"/>
      <c r="VWT133" s="105"/>
      <c r="VWU133" s="105"/>
      <c r="VWV133" s="105"/>
      <c r="VWW133" s="105"/>
      <c r="VWX133" s="105"/>
      <c r="VWY133" s="105"/>
      <c r="VWZ133" s="105"/>
      <c r="VXA133" s="105"/>
      <c r="VXB133" s="105"/>
      <c r="VXC133" s="105"/>
      <c r="VXD133" s="105"/>
      <c r="VXE133" s="105"/>
      <c r="VXF133" s="105"/>
      <c r="VXG133" s="105"/>
      <c r="VXH133" s="105"/>
      <c r="VXI133" s="105"/>
      <c r="VXJ133" s="105"/>
      <c r="VXK133" s="105"/>
      <c r="VXL133" s="105"/>
      <c r="VXM133" s="105"/>
      <c r="VXN133" s="105"/>
      <c r="VXO133" s="105"/>
      <c r="VXP133" s="105"/>
      <c r="VXQ133" s="105"/>
      <c r="VXR133" s="105"/>
      <c r="VXS133" s="105"/>
      <c r="VXT133" s="105"/>
      <c r="VXU133" s="105"/>
      <c r="VXV133" s="105"/>
      <c r="VXW133" s="105"/>
      <c r="VXX133" s="105"/>
      <c r="VXY133" s="105"/>
      <c r="VXZ133" s="105"/>
      <c r="VYA133" s="105"/>
      <c r="VYB133" s="105"/>
      <c r="VYC133" s="105"/>
      <c r="VYD133" s="105"/>
      <c r="VYE133" s="105"/>
      <c r="VYF133" s="105"/>
      <c r="VYG133" s="105"/>
      <c r="VYH133" s="105"/>
      <c r="VYI133" s="105"/>
      <c r="VYJ133" s="105"/>
      <c r="VYK133" s="105"/>
      <c r="VYL133" s="105"/>
      <c r="VYM133" s="105"/>
      <c r="VYN133" s="105"/>
      <c r="VYO133" s="105"/>
      <c r="VYP133" s="105"/>
      <c r="VYQ133" s="105"/>
      <c r="VYR133" s="105"/>
      <c r="VYS133" s="105"/>
      <c r="VYT133" s="105"/>
      <c r="VYU133" s="105"/>
      <c r="VYV133" s="105"/>
      <c r="VYW133" s="105"/>
      <c r="VYX133" s="105"/>
      <c r="VYY133" s="105"/>
      <c r="VYZ133" s="105"/>
      <c r="VZA133" s="105"/>
      <c r="VZB133" s="105"/>
      <c r="VZC133" s="105"/>
      <c r="VZD133" s="105"/>
      <c r="VZE133" s="105"/>
      <c r="VZF133" s="105"/>
      <c r="VZG133" s="105"/>
      <c r="VZH133" s="105"/>
      <c r="VZI133" s="105"/>
      <c r="VZJ133" s="105"/>
      <c r="VZK133" s="105"/>
      <c r="VZL133" s="105"/>
      <c r="VZM133" s="105"/>
      <c r="VZN133" s="105"/>
      <c r="VZO133" s="105"/>
      <c r="VZP133" s="105"/>
      <c r="VZQ133" s="105"/>
      <c r="VZR133" s="105"/>
      <c r="VZS133" s="105"/>
      <c r="VZT133" s="105"/>
      <c r="VZU133" s="105"/>
      <c r="VZV133" s="105"/>
      <c r="VZW133" s="105"/>
      <c r="VZX133" s="105"/>
      <c r="VZY133" s="105"/>
      <c r="VZZ133" s="105"/>
      <c r="WAA133" s="105"/>
      <c r="WAB133" s="105"/>
      <c r="WAC133" s="105"/>
      <c r="WAD133" s="105"/>
      <c r="WAE133" s="105"/>
      <c r="WAF133" s="105"/>
      <c r="WAG133" s="105"/>
      <c r="WAH133" s="105"/>
      <c r="WAI133" s="105"/>
      <c r="WAJ133" s="105"/>
      <c r="WAK133" s="105"/>
      <c r="WAL133" s="105"/>
      <c r="WAM133" s="105"/>
      <c r="WAN133" s="105"/>
      <c r="WAO133" s="105"/>
      <c r="WAP133" s="105"/>
      <c r="WAQ133" s="105"/>
      <c r="WAR133" s="105"/>
      <c r="WAS133" s="105"/>
      <c r="WAT133" s="105"/>
      <c r="WAU133" s="105"/>
      <c r="WAV133" s="105"/>
      <c r="WAW133" s="105"/>
      <c r="WAX133" s="105"/>
      <c r="WAY133" s="105"/>
      <c r="WAZ133" s="105"/>
      <c r="WBA133" s="105"/>
      <c r="WBB133" s="105"/>
      <c r="WBC133" s="105"/>
      <c r="WBD133" s="105"/>
      <c r="WBE133" s="105"/>
      <c r="WBF133" s="105"/>
      <c r="WBG133" s="105"/>
      <c r="WBH133" s="105"/>
      <c r="WBI133" s="105"/>
      <c r="WBJ133" s="105"/>
      <c r="WBK133" s="105"/>
      <c r="WBL133" s="105"/>
      <c r="WBM133" s="105"/>
      <c r="WBN133" s="105"/>
      <c r="WBO133" s="105"/>
      <c r="WBP133" s="105"/>
      <c r="WBQ133" s="105"/>
      <c r="WBR133" s="105"/>
      <c r="WBS133" s="105"/>
      <c r="WBT133" s="105"/>
      <c r="WBU133" s="105"/>
      <c r="WBV133" s="105"/>
      <c r="WBW133" s="105"/>
      <c r="WBX133" s="105"/>
      <c r="WBY133" s="105"/>
      <c r="WBZ133" s="105"/>
      <c r="WCA133" s="105"/>
      <c r="WCB133" s="105"/>
      <c r="WCC133" s="105"/>
      <c r="WCD133" s="105"/>
      <c r="WCE133" s="105"/>
      <c r="WCF133" s="105"/>
      <c r="WCG133" s="105"/>
      <c r="WCH133" s="105"/>
      <c r="WCI133" s="105"/>
      <c r="WCJ133" s="105"/>
      <c r="WCK133" s="105"/>
      <c r="WCL133" s="105"/>
      <c r="WCM133" s="105"/>
      <c r="WCN133" s="105"/>
      <c r="WCO133" s="105"/>
      <c r="WCP133" s="105"/>
      <c r="WCQ133" s="105"/>
      <c r="WCR133" s="105"/>
      <c r="WCS133" s="105"/>
      <c r="WCT133" s="105"/>
      <c r="WCU133" s="105"/>
      <c r="WCV133" s="105"/>
      <c r="WCW133" s="105"/>
      <c r="WCX133" s="105"/>
      <c r="WCY133" s="105"/>
      <c r="WCZ133" s="105"/>
      <c r="WDA133" s="105"/>
      <c r="WDB133" s="105"/>
      <c r="WDC133" s="105"/>
      <c r="WDD133" s="105"/>
      <c r="WDE133" s="105"/>
      <c r="WDF133" s="105"/>
      <c r="WDG133" s="105"/>
      <c r="WDH133" s="105"/>
      <c r="WDI133" s="105"/>
      <c r="WDJ133" s="105"/>
      <c r="WDK133" s="105"/>
      <c r="WDL133" s="105"/>
      <c r="WDM133" s="105"/>
      <c r="WDN133" s="105"/>
      <c r="WDO133" s="105"/>
      <c r="WDP133" s="105"/>
      <c r="WDQ133" s="105"/>
      <c r="WDR133" s="105"/>
      <c r="WDS133" s="105"/>
      <c r="WDT133" s="105"/>
      <c r="WDU133" s="105"/>
      <c r="WDV133" s="105"/>
      <c r="WDW133" s="105"/>
      <c r="WDX133" s="105"/>
      <c r="WDY133" s="105"/>
      <c r="WDZ133" s="105"/>
      <c r="WEA133" s="105"/>
      <c r="WEB133" s="105"/>
      <c r="WEC133" s="105"/>
      <c r="WED133" s="105"/>
      <c r="WEE133" s="105"/>
      <c r="WEF133" s="105"/>
      <c r="WEG133" s="105"/>
      <c r="WEH133" s="105"/>
      <c r="WEI133" s="105"/>
      <c r="WEJ133" s="105"/>
      <c r="WEK133" s="105"/>
      <c r="WEL133" s="105"/>
      <c r="WEM133" s="105"/>
      <c r="WEN133" s="105"/>
      <c r="WEO133" s="105"/>
      <c r="WEP133" s="105"/>
      <c r="WEQ133" s="105"/>
      <c r="WER133" s="105"/>
      <c r="WES133" s="105"/>
      <c r="WET133" s="105"/>
      <c r="WEU133" s="105"/>
      <c r="WEV133" s="105"/>
      <c r="WEW133" s="105"/>
      <c r="WEX133" s="105"/>
      <c r="WEY133" s="105"/>
      <c r="WEZ133" s="105"/>
      <c r="WFA133" s="105"/>
      <c r="WFB133" s="105"/>
      <c r="WFC133" s="105"/>
      <c r="WFD133" s="105"/>
      <c r="WFE133" s="105"/>
      <c r="WFF133" s="105"/>
      <c r="WFG133" s="105"/>
      <c r="WFH133" s="105"/>
      <c r="WFI133" s="105"/>
      <c r="WFJ133" s="105"/>
      <c r="WFK133" s="105"/>
      <c r="WFL133" s="105"/>
      <c r="WFM133" s="105"/>
      <c r="WFN133" s="105"/>
      <c r="WFO133" s="105"/>
      <c r="WFP133" s="105"/>
      <c r="WFQ133" s="105"/>
      <c r="WFR133" s="105"/>
      <c r="WFS133" s="105"/>
      <c r="WFT133" s="105"/>
      <c r="WFU133" s="105"/>
      <c r="WFV133" s="105"/>
      <c r="WFW133" s="105"/>
      <c r="WFX133" s="105"/>
      <c r="WFY133" s="105"/>
      <c r="WFZ133" s="105"/>
      <c r="WGA133" s="105"/>
      <c r="WGB133" s="105"/>
      <c r="WGC133" s="105"/>
      <c r="WGD133" s="105"/>
      <c r="WGE133" s="105"/>
      <c r="WGF133" s="105"/>
      <c r="WGG133" s="105"/>
      <c r="WGH133" s="105"/>
      <c r="WGI133" s="105"/>
      <c r="WGJ133" s="105"/>
      <c r="WGK133" s="105"/>
      <c r="WGL133" s="105"/>
      <c r="WGM133" s="105"/>
      <c r="WGN133" s="105"/>
      <c r="WGO133" s="105"/>
      <c r="WGP133" s="105"/>
      <c r="WGQ133" s="105"/>
      <c r="WGR133" s="105"/>
      <c r="WGS133" s="105"/>
      <c r="WGT133" s="105"/>
      <c r="WGU133" s="105"/>
      <c r="WGV133" s="105"/>
      <c r="WGW133" s="105"/>
      <c r="WGX133" s="105"/>
      <c r="WGY133" s="105"/>
      <c r="WGZ133" s="105"/>
      <c r="WHA133" s="105"/>
      <c r="WHB133" s="105"/>
      <c r="WHC133" s="105"/>
      <c r="WHD133" s="105"/>
      <c r="WHE133" s="105"/>
      <c r="WHF133" s="105"/>
      <c r="WHG133" s="105"/>
      <c r="WHH133" s="105"/>
      <c r="WHI133" s="105"/>
      <c r="WHJ133" s="105"/>
      <c r="WHK133" s="105"/>
      <c r="WHL133" s="105"/>
      <c r="WHM133" s="105"/>
      <c r="WHN133" s="105"/>
      <c r="WHO133" s="105"/>
      <c r="WHP133" s="105"/>
      <c r="WHQ133" s="105"/>
      <c r="WHR133" s="105"/>
      <c r="WHS133" s="105"/>
      <c r="WHT133" s="105"/>
      <c r="WHU133" s="105"/>
      <c r="WHV133" s="105"/>
      <c r="WHW133" s="105"/>
      <c r="WHX133" s="105"/>
      <c r="WHY133" s="105"/>
      <c r="WHZ133" s="105"/>
      <c r="WIA133" s="105"/>
      <c r="WIB133" s="105"/>
      <c r="WIC133" s="105"/>
      <c r="WID133" s="105"/>
      <c r="WIE133" s="105"/>
      <c r="WIF133" s="105"/>
      <c r="WIG133" s="105"/>
      <c r="WIH133" s="105"/>
      <c r="WII133" s="105"/>
      <c r="WIJ133" s="105"/>
      <c r="WIK133" s="105"/>
      <c r="WIL133" s="105"/>
      <c r="WIM133" s="105"/>
      <c r="WIN133" s="105"/>
      <c r="WIO133" s="105"/>
      <c r="WIP133" s="105"/>
      <c r="WIQ133" s="105"/>
      <c r="WIR133" s="105"/>
      <c r="WIS133" s="105"/>
      <c r="WIT133" s="105"/>
      <c r="WIU133" s="105"/>
      <c r="WIV133" s="105"/>
      <c r="WIW133" s="105"/>
      <c r="WIX133" s="105"/>
      <c r="WIY133" s="105"/>
      <c r="WIZ133" s="105"/>
      <c r="WJA133" s="105"/>
      <c r="WJB133" s="105"/>
      <c r="WJC133" s="105"/>
      <c r="WJD133" s="105"/>
      <c r="WJE133" s="105"/>
      <c r="WJF133" s="105"/>
      <c r="WJG133" s="105"/>
      <c r="WJH133" s="105"/>
      <c r="WJI133" s="105"/>
      <c r="WJJ133" s="105"/>
      <c r="WJK133" s="105"/>
      <c r="WJL133" s="105"/>
      <c r="WJM133" s="105"/>
      <c r="WJN133" s="105"/>
      <c r="WJO133" s="105"/>
      <c r="WJP133" s="105"/>
      <c r="WJQ133" s="105"/>
      <c r="WJR133" s="105"/>
      <c r="WJS133" s="105"/>
      <c r="WJT133" s="105"/>
      <c r="WJU133" s="105"/>
      <c r="WJV133" s="105"/>
      <c r="WJW133" s="105"/>
      <c r="WJX133" s="105"/>
      <c r="WJY133" s="105"/>
      <c r="WJZ133" s="105"/>
      <c r="WKA133" s="105"/>
      <c r="WKB133" s="105"/>
      <c r="WKC133" s="105"/>
      <c r="WKD133" s="105"/>
      <c r="WKE133" s="105"/>
      <c r="WKF133" s="105"/>
      <c r="WKG133" s="105"/>
      <c r="WKH133" s="105"/>
      <c r="WKI133" s="105"/>
      <c r="WKJ133" s="105"/>
      <c r="WKK133" s="105"/>
      <c r="WKL133" s="105"/>
      <c r="WKM133" s="105"/>
      <c r="WKN133" s="105"/>
      <c r="WKO133" s="105"/>
      <c r="WKP133" s="105"/>
      <c r="WKQ133" s="105"/>
      <c r="WKR133" s="105"/>
      <c r="WKS133" s="105"/>
      <c r="WKT133" s="105"/>
      <c r="WKU133" s="105"/>
      <c r="WKV133" s="105"/>
      <c r="WKW133" s="105"/>
      <c r="WKX133" s="105"/>
      <c r="WKY133" s="105"/>
      <c r="WKZ133" s="105"/>
      <c r="WLA133" s="105"/>
      <c r="WLB133" s="105"/>
      <c r="WLC133" s="105"/>
      <c r="WLD133" s="105"/>
      <c r="WLE133" s="105"/>
      <c r="WLF133" s="105"/>
      <c r="WLG133" s="105"/>
      <c r="WLH133" s="105"/>
      <c r="WLI133" s="105"/>
      <c r="WLJ133" s="105"/>
      <c r="WLK133" s="105"/>
      <c r="WLL133" s="105"/>
      <c r="WLM133" s="105"/>
      <c r="WLN133" s="105"/>
      <c r="WLO133" s="105"/>
      <c r="WLP133" s="105"/>
      <c r="WLQ133" s="105"/>
      <c r="WLR133" s="105"/>
      <c r="WLS133" s="105"/>
      <c r="WLT133" s="105"/>
      <c r="WLU133" s="105"/>
      <c r="WLV133" s="105"/>
      <c r="WLW133" s="105"/>
      <c r="WLX133" s="105"/>
      <c r="WLY133" s="105"/>
      <c r="WLZ133" s="105"/>
      <c r="WMA133" s="105"/>
      <c r="WMB133" s="105"/>
      <c r="WMC133" s="105"/>
      <c r="WMD133" s="105"/>
      <c r="WME133" s="105"/>
      <c r="WMF133" s="105"/>
      <c r="WMG133" s="105"/>
      <c r="WMH133" s="105"/>
      <c r="WMI133" s="105"/>
      <c r="WMJ133" s="105"/>
      <c r="WMK133" s="105"/>
      <c r="WML133" s="105"/>
      <c r="WMM133" s="105"/>
      <c r="WMN133" s="105"/>
      <c r="WMO133" s="105"/>
      <c r="WMP133" s="105"/>
      <c r="WMQ133" s="105"/>
      <c r="WMR133" s="105"/>
      <c r="WMS133" s="105"/>
      <c r="WMT133" s="105"/>
      <c r="WMU133" s="105"/>
      <c r="WMV133" s="105"/>
      <c r="WMW133" s="105"/>
      <c r="WMX133" s="105"/>
      <c r="WMY133" s="105"/>
      <c r="WMZ133" s="105"/>
      <c r="WNA133" s="105"/>
      <c r="WNB133" s="105"/>
      <c r="WNC133" s="105"/>
      <c r="WND133" s="105"/>
      <c r="WNE133" s="105"/>
      <c r="WNF133" s="105"/>
      <c r="WNG133" s="105"/>
      <c r="WNH133" s="105"/>
      <c r="WNI133" s="105"/>
      <c r="WNJ133" s="105"/>
      <c r="WNK133" s="105"/>
      <c r="WNL133" s="105"/>
      <c r="WNM133" s="105"/>
      <c r="WNN133" s="105"/>
      <c r="WNO133" s="105"/>
      <c r="WNP133" s="105"/>
      <c r="WNQ133" s="105"/>
      <c r="WNR133" s="105"/>
      <c r="WNS133" s="105"/>
      <c r="WNT133" s="105"/>
      <c r="WNU133" s="105"/>
      <c r="WNV133" s="105"/>
      <c r="WNW133" s="105"/>
      <c r="WNX133" s="105"/>
      <c r="WNY133" s="105"/>
      <c r="WNZ133" s="105"/>
      <c r="WOA133" s="105"/>
      <c r="WOB133" s="105"/>
      <c r="WOC133" s="105"/>
      <c r="WOD133" s="105"/>
      <c r="WOE133" s="105"/>
      <c r="WOF133" s="105"/>
      <c r="WOG133" s="105"/>
      <c r="WOH133" s="105"/>
      <c r="WOI133" s="105"/>
      <c r="WOJ133" s="105"/>
      <c r="WOK133" s="105"/>
      <c r="WOL133" s="105"/>
      <c r="WOM133" s="105"/>
      <c r="WON133" s="105"/>
      <c r="WOO133" s="105"/>
      <c r="WOP133" s="105"/>
      <c r="WOQ133" s="105"/>
      <c r="WOR133" s="105"/>
      <c r="WOS133" s="105"/>
      <c r="WOT133" s="105"/>
      <c r="WOU133" s="105"/>
      <c r="WOV133" s="105"/>
      <c r="WOW133" s="105"/>
      <c r="WOX133" s="105"/>
      <c r="WOY133" s="105"/>
      <c r="WOZ133" s="105"/>
      <c r="WPA133" s="105"/>
      <c r="WPB133" s="105"/>
      <c r="WPC133" s="105"/>
      <c r="WPD133" s="105"/>
      <c r="WPE133" s="105"/>
      <c r="WPF133" s="105"/>
      <c r="WPG133" s="105"/>
      <c r="WPH133" s="105"/>
      <c r="WPI133" s="105"/>
      <c r="WPJ133" s="105"/>
      <c r="WPK133" s="105"/>
      <c r="WPL133" s="105"/>
      <c r="WPM133" s="105"/>
      <c r="WPN133" s="105"/>
      <c r="WPO133" s="105"/>
      <c r="WPP133" s="105"/>
      <c r="WPQ133" s="105"/>
      <c r="WPR133" s="105"/>
      <c r="WPS133" s="105"/>
      <c r="WPT133" s="105"/>
      <c r="WPU133" s="105"/>
      <c r="WPV133" s="105"/>
      <c r="WPW133" s="105"/>
      <c r="WPX133" s="105"/>
      <c r="WPY133" s="105"/>
      <c r="WPZ133" s="105"/>
      <c r="WQA133" s="105"/>
      <c r="WQB133" s="105"/>
      <c r="WQC133" s="105"/>
      <c r="WQD133" s="105"/>
      <c r="WQE133" s="105"/>
      <c r="WQF133" s="105"/>
      <c r="WQG133" s="105"/>
      <c r="WQH133" s="105"/>
      <c r="WQI133" s="105"/>
      <c r="WQJ133" s="105"/>
      <c r="WQK133" s="105"/>
      <c r="WQL133" s="105"/>
      <c r="WQM133" s="105"/>
      <c r="WQN133" s="105"/>
      <c r="WQO133" s="105"/>
      <c r="WQP133" s="105"/>
      <c r="WQQ133" s="105"/>
      <c r="WQR133" s="105"/>
      <c r="WQS133" s="105"/>
      <c r="WQT133" s="105"/>
      <c r="WQU133" s="105"/>
      <c r="WQV133" s="105"/>
      <c r="WQW133" s="105"/>
      <c r="WQX133" s="105"/>
      <c r="WQY133" s="105"/>
      <c r="WQZ133" s="105"/>
      <c r="WRA133" s="105"/>
      <c r="WRB133" s="105"/>
      <c r="WRC133" s="105"/>
      <c r="WRD133" s="105"/>
      <c r="WRE133" s="105"/>
      <c r="WRF133" s="105"/>
      <c r="WRG133" s="105"/>
      <c r="WRH133" s="105"/>
      <c r="WRI133" s="105"/>
      <c r="WRJ133" s="105"/>
      <c r="WRK133" s="105"/>
      <c r="WRL133" s="105"/>
      <c r="WRM133" s="105"/>
      <c r="WRN133" s="105"/>
      <c r="WRO133" s="105"/>
      <c r="WRP133" s="105"/>
      <c r="WRQ133" s="105"/>
      <c r="WRR133" s="105"/>
      <c r="WRS133" s="105"/>
      <c r="WRT133" s="105"/>
      <c r="WRU133" s="105"/>
      <c r="WRV133" s="105"/>
      <c r="WRW133" s="105"/>
      <c r="WRX133" s="105"/>
      <c r="WRY133" s="105"/>
      <c r="WRZ133" s="105"/>
      <c r="WSA133" s="105"/>
      <c r="WSB133" s="105"/>
      <c r="WSC133" s="105"/>
      <c r="WSD133" s="105"/>
      <c r="WSE133" s="105"/>
      <c r="WSF133" s="105"/>
      <c r="WSG133" s="105"/>
      <c r="WSH133" s="105"/>
      <c r="WSI133" s="105"/>
      <c r="WSJ133" s="105"/>
      <c r="WSK133" s="105"/>
      <c r="WSL133" s="105"/>
      <c r="WSM133" s="105"/>
      <c r="WSN133" s="105"/>
      <c r="WSO133" s="105"/>
      <c r="WSP133" s="105"/>
      <c r="WSQ133" s="105"/>
      <c r="WSR133" s="105"/>
      <c r="WSS133" s="105"/>
      <c r="WST133" s="105"/>
      <c r="WSU133" s="105"/>
      <c r="WSV133" s="105"/>
      <c r="WSW133" s="105"/>
      <c r="WSX133" s="105"/>
      <c r="WSY133" s="105"/>
      <c r="WSZ133" s="105"/>
      <c r="WTA133" s="105"/>
      <c r="WTB133" s="105"/>
      <c r="WTC133" s="105"/>
      <c r="WTD133" s="105"/>
      <c r="WTE133" s="105"/>
      <c r="WTF133" s="105"/>
      <c r="WTG133" s="105"/>
      <c r="WTH133" s="105"/>
      <c r="WTI133" s="105"/>
      <c r="WTJ133" s="105"/>
      <c r="WTK133" s="105"/>
      <c r="WTL133" s="105"/>
      <c r="WTM133" s="105"/>
      <c r="WTN133" s="105"/>
      <c r="WTO133" s="105"/>
      <c r="WTP133" s="105"/>
      <c r="WTQ133" s="105"/>
      <c r="WTR133" s="105"/>
      <c r="WTS133" s="105"/>
      <c r="WTT133" s="105"/>
      <c r="WTU133" s="105"/>
      <c r="WTV133" s="105"/>
      <c r="WTW133" s="105"/>
      <c r="WTX133" s="105"/>
      <c r="WTY133" s="105"/>
      <c r="WTZ133" s="105"/>
      <c r="WUA133" s="105"/>
      <c r="WUB133" s="105"/>
      <c r="WUC133" s="105"/>
      <c r="WUD133" s="105"/>
      <c r="WUE133" s="105"/>
      <c r="WUF133" s="105"/>
      <c r="WUG133" s="105"/>
      <c r="WUH133" s="105"/>
      <c r="WUI133" s="105"/>
      <c r="WUJ133" s="105"/>
      <c r="WUK133" s="105"/>
      <c r="WUL133" s="105"/>
      <c r="WUM133" s="105"/>
      <c r="WUN133" s="105"/>
      <c r="WUO133" s="105"/>
      <c r="WUP133" s="105"/>
      <c r="WUQ133" s="105"/>
      <c r="WUR133" s="105"/>
      <c r="WUS133" s="105"/>
      <c r="WUT133" s="105"/>
      <c r="WUU133" s="105"/>
      <c r="WUV133" s="105"/>
      <c r="WUW133" s="105"/>
      <c r="WUX133" s="105"/>
      <c r="WUY133" s="105"/>
      <c r="WUZ133" s="105"/>
      <c r="WVA133" s="105"/>
      <c r="WVB133" s="105"/>
      <c r="WVC133" s="105"/>
      <c r="WVD133" s="105"/>
      <c r="WVE133" s="105"/>
      <c r="WVF133" s="105"/>
      <c r="WVG133" s="105"/>
      <c r="WVH133" s="105"/>
      <c r="WVI133" s="105"/>
      <c r="WVJ133" s="105"/>
      <c r="WVK133" s="105"/>
      <c r="WVL133" s="105"/>
      <c r="WVM133" s="105"/>
      <c r="WVN133" s="105"/>
      <c r="WVO133" s="105"/>
      <c r="WVP133" s="105"/>
      <c r="WVQ133" s="105"/>
      <c r="WVR133" s="105"/>
      <c r="WVS133" s="105"/>
      <c r="WVT133" s="105"/>
      <c r="WVU133" s="105"/>
      <c r="WVV133" s="105"/>
      <c r="WVW133" s="105"/>
      <c r="WVX133" s="105"/>
      <c r="WVY133" s="105"/>
      <c r="WVZ133" s="105"/>
      <c r="WWA133" s="105"/>
      <c r="WWB133" s="105"/>
      <c r="WWC133" s="105"/>
      <c r="WWD133" s="105"/>
      <c r="WWE133" s="105"/>
      <c r="WWF133" s="105"/>
      <c r="WWG133" s="105"/>
      <c r="WWH133" s="105"/>
      <c r="WWI133" s="105"/>
      <c r="WWJ133" s="105"/>
      <c r="WWK133" s="105"/>
      <c r="WWL133" s="105"/>
      <c r="WWM133" s="105"/>
      <c r="WWN133" s="105"/>
      <c r="WWO133" s="105"/>
      <c r="WWP133" s="105"/>
      <c r="WWQ133" s="105"/>
      <c r="WWR133" s="105"/>
      <c r="WWS133" s="105"/>
      <c r="WWT133" s="105"/>
      <c r="WWU133" s="105"/>
      <c r="WWV133" s="105"/>
      <c r="WWW133" s="105"/>
      <c r="WWX133" s="105"/>
      <c r="WWY133" s="105"/>
      <c r="WWZ133" s="105"/>
      <c r="WXA133" s="105"/>
      <c r="WXB133" s="105"/>
      <c r="WXC133" s="105"/>
      <c r="WXD133" s="105"/>
      <c r="WXE133" s="105"/>
      <c r="WXF133" s="105"/>
      <c r="WXG133" s="105"/>
      <c r="WXH133" s="105"/>
      <c r="WXI133" s="105"/>
      <c r="WXJ133" s="105"/>
      <c r="WXK133" s="105"/>
      <c r="WXL133" s="105"/>
      <c r="WXM133" s="105"/>
      <c r="WXN133" s="105"/>
      <c r="WXO133" s="105"/>
      <c r="WXP133" s="105"/>
      <c r="WXQ133" s="105"/>
      <c r="WXR133" s="105"/>
      <c r="WXS133" s="105"/>
      <c r="WXT133" s="105"/>
      <c r="WXU133" s="105"/>
      <c r="WXV133" s="105"/>
      <c r="WXW133" s="105"/>
      <c r="WXX133" s="105"/>
      <c r="WXY133" s="105"/>
      <c r="WXZ133" s="105"/>
      <c r="WYA133" s="105"/>
      <c r="WYB133" s="105"/>
      <c r="WYC133" s="105"/>
      <c r="WYD133" s="105"/>
      <c r="WYE133" s="105"/>
      <c r="WYF133" s="105"/>
      <c r="WYG133" s="105"/>
      <c r="WYH133" s="105"/>
      <c r="WYI133" s="105"/>
      <c r="WYJ133" s="105"/>
      <c r="WYK133" s="105"/>
      <c r="WYL133" s="105"/>
      <c r="WYM133" s="105"/>
      <c r="WYN133" s="105"/>
      <c r="WYO133" s="105"/>
      <c r="WYP133" s="105"/>
      <c r="WYQ133" s="105"/>
      <c r="WYR133" s="105"/>
      <c r="WYS133" s="105"/>
      <c r="WYT133" s="105"/>
      <c r="WYU133" s="105"/>
      <c r="WYV133" s="105"/>
      <c r="WYW133" s="105"/>
      <c r="WYX133" s="105"/>
      <c r="WYY133" s="105"/>
      <c r="WYZ133" s="105"/>
      <c r="WZA133" s="105"/>
      <c r="WZB133" s="105"/>
      <c r="WZC133" s="105"/>
      <c r="WZD133" s="105"/>
      <c r="WZE133" s="105"/>
      <c r="WZF133" s="105"/>
      <c r="WZG133" s="105"/>
      <c r="WZH133" s="105"/>
      <c r="WZI133" s="105"/>
      <c r="WZJ133" s="105"/>
      <c r="WZK133" s="105"/>
      <c r="WZL133" s="105"/>
      <c r="WZM133" s="105"/>
      <c r="WZN133" s="105"/>
      <c r="WZO133" s="105"/>
      <c r="WZP133" s="105"/>
      <c r="WZQ133" s="105"/>
      <c r="WZR133" s="105"/>
      <c r="WZS133" s="105"/>
      <c r="WZT133" s="105"/>
      <c r="WZU133" s="105"/>
      <c r="WZV133" s="105"/>
      <c r="WZW133" s="105"/>
      <c r="WZX133" s="105"/>
      <c r="WZY133" s="105"/>
      <c r="WZZ133" s="105"/>
      <c r="XAA133" s="105"/>
      <c r="XAB133" s="105"/>
      <c r="XAC133" s="105"/>
      <c r="XAD133" s="105"/>
      <c r="XAE133" s="105"/>
      <c r="XAF133" s="105"/>
      <c r="XAG133" s="105"/>
      <c r="XAH133" s="105"/>
      <c r="XAI133" s="105"/>
      <c r="XAJ133" s="105"/>
      <c r="XAK133" s="105"/>
      <c r="XAL133" s="105"/>
      <c r="XAM133" s="105"/>
      <c r="XAN133" s="105"/>
      <c r="XAO133" s="105"/>
      <c r="XAP133" s="105"/>
      <c r="XAQ133" s="105"/>
      <c r="XAR133" s="105"/>
      <c r="XAS133" s="105"/>
      <c r="XAT133" s="105"/>
      <c r="XAU133" s="105"/>
      <c r="XAV133" s="105"/>
      <c r="XAW133" s="105"/>
      <c r="XAX133" s="105"/>
      <c r="XAY133" s="105"/>
      <c r="XAZ133" s="105"/>
      <c r="XBA133" s="105"/>
      <c r="XBB133" s="105"/>
      <c r="XBC133" s="105"/>
      <c r="XBD133" s="105"/>
      <c r="XBE133" s="105"/>
      <c r="XBF133" s="105"/>
      <c r="XBG133" s="105"/>
      <c r="XBH133" s="105"/>
      <c r="XBI133" s="105"/>
      <c r="XBJ133" s="105"/>
      <c r="XBK133" s="105"/>
      <c r="XBL133" s="105"/>
      <c r="XBM133" s="105"/>
      <c r="XBN133" s="105"/>
      <c r="XBO133" s="105"/>
      <c r="XBP133" s="105"/>
      <c r="XBQ133" s="105"/>
      <c r="XBR133" s="105"/>
      <c r="XBS133" s="105"/>
      <c r="XBT133" s="105"/>
      <c r="XBU133" s="105"/>
      <c r="XBV133" s="105"/>
      <c r="XBW133" s="105"/>
      <c r="XBX133" s="105"/>
      <c r="XBY133" s="105"/>
      <c r="XBZ133" s="105"/>
      <c r="XCA133" s="105"/>
      <c r="XCB133" s="105"/>
      <c r="XCC133" s="105"/>
      <c r="XCD133" s="105"/>
      <c r="XCE133" s="105"/>
      <c r="XCF133" s="105"/>
      <c r="XCG133" s="105"/>
      <c r="XCH133" s="105"/>
      <c r="XCI133" s="105"/>
      <c r="XCJ133" s="105"/>
      <c r="XCK133" s="105"/>
      <c r="XCL133" s="105"/>
      <c r="XCM133" s="105"/>
      <c r="XCN133" s="105"/>
      <c r="XCO133" s="105"/>
      <c r="XCP133" s="105"/>
      <c r="XCQ133" s="105"/>
      <c r="XCR133" s="105"/>
      <c r="XCS133" s="105"/>
      <c r="XCT133" s="105"/>
      <c r="XCU133" s="105"/>
      <c r="XCV133" s="105"/>
      <c r="XCW133" s="105"/>
      <c r="XCX133" s="105"/>
      <c r="XCY133" s="105"/>
      <c r="XCZ133" s="105"/>
      <c r="XDA133" s="105"/>
      <c r="XDB133" s="105"/>
      <c r="XDC133" s="105"/>
      <c r="XDD133" s="105"/>
      <c r="XDE133" s="105"/>
      <c r="XDF133" s="105"/>
      <c r="XDG133" s="105"/>
      <c r="XDH133" s="105"/>
      <c r="XDI133" s="105"/>
      <c r="XDJ133" s="105"/>
      <c r="XDK133" s="105"/>
      <c r="XDL133" s="105"/>
      <c r="XDM133" s="105"/>
      <c r="XDN133" s="105"/>
      <c r="XDO133" s="105"/>
      <c r="XDP133" s="105"/>
      <c r="XDQ133" s="105"/>
      <c r="XDR133" s="105"/>
      <c r="XDS133" s="105"/>
      <c r="XDT133" s="105"/>
      <c r="XDU133" s="105"/>
      <c r="XDV133" s="105"/>
      <c r="XDW133" s="105"/>
      <c r="XDX133" s="105"/>
      <c r="XDY133" s="105"/>
      <c r="XDZ133" s="105"/>
      <c r="XEA133" s="105"/>
      <c r="XEB133" s="105"/>
      <c r="XEC133" s="105"/>
      <c r="XED133" s="105"/>
      <c r="XEE133" s="105"/>
      <c r="XEF133" s="105"/>
      <c r="XEG133" s="105"/>
      <c r="XEH133" s="105"/>
      <c r="XEI133" s="105"/>
      <c r="XEJ133" s="105"/>
      <c r="XEK133" s="105"/>
      <c r="XEL133" s="105"/>
      <c r="XEM133" s="105"/>
      <c r="XEN133" s="105"/>
      <c r="XEO133" s="105"/>
      <c r="XEP133" s="105"/>
      <c r="XEQ133" s="105"/>
      <c r="XER133" s="105"/>
      <c r="XES133" s="105"/>
      <c r="XET133" s="105"/>
      <c r="XEU133" s="105"/>
      <c r="XEV133" s="105"/>
      <c r="XEW133" s="105"/>
    </row>
    <row r="134" spans="1:16377">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c r="AA134" s="105"/>
      <c r="AB134" s="105"/>
      <c r="AC134" s="105"/>
      <c r="AD134" s="105"/>
      <c r="AE134" s="105"/>
      <c r="AF134" s="105"/>
      <c r="AG134" s="105"/>
      <c r="AH134" s="105"/>
      <c r="AI134" s="105"/>
      <c r="AJ134" s="105"/>
      <c r="AK134" s="105"/>
      <c r="AL134" s="105"/>
      <c r="AM134" s="105"/>
      <c r="AN134" s="105"/>
      <c r="AO134" s="105"/>
      <c r="AP134" s="105"/>
      <c r="AQ134" s="105"/>
      <c r="AR134" s="105"/>
      <c r="AS134" s="105"/>
      <c r="AT134" s="105"/>
      <c r="AU134" s="105"/>
      <c r="AV134" s="105"/>
      <c r="AW134" s="105"/>
      <c r="AX134" s="105"/>
      <c r="AY134" s="105"/>
      <c r="AZ134" s="105"/>
      <c r="BA134" s="105"/>
      <c r="BB134" s="105"/>
      <c r="BC134" s="105"/>
      <c r="BD134" s="105"/>
      <c r="BE134" s="105"/>
      <c r="BF134" s="105"/>
      <c r="BG134" s="105"/>
      <c r="BH134" s="105"/>
      <c r="BI134" s="105"/>
      <c r="BJ134" s="105"/>
      <c r="BK134" s="105"/>
      <c r="BL134" s="105"/>
      <c r="BM134" s="105"/>
      <c r="BN134" s="105"/>
      <c r="BO134" s="105"/>
      <c r="BP134" s="105"/>
      <c r="BQ134" s="105"/>
      <c r="BR134" s="105"/>
      <c r="BS134" s="105"/>
      <c r="BT134" s="105"/>
      <c r="BU134" s="105"/>
      <c r="BV134" s="105"/>
      <c r="BW134" s="105"/>
      <c r="BX134" s="105"/>
      <c r="BY134" s="105"/>
      <c r="BZ134" s="105"/>
      <c r="CA134" s="105"/>
      <c r="CB134" s="105"/>
      <c r="CC134" s="105"/>
      <c r="CD134" s="105"/>
      <c r="CE134" s="105"/>
      <c r="CF134" s="105"/>
      <c r="CG134" s="105"/>
      <c r="CH134" s="105"/>
      <c r="CI134" s="105"/>
      <c r="CJ134" s="105"/>
      <c r="CK134" s="105"/>
      <c r="CL134" s="105"/>
      <c r="CM134" s="105"/>
      <c r="CN134" s="105"/>
      <c r="CO134" s="105"/>
      <c r="CP134" s="105"/>
      <c r="CQ134" s="105"/>
      <c r="CR134" s="105"/>
      <c r="CS134" s="105"/>
      <c r="CT134" s="105"/>
      <c r="CU134" s="105"/>
      <c r="CV134" s="105"/>
      <c r="CW134" s="105"/>
      <c r="CX134" s="105"/>
      <c r="CY134" s="105"/>
      <c r="CZ134" s="105"/>
      <c r="DA134" s="105"/>
      <c r="DB134" s="105"/>
      <c r="DC134" s="105"/>
      <c r="DD134" s="105"/>
      <c r="DE134" s="105"/>
      <c r="DF134" s="105"/>
      <c r="DG134" s="105"/>
      <c r="DH134" s="105"/>
      <c r="DI134" s="105"/>
      <c r="DJ134" s="105"/>
      <c r="DK134" s="105"/>
      <c r="DL134" s="105"/>
      <c r="DM134" s="105"/>
      <c r="DN134" s="105"/>
      <c r="DO134" s="105"/>
      <c r="DP134" s="105"/>
      <c r="DQ134" s="105"/>
      <c r="DR134" s="105"/>
      <c r="DS134" s="105"/>
      <c r="DT134" s="105"/>
      <c r="DU134" s="105"/>
      <c r="DV134" s="105"/>
      <c r="DW134" s="105"/>
      <c r="DX134" s="105"/>
      <c r="DY134" s="105"/>
      <c r="DZ134" s="105"/>
      <c r="EA134" s="105"/>
      <c r="EB134" s="105"/>
      <c r="EC134" s="105"/>
      <c r="ED134" s="105"/>
      <c r="EE134" s="105"/>
      <c r="EF134" s="105"/>
      <c r="EG134" s="105"/>
      <c r="EH134" s="105"/>
      <c r="EI134" s="105"/>
      <c r="EJ134" s="105"/>
      <c r="EK134" s="105"/>
      <c r="EL134" s="105"/>
      <c r="EM134" s="105"/>
      <c r="EN134" s="105"/>
      <c r="EO134" s="105"/>
      <c r="EP134" s="105"/>
      <c r="EQ134" s="105"/>
      <c r="ER134" s="105"/>
      <c r="ES134" s="105"/>
      <c r="ET134" s="105"/>
      <c r="EU134" s="105"/>
      <c r="EV134" s="105"/>
      <c r="EW134" s="105"/>
      <c r="EX134" s="105"/>
      <c r="EY134" s="105"/>
      <c r="EZ134" s="105"/>
      <c r="FA134" s="105"/>
      <c r="FB134" s="105"/>
      <c r="FC134" s="105"/>
      <c r="FD134" s="105"/>
      <c r="FE134" s="105"/>
      <c r="FF134" s="105"/>
      <c r="FG134" s="105"/>
      <c r="FH134" s="105"/>
      <c r="FI134" s="105"/>
      <c r="FJ134" s="105"/>
      <c r="FK134" s="105"/>
      <c r="FL134" s="105"/>
      <c r="FM134" s="105"/>
      <c r="FN134" s="105"/>
      <c r="FO134" s="105"/>
      <c r="FP134" s="105"/>
      <c r="FQ134" s="105"/>
      <c r="FR134" s="105"/>
      <c r="FS134" s="105"/>
      <c r="FT134" s="105"/>
      <c r="FU134" s="105"/>
      <c r="FV134" s="105"/>
      <c r="FW134" s="105"/>
      <c r="FX134" s="105"/>
      <c r="FY134" s="105"/>
      <c r="FZ134" s="105"/>
      <c r="GA134" s="105"/>
      <c r="GB134" s="105"/>
      <c r="GC134" s="105"/>
      <c r="GD134" s="105"/>
      <c r="GE134" s="105"/>
      <c r="GF134" s="105"/>
      <c r="GG134" s="105"/>
      <c r="GH134" s="105"/>
      <c r="GI134" s="105"/>
      <c r="GJ134" s="105"/>
      <c r="GK134" s="105"/>
      <c r="GL134" s="105"/>
      <c r="GM134" s="105"/>
      <c r="GN134" s="105"/>
      <c r="GO134" s="105"/>
      <c r="GP134" s="105"/>
      <c r="GQ134" s="105"/>
      <c r="GR134" s="105"/>
      <c r="GS134" s="105"/>
      <c r="GT134" s="105"/>
      <c r="GU134" s="105"/>
      <c r="GV134" s="105"/>
      <c r="GW134" s="105"/>
      <c r="GX134" s="105"/>
      <c r="GY134" s="105"/>
      <c r="GZ134" s="105"/>
      <c r="HA134" s="105"/>
      <c r="HB134" s="105"/>
      <c r="HC134" s="105"/>
      <c r="HD134" s="105"/>
      <c r="HE134" s="105"/>
      <c r="HF134" s="105"/>
      <c r="HG134" s="105"/>
      <c r="HH134" s="105"/>
      <c r="HI134" s="105"/>
      <c r="HJ134" s="105"/>
      <c r="HK134" s="105"/>
      <c r="HL134" s="105"/>
      <c r="HM134" s="105"/>
      <c r="HN134" s="105"/>
      <c r="HO134" s="105"/>
      <c r="HP134" s="105"/>
      <c r="HQ134" s="105"/>
      <c r="HR134" s="105"/>
      <c r="HS134" s="105"/>
      <c r="HT134" s="105"/>
      <c r="HU134" s="105"/>
      <c r="HV134" s="105"/>
      <c r="HW134" s="105"/>
      <c r="HX134" s="105"/>
      <c r="HY134" s="105"/>
      <c r="HZ134" s="105"/>
      <c r="IA134" s="105"/>
      <c r="IB134" s="105"/>
      <c r="IC134" s="105"/>
      <c r="ID134" s="105"/>
      <c r="IE134" s="105"/>
      <c r="IF134" s="105"/>
      <c r="IG134" s="105"/>
      <c r="IH134" s="105"/>
      <c r="II134" s="105"/>
      <c r="IJ134" s="105"/>
      <c r="IK134" s="105"/>
      <c r="IL134" s="105"/>
      <c r="IM134" s="105"/>
      <c r="IN134" s="105"/>
      <c r="IO134" s="105"/>
      <c r="IP134" s="105"/>
      <c r="IQ134" s="105"/>
      <c r="IR134" s="105"/>
      <c r="IS134" s="105"/>
      <c r="IT134" s="105"/>
      <c r="IU134" s="105"/>
      <c r="IV134" s="105"/>
      <c r="IW134" s="105"/>
      <c r="IX134" s="105"/>
      <c r="IY134" s="105"/>
      <c r="IZ134" s="105"/>
      <c r="JA134" s="105"/>
      <c r="JB134" s="105"/>
      <c r="JC134" s="105"/>
      <c r="JD134" s="105"/>
      <c r="JE134" s="105"/>
      <c r="JF134" s="105"/>
      <c r="JG134" s="105"/>
      <c r="JH134" s="105"/>
      <c r="JI134" s="105"/>
      <c r="JJ134" s="105"/>
      <c r="JK134" s="105"/>
      <c r="JL134" s="105"/>
      <c r="JM134" s="105"/>
      <c r="JN134" s="105"/>
      <c r="JO134" s="105"/>
      <c r="JP134" s="105"/>
      <c r="JQ134" s="105"/>
      <c r="JR134" s="105"/>
      <c r="JS134" s="105"/>
      <c r="JT134" s="105"/>
      <c r="JU134" s="105"/>
      <c r="JV134" s="105"/>
      <c r="JW134" s="105"/>
      <c r="JX134" s="105"/>
      <c r="JY134" s="105"/>
      <c r="JZ134" s="105"/>
      <c r="KA134" s="105"/>
      <c r="KB134" s="105"/>
      <c r="KC134" s="105"/>
      <c r="KD134" s="105"/>
      <c r="KE134" s="105"/>
      <c r="KF134" s="105"/>
      <c r="KG134" s="105"/>
      <c r="KH134" s="105"/>
      <c r="KI134" s="105"/>
      <c r="KJ134" s="105"/>
      <c r="KK134" s="105"/>
      <c r="KL134" s="105"/>
      <c r="KM134" s="105"/>
      <c r="KN134" s="105"/>
      <c r="KO134" s="105"/>
      <c r="KP134" s="105"/>
      <c r="KQ134" s="105"/>
      <c r="KR134" s="105"/>
      <c r="KS134" s="105"/>
      <c r="KT134" s="105"/>
      <c r="KU134" s="105"/>
      <c r="KV134" s="105"/>
      <c r="KW134" s="105"/>
      <c r="KX134" s="105"/>
      <c r="KY134" s="105"/>
      <c r="KZ134" s="105"/>
      <c r="LA134" s="105"/>
      <c r="LB134" s="105"/>
      <c r="LC134" s="105"/>
      <c r="LD134" s="105"/>
      <c r="LE134" s="105"/>
      <c r="LF134" s="105"/>
      <c r="LG134" s="105"/>
      <c r="LH134" s="105"/>
      <c r="LI134" s="105"/>
      <c r="LJ134" s="105"/>
      <c r="LK134" s="105"/>
      <c r="LL134" s="105"/>
      <c r="LM134" s="105"/>
      <c r="LN134" s="105"/>
      <c r="LO134" s="105"/>
      <c r="LP134" s="105"/>
      <c r="LQ134" s="105"/>
      <c r="LR134" s="105"/>
      <c r="LS134" s="105"/>
      <c r="LT134" s="105"/>
      <c r="LU134" s="105"/>
      <c r="LV134" s="105"/>
      <c r="LW134" s="105"/>
      <c r="LX134" s="105"/>
      <c r="LY134" s="105"/>
      <c r="LZ134" s="105"/>
      <c r="MA134" s="105"/>
      <c r="MB134" s="105"/>
      <c r="MC134" s="105"/>
      <c r="MD134" s="105"/>
      <c r="ME134" s="105"/>
      <c r="MF134" s="105"/>
      <c r="MG134" s="105"/>
      <c r="MH134" s="105"/>
      <c r="MI134" s="105"/>
      <c r="MJ134" s="105"/>
      <c r="MK134" s="105"/>
      <c r="ML134" s="105"/>
      <c r="MM134" s="105"/>
      <c r="MN134" s="105"/>
      <c r="MO134" s="105"/>
      <c r="MP134" s="105"/>
      <c r="MQ134" s="105"/>
      <c r="MR134" s="105"/>
      <c r="MS134" s="105"/>
      <c r="MT134" s="105"/>
      <c r="MU134" s="105"/>
      <c r="MV134" s="105"/>
      <c r="MW134" s="105"/>
      <c r="MX134" s="105"/>
      <c r="MY134" s="105"/>
      <c r="MZ134" s="105"/>
      <c r="NA134" s="105"/>
      <c r="NB134" s="105"/>
      <c r="NC134" s="105"/>
      <c r="ND134" s="105"/>
      <c r="NE134" s="105"/>
      <c r="NF134" s="105"/>
      <c r="NG134" s="105"/>
      <c r="NH134" s="105"/>
      <c r="NI134" s="105"/>
      <c r="NJ134" s="105"/>
      <c r="NK134" s="105"/>
      <c r="NL134" s="105"/>
      <c r="NM134" s="105"/>
      <c r="NN134" s="105"/>
      <c r="NO134" s="105"/>
      <c r="NP134" s="105"/>
      <c r="NQ134" s="105"/>
      <c r="NR134" s="105"/>
      <c r="NS134" s="105"/>
      <c r="NT134" s="105"/>
      <c r="NU134" s="105"/>
      <c r="NV134" s="105"/>
      <c r="NW134" s="105"/>
      <c r="NX134" s="105"/>
      <c r="NY134" s="105"/>
      <c r="NZ134" s="105"/>
      <c r="OA134" s="105"/>
      <c r="OB134" s="105"/>
      <c r="OC134" s="105"/>
      <c r="OD134" s="105"/>
      <c r="OE134" s="105"/>
      <c r="OF134" s="105"/>
      <c r="OG134" s="105"/>
      <c r="OH134" s="105"/>
      <c r="OI134" s="105"/>
      <c r="OJ134" s="105"/>
      <c r="OK134" s="105"/>
      <c r="OL134" s="105"/>
      <c r="OM134" s="105"/>
      <c r="ON134" s="105"/>
      <c r="OO134" s="105"/>
      <c r="OP134" s="105"/>
      <c r="OQ134" s="105"/>
      <c r="OR134" s="105"/>
      <c r="OS134" s="105"/>
      <c r="OT134" s="105"/>
      <c r="OU134" s="105"/>
      <c r="OV134" s="105"/>
      <c r="OW134" s="105"/>
      <c r="OX134" s="105"/>
      <c r="OY134" s="105"/>
      <c r="OZ134" s="105"/>
      <c r="PA134" s="105"/>
      <c r="PB134" s="105"/>
      <c r="PC134" s="105"/>
      <c r="PD134" s="105"/>
      <c r="PE134" s="105"/>
      <c r="PF134" s="105"/>
      <c r="PG134" s="105"/>
      <c r="PH134" s="105"/>
      <c r="PI134" s="105"/>
      <c r="PJ134" s="105"/>
      <c r="PK134" s="105"/>
      <c r="PL134" s="105"/>
      <c r="PM134" s="105"/>
      <c r="PN134" s="105"/>
      <c r="PO134" s="105"/>
      <c r="PP134" s="105"/>
      <c r="PQ134" s="105"/>
      <c r="PR134" s="105"/>
      <c r="PS134" s="105"/>
      <c r="PT134" s="105"/>
      <c r="PU134" s="105"/>
      <c r="PV134" s="105"/>
      <c r="PW134" s="105"/>
      <c r="PX134" s="105"/>
      <c r="PY134" s="105"/>
      <c r="PZ134" s="105"/>
      <c r="QA134" s="105"/>
      <c r="QB134" s="105"/>
      <c r="QC134" s="105"/>
      <c r="QD134" s="105"/>
      <c r="QE134" s="105"/>
      <c r="QF134" s="105"/>
      <c r="QG134" s="105"/>
      <c r="QH134" s="105"/>
      <c r="QI134" s="105"/>
      <c r="QJ134" s="105"/>
      <c r="QK134" s="105"/>
      <c r="QL134" s="105"/>
      <c r="QM134" s="105"/>
      <c r="QN134" s="105"/>
      <c r="QO134" s="105"/>
      <c r="QP134" s="105"/>
      <c r="QQ134" s="105"/>
      <c r="QR134" s="105"/>
      <c r="QS134" s="105"/>
      <c r="QT134" s="105"/>
      <c r="QU134" s="105"/>
      <c r="QV134" s="105"/>
      <c r="QW134" s="105"/>
      <c r="QX134" s="105"/>
      <c r="QY134" s="105"/>
      <c r="QZ134" s="105"/>
      <c r="RA134" s="105"/>
      <c r="RB134" s="105"/>
      <c r="RC134" s="105"/>
      <c r="RD134" s="105"/>
      <c r="RE134" s="105"/>
      <c r="RF134" s="105"/>
      <c r="RG134" s="105"/>
      <c r="RH134" s="105"/>
      <c r="RI134" s="105"/>
      <c r="RJ134" s="105"/>
      <c r="RK134" s="105"/>
      <c r="RL134" s="105"/>
      <c r="RM134" s="105"/>
      <c r="RN134" s="105"/>
      <c r="RO134" s="105"/>
      <c r="RP134" s="105"/>
      <c r="RQ134" s="105"/>
      <c r="RR134" s="105"/>
      <c r="RS134" s="105"/>
      <c r="RT134" s="105"/>
      <c r="RU134" s="105"/>
      <c r="RV134" s="105"/>
      <c r="RW134" s="105"/>
      <c r="RX134" s="105"/>
      <c r="RY134" s="105"/>
      <c r="RZ134" s="105"/>
      <c r="SA134" s="105"/>
      <c r="SB134" s="105"/>
      <c r="SC134" s="105"/>
      <c r="SD134" s="105"/>
      <c r="SE134" s="105"/>
      <c r="SF134" s="105"/>
      <c r="SG134" s="105"/>
      <c r="SH134" s="105"/>
      <c r="SI134" s="105"/>
      <c r="SJ134" s="105"/>
      <c r="SK134" s="105"/>
      <c r="SL134" s="105"/>
      <c r="SM134" s="105"/>
      <c r="SN134" s="105"/>
      <c r="SO134" s="105"/>
      <c r="SP134" s="105"/>
      <c r="SQ134" s="105"/>
      <c r="SR134" s="105"/>
      <c r="SS134" s="105"/>
      <c r="ST134" s="105"/>
      <c r="SU134" s="105"/>
      <c r="SV134" s="105"/>
      <c r="SW134" s="105"/>
      <c r="SX134" s="105"/>
      <c r="SY134" s="105"/>
      <c r="SZ134" s="105"/>
      <c r="TA134" s="105"/>
      <c r="TB134" s="105"/>
      <c r="TC134" s="105"/>
      <c r="TD134" s="105"/>
      <c r="TE134" s="105"/>
      <c r="TF134" s="105"/>
      <c r="TG134" s="105"/>
      <c r="TH134" s="105"/>
      <c r="TI134" s="105"/>
      <c r="TJ134" s="105"/>
      <c r="TK134" s="105"/>
      <c r="TL134" s="105"/>
      <c r="TM134" s="105"/>
      <c r="TN134" s="105"/>
      <c r="TO134" s="105"/>
      <c r="TP134" s="105"/>
      <c r="TQ134" s="105"/>
      <c r="TR134" s="105"/>
      <c r="TS134" s="105"/>
      <c r="TT134" s="105"/>
      <c r="TU134" s="105"/>
      <c r="TV134" s="105"/>
      <c r="TW134" s="105"/>
      <c r="TX134" s="105"/>
      <c r="TY134" s="105"/>
      <c r="TZ134" s="105"/>
      <c r="UA134" s="105"/>
      <c r="UB134" s="105"/>
      <c r="UC134" s="105"/>
      <c r="UD134" s="105"/>
      <c r="UE134" s="105"/>
      <c r="UF134" s="105"/>
      <c r="UG134" s="105"/>
      <c r="UH134" s="105"/>
      <c r="UI134" s="105"/>
      <c r="UJ134" s="105"/>
      <c r="UK134" s="105"/>
      <c r="UL134" s="105"/>
      <c r="UM134" s="105"/>
      <c r="UN134" s="105"/>
      <c r="UO134" s="105"/>
      <c r="UP134" s="105"/>
      <c r="UQ134" s="105"/>
      <c r="UR134" s="105"/>
      <c r="US134" s="105"/>
      <c r="UT134" s="105"/>
      <c r="UU134" s="105"/>
      <c r="UV134" s="105"/>
      <c r="UW134" s="105"/>
      <c r="UX134" s="105"/>
      <c r="UY134" s="105"/>
      <c r="UZ134" s="105"/>
      <c r="VA134" s="105"/>
      <c r="VB134" s="105"/>
      <c r="VC134" s="105"/>
      <c r="VD134" s="105"/>
      <c r="VE134" s="105"/>
      <c r="VF134" s="105"/>
      <c r="VG134" s="105"/>
      <c r="VH134" s="105"/>
      <c r="VI134" s="105"/>
      <c r="VJ134" s="105"/>
      <c r="VK134" s="105"/>
      <c r="VL134" s="105"/>
      <c r="VM134" s="105"/>
      <c r="VN134" s="105"/>
      <c r="VO134" s="105"/>
      <c r="VP134" s="105"/>
      <c r="VQ134" s="105"/>
      <c r="VR134" s="105"/>
      <c r="VS134" s="105"/>
      <c r="VT134" s="105"/>
      <c r="VU134" s="105"/>
      <c r="VV134" s="105"/>
      <c r="VW134" s="105"/>
      <c r="VX134" s="105"/>
      <c r="VY134" s="105"/>
      <c r="VZ134" s="105"/>
      <c r="WA134" s="105"/>
      <c r="WB134" s="105"/>
      <c r="WC134" s="105"/>
      <c r="WD134" s="105"/>
      <c r="WE134" s="105"/>
      <c r="WF134" s="105"/>
      <c r="WG134" s="105"/>
      <c r="WH134" s="105"/>
      <c r="WI134" s="105"/>
      <c r="WJ134" s="105"/>
      <c r="WK134" s="105"/>
      <c r="WL134" s="105"/>
      <c r="WM134" s="105"/>
      <c r="WN134" s="105"/>
      <c r="WO134" s="105"/>
      <c r="WP134" s="105"/>
      <c r="WQ134" s="105"/>
      <c r="WR134" s="105"/>
      <c r="WS134" s="105"/>
      <c r="WT134" s="105"/>
      <c r="WU134" s="105"/>
      <c r="WV134" s="105"/>
      <c r="WW134" s="105"/>
      <c r="WX134" s="105"/>
      <c r="WY134" s="105"/>
      <c r="WZ134" s="105"/>
      <c r="XA134" s="105"/>
      <c r="XB134" s="105"/>
      <c r="XC134" s="105"/>
      <c r="XD134" s="105"/>
      <c r="XE134" s="105"/>
      <c r="XF134" s="105"/>
      <c r="XG134" s="105"/>
      <c r="XH134" s="105"/>
      <c r="XI134" s="105"/>
      <c r="XJ134" s="105"/>
      <c r="XK134" s="105"/>
      <c r="XL134" s="105"/>
      <c r="XM134" s="105"/>
      <c r="XN134" s="105"/>
      <c r="XO134" s="105"/>
      <c r="XP134" s="105"/>
      <c r="XQ134" s="105"/>
      <c r="XR134" s="105"/>
      <c r="XS134" s="105"/>
      <c r="XT134" s="105"/>
      <c r="XU134" s="105"/>
      <c r="XV134" s="105"/>
      <c r="XW134" s="105"/>
      <c r="XX134" s="105"/>
      <c r="XY134" s="105"/>
      <c r="XZ134" s="105"/>
      <c r="YA134" s="105"/>
      <c r="YB134" s="105"/>
      <c r="YC134" s="105"/>
      <c r="YD134" s="105"/>
      <c r="YE134" s="105"/>
      <c r="YF134" s="105"/>
      <c r="YG134" s="105"/>
      <c r="YH134" s="105"/>
      <c r="YI134" s="105"/>
      <c r="YJ134" s="105"/>
      <c r="YK134" s="105"/>
      <c r="YL134" s="105"/>
      <c r="YM134" s="105"/>
      <c r="YN134" s="105"/>
      <c r="YO134" s="105"/>
      <c r="YP134" s="105"/>
      <c r="YQ134" s="105"/>
      <c r="YR134" s="105"/>
      <c r="YS134" s="105"/>
      <c r="YT134" s="105"/>
      <c r="YU134" s="105"/>
      <c r="YV134" s="105"/>
      <c r="YW134" s="105"/>
      <c r="YX134" s="105"/>
      <c r="YY134" s="105"/>
      <c r="YZ134" s="105"/>
      <c r="ZA134" s="105"/>
      <c r="ZB134" s="105"/>
      <c r="ZC134" s="105"/>
      <c r="ZD134" s="105"/>
      <c r="ZE134" s="105"/>
      <c r="ZF134" s="105"/>
      <c r="ZG134" s="105"/>
      <c r="ZH134" s="105"/>
      <c r="ZI134" s="105"/>
      <c r="ZJ134" s="105"/>
      <c r="ZK134" s="105"/>
      <c r="ZL134" s="105"/>
      <c r="ZM134" s="105"/>
      <c r="ZN134" s="105"/>
      <c r="ZO134" s="105"/>
      <c r="ZP134" s="105"/>
      <c r="ZQ134" s="105"/>
      <c r="ZR134" s="105"/>
      <c r="ZS134" s="105"/>
      <c r="ZT134" s="105"/>
      <c r="ZU134" s="105"/>
      <c r="ZV134" s="105"/>
      <c r="ZW134" s="105"/>
      <c r="ZX134" s="105"/>
      <c r="ZY134" s="105"/>
      <c r="ZZ134" s="105"/>
      <c r="AAA134" s="105"/>
      <c r="AAB134" s="105"/>
      <c r="AAC134" s="105"/>
      <c r="AAD134" s="105"/>
      <c r="AAE134" s="105"/>
      <c r="AAF134" s="105"/>
      <c r="AAG134" s="105"/>
      <c r="AAH134" s="105"/>
      <c r="AAI134" s="105"/>
      <c r="AAJ134" s="105"/>
      <c r="AAK134" s="105"/>
      <c r="AAL134" s="105"/>
      <c r="AAM134" s="105"/>
      <c r="AAN134" s="105"/>
      <c r="AAO134" s="105"/>
      <c r="AAP134" s="105"/>
      <c r="AAQ134" s="105"/>
      <c r="AAR134" s="105"/>
      <c r="AAS134" s="105"/>
      <c r="AAT134" s="105"/>
      <c r="AAU134" s="105"/>
      <c r="AAV134" s="105"/>
      <c r="AAW134" s="105"/>
      <c r="AAX134" s="105"/>
      <c r="AAY134" s="105"/>
      <c r="AAZ134" s="105"/>
      <c r="ABA134" s="105"/>
      <c r="ABB134" s="105"/>
      <c r="ABC134" s="105"/>
      <c r="ABD134" s="105"/>
      <c r="ABE134" s="105"/>
      <c r="ABF134" s="105"/>
      <c r="ABG134" s="105"/>
      <c r="ABH134" s="105"/>
      <c r="ABI134" s="105"/>
      <c r="ABJ134" s="105"/>
      <c r="ABK134" s="105"/>
      <c r="ABL134" s="105"/>
      <c r="ABM134" s="105"/>
      <c r="ABN134" s="105"/>
      <c r="ABO134" s="105"/>
      <c r="ABP134" s="105"/>
      <c r="ABQ134" s="105"/>
      <c r="ABR134" s="105"/>
      <c r="ABS134" s="105"/>
      <c r="ABT134" s="105"/>
      <c r="ABU134" s="105"/>
      <c r="ABV134" s="105"/>
      <c r="ABW134" s="105"/>
      <c r="ABX134" s="105"/>
      <c r="ABY134" s="105"/>
      <c r="ABZ134" s="105"/>
      <c r="ACA134" s="105"/>
      <c r="ACB134" s="105"/>
      <c r="ACC134" s="105"/>
      <c r="ACD134" s="105"/>
      <c r="ACE134" s="105"/>
      <c r="ACF134" s="105"/>
      <c r="ACG134" s="105"/>
      <c r="ACH134" s="105"/>
      <c r="ACI134" s="105"/>
      <c r="ACJ134" s="105"/>
      <c r="ACK134" s="105"/>
      <c r="ACL134" s="105"/>
      <c r="ACM134" s="105"/>
      <c r="ACN134" s="105"/>
      <c r="ACO134" s="105"/>
      <c r="ACP134" s="105"/>
      <c r="ACQ134" s="105"/>
      <c r="ACR134" s="105"/>
      <c r="ACS134" s="105"/>
      <c r="ACT134" s="105"/>
      <c r="ACU134" s="105"/>
      <c r="ACV134" s="105"/>
      <c r="ACW134" s="105"/>
      <c r="ACX134" s="105"/>
      <c r="ACY134" s="105"/>
      <c r="ACZ134" s="105"/>
      <c r="ADA134" s="105"/>
      <c r="ADB134" s="105"/>
      <c r="ADC134" s="105"/>
      <c r="ADD134" s="105"/>
      <c r="ADE134" s="105"/>
      <c r="ADF134" s="105"/>
      <c r="ADG134" s="105"/>
      <c r="ADH134" s="105"/>
      <c r="ADI134" s="105"/>
      <c r="ADJ134" s="105"/>
      <c r="ADK134" s="105"/>
      <c r="ADL134" s="105"/>
      <c r="ADM134" s="105"/>
      <c r="ADN134" s="105"/>
      <c r="ADO134" s="105"/>
      <c r="ADP134" s="105"/>
      <c r="ADQ134" s="105"/>
      <c r="ADR134" s="105"/>
      <c r="ADS134" s="105"/>
      <c r="ADT134" s="105"/>
      <c r="ADU134" s="105"/>
      <c r="ADV134" s="105"/>
      <c r="ADW134" s="105"/>
      <c r="ADX134" s="105"/>
      <c r="ADY134" s="105"/>
      <c r="ADZ134" s="105"/>
      <c r="AEA134" s="105"/>
      <c r="AEB134" s="105"/>
      <c r="AEC134" s="105"/>
      <c r="AED134" s="105"/>
      <c r="AEE134" s="105"/>
      <c r="AEF134" s="105"/>
      <c r="AEG134" s="105"/>
      <c r="AEH134" s="105"/>
      <c r="AEI134" s="105"/>
      <c r="AEJ134" s="105"/>
      <c r="AEK134" s="105"/>
      <c r="AEL134" s="105"/>
      <c r="AEM134" s="105"/>
      <c r="AEN134" s="105"/>
      <c r="AEO134" s="105"/>
      <c r="AEP134" s="105"/>
      <c r="AEQ134" s="105"/>
      <c r="AER134" s="105"/>
      <c r="AES134" s="105"/>
      <c r="AET134" s="105"/>
      <c r="AEU134" s="105"/>
      <c r="AEV134" s="105"/>
      <c r="AEW134" s="105"/>
      <c r="AEX134" s="105"/>
      <c r="AEY134" s="105"/>
      <c r="AEZ134" s="105"/>
      <c r="AFA134" s="105"/>
      <c r="AFB134" s="105"/>
      <c r="AFC134" s="105"/>
      <c r="AFD134" s="105"/>
      <c r="AFE134" s="105"/>
      <c r="AFF134" s="105"/>
      <c r="AFG134" s="105"/>
      <c r="AFH134" s="105"/>
      <c r="AFI134" s="105"/>
      <c r="AFJ134" s="105"/>
      <c r="AFK134" s="105"/>
      <c r="AFL134" s="105"/>
      <c r="AFM134" s="105"/>
      <c r="AFN134" s="105"/>
      <c r="AFO134" s="105"/>
      <c r="AFP134" s="105"/>
      <c r="AFQ134" s="105"/>
      <c r="AFR134" s="105"/>
      <c r="AFS134" s="105"/>
      <c r="AFT134" s="105"/>
      <c r="AFU134" s="105"/>
      <c r="AFV134" s="105"/>
      <c r="AFW134" s="105"/>
      <c r="AFX134" s="105"/>
      <c r="AFY134" s="105"/>
      <c r="AFZ134" s="105"/>
      <c r="AGA134" s="105"/>
      <c r="AGB134" s="105"/>
      <c r="AGC134" s="105"/>
      <c r="AGD134" s="105"/>
      <c r="AGE134" s="105"/>
      <c r="AGF134" s="105"/>
      <c r="AGG134" s="105"/>
      <c r="AGH134" s="105"/>
      <c r="AGI134" s="105"/>
      <c r="AGJ134" s="105"/>
      <c r="AGK134" s="105"/>
      <c r="AGL134" s="105"/>
      <c r="AGM134" s="105"/>
      <c r="AGN134" s="105"/>
      <c r="AGO134" s="105"/>
      <c r="AGP134" s="105"/>
      <c r="AGQ134" s="105"/>
      <c r="AGR134" s="105"/>
      <c r="AGS134" s="105"/>
      <c r="AGT134" s="105"/>
      <c r="AGU134" s="105"/>
      <c r="AGV134" s="105"/>
      <c r="AGW134" s="105"/>
      <c r="AGX134" s="105"/>
      <c r="AGY134" s="105"/>
      <c r="AGZ134" s="105"/>
      <c r="AHA134" s="105"/>
      <c r="AHB134" s="105"/>
      <c r="AHC134" s="105"/>
      <c r="AHD134" s="105"/>
      <c r="AHE134" s="105"/>
      <c r="AHF134" s="105"/>
      <c r="AHG134" s="105"/>
      <c r="AHH134" s="105"/>
      <c r="AHI134" s="105"/>
      <c r="AHJ134" s="105"/>
      <c r="AHK134" s="105"/>
      <c r="AHL134" s="105"/>
      <c r="AHM134" s="105"/>
      <c r="AHN134" s="105"/>
      <c r="AHO134" s="105"/>
      <c r="AHP134" s="105"/>
      <c r="AHQ134" s="105"/>
      <c r="AHR134" s="105"/>
      <c r="AHS134" s="105"/>
      <c r="AHT134" s="105"/>
      <c r="AHU134" s="105"/>
      <c r="AHV134" s="105"/>
      <c r="AHW134" s="105"/>
      <c r="AHX134" s="105"/>
      <c r="AHY134" s="105"/>
      <c r="AHZ134" s="105"/>
      <c r="AIA134" s="105"/>
      <c r="AIB134" s="105"/>
      <c r="AIC134" s="105"/>
      <c r="AID134" s="105"/>
      <c r="AIE134" s="105"/>
      <c r="AIF134" s="105"/>
      <c r="AIG134" s="105"/>
      <c r="AIH134" s="105"/>
      <c r="AII134" s="105"/>
      <c r="AIJ134" s="105"/>
      <c r="AIK134" s="105"/>
      <c r="AIL134" s="105"/>
      <c r="AIM134" s="105"/>
      <c r="AIN134" s="105"/>
      <c r="AIO134" s="105"/>
      <c r="AIP134" s="105"/>
      <c r="AIQ134" s="105"/>
      <c r="AIR134" s="105"/>
      <c r="AIS134" s="105"/>
      <c r="AIT134" s="105"/>
      <c r="AIU134" s="105"/>
      <c r="AIV134" s="105"/>
      <c r="AIW134" s="105"/>
      <c r="AIX134" s="105"/>
      <c r="AIY134" s="105"/>
      <c r="AIZ134" s="105"/>
      <c r="AJA134" s="105"/>
      <c r="AJB134" s="105"/>
      <c r="AJC134" s="105"/>
      <c r="AJD134" s="105"/>
      <c r="AJE134" s="105"/>
      <c r="AJF134" s="105"/>
      <c r="AJG134" s="105"/>
      <c r="AJH134" s="105"/>
      <c r="AJI134" s="105"/>
      <c r="AJJ134" s="105"/>
      <c r="AJK134" s="105"/>
      <c r="AJL134" s="105"/>
      <c r="AJM134" s="105"/>
      <c r="AJN134" s="105"/>
      <c r="AJO134" s="105"/>
      <c r="AJP134" s="105"/>
      <c r="AJQ134" s="105"/>
      <c r="AJR134" s="105"/>
      <c r="AJS134" s="105"/>
      <c r="AJT134" s="105"/>
      <c r="AJU134" s="105"/>
      <c r="AJV134" s="105"/>
      <c r="AJW134" s="105"/>
      <c r="AJX134" s="105"/>
      <c r="AJY134" s="105"/>
      <c r="AJZ134" s="105"/>
      <c r="AKA134" s="105"/>
      <c r="AKB134" s="105"/>
      <c r="AKC134" s="105"/>
      <c r="AKD134" s="105"/>
      <c r="AKE134" s="105"/>
      <c r="AKF134" s="105"/>
      <c r="AKG134" s="105"/>
      <c r="AKH134" s="105"/>
      <c r="AKI134" s="105"/>
      <c r="AKJ134" s="105"/>
      <c r="AKK134" s="105"/>
      <c r="AKL134" s="105"/>
      <c r="AKM134" s="105"/>
      <c r="AKN134" s="105"/>
      <c r="AKO134" s="105"/>
      <c r="AKP134" s="105"/>
      <c r="AKQ134" s="105"/>
      <c r="AKR134" s="105"/>
      <c r="AKS134" s="105"/>
      <c r="AKT134" s="105"/>
      <c r="AKU134" s="105"/>
      <c r="AKV134" s="105"/>
      <c r="AKW134" s="105"/>
      <c r="AKX134" s="105"/>
      <c r="AKY134" s="105"/>
      <c r="AKZ134" s="105"/>
      <c r="ALA134" s="105"/>
      <c r="ALB134" s="105"/>
      <c r="ALC134" s="105"/>
      <c r="ALD134" s="105"/>
      <c r="ALE134" s="105"/>
      <c r="ALF134" s="105"/>
      <c r="ALG134" s="105"/>
      <c r="ALH134" s="105"/>
      <c r="ALI134" s="105"/>
      <c r="ALJ134" s="105"/>
      <c r="ALK134" s="105"/>
      <c r="ALL134" s="105"/>
      <c r="ALM134" s="105"/>
      <c r="ALN134" s="105"/>
      <c r="ALO134" s="105"/>
      <c r="ALP134" s="105"/>
      <c r="ALQ134" s="105"/>
      <c r="ALR134" s="105"/>
      <c r="ALS134" s="105"/>
      <c r="ALT134" s="105"/>
      <c r="ALU134" s="105"/>
      <c r="ALV134" s="105"/>
      <c r="ALW134" s="105"/>
      <c r="ALX134" s="105"/>
      <c r="ALY134" s="105"/>
      <c r="ALZ134" s="105"/>
      <c r="AMA134" s="105"/>
      <c r="AMB134" s="105"/>
      <c r="AMC134" s="105"/>
      <c r="AMD134" s="105"/>
      <c r="AME134" s="105"/>
      <c r="AMF134" s="105"/>
      <c r="AMG134" s="105"/>
      <c r="AMH134" s="105"/>
      <c r="AMI134" s="105"/>
      <c r="AMJ134" s="105"/>
      <c r="AMK134" s="105"/>
      <c r="AML134" s="105"/>
      <c r="AMM134" s="105"/>
      <c r="AMN134" s="105"/>
      <c r="AMO134" s="105"/>
      <c r="AMP134" s="105"/>
      <c r="AMQ134" s="105"/>
      <c r="AMR134" s="105"/>
      <c r="AMS134" s="105"/>
      <c r="AMT134" s="105"/>
      <c r="AMU134" s="105"/>
      <c r="AMV134" s="105"/>
      <c r="AMW134" s="105"/>
      <c r="AMX134" s="105"/>
      <c r="AMY134" s="105"/>
      <c r="AMZ134" s="105"/>
      <c r="ANA134" s="105"/>
      <c r="ANB134" s="105"/>
      <c r="ANC134" s="105"/>
      <c r="AND134" s="105"/>
      <c r="ANE134" s="105"/>
      <c r="ANF134" s="105"/>
      <c r="ANG134" s="105"/>
      <c r="ANH134" s="105"/>
      <c r="ANI134" s="105"/>
      <c r="ANJ134" s="105"/>
      <c r="ANK134" s="105"/>
      <c r="ANL134" s="105"/>
      <c r="ANM134" s="105"/>
      <c r="ANN134" s="105"/>
      <c r="ANO134" s="105"/>
      <c r="ANP134" s="105"/>
      <c r="ANQ134" s="105"/>
      <c r="ANR134" s="105"/>
      <c r="ANS134" s="105"/>
      <c r="ANT134" s="105"/>
      <c r="ANU134" s="105"/>
      <c r="ANV134" s="105"/>
      <c r="ANW134" s="105"/>
      <c r="ANX134" s="105"/>
      <c r="ANY134" s="105"/>
      <c r="ANZ134" s="105"/>
      <c r="AOA134" s="105"/>
      <c r="AOB134" s="105"/>
      <c r="AOC134" s="105"/>
      <c r="AOD134" s="105"/>
      <c r="AOE134" s="105"/>
      <c r="AOF134" s="105"/>
      <c r="AOG134" s="105"/>
      <c r="AOH134" s="105"/>
      <c r="AOI134" s="105"/>
      <c r="AOJ134" s="105"/>
      <c r="AOK134" s="105"/>
      <c r="AOL134" s="105"/>
      <c r="AOM134" s="105"/>
      <c r="AON134" s="105"/>
      <c r="AOO134" s="105"/>
      <c r="AOP134" s="105"/>
      <c r="AOQ134" s="105"/>
      <c r="AOR134" s="105"/>
      <c r="AOS134" s="105"/>
      <c r="AOT134" s="105"/>
      <c r="AOU134" s="105"/>
      <c r="AOV134" s="105"/>
      <c r="AOW134" s="105"/>
      <c r="AOX134" s="105"/>
      <c r="AOY134" s="105"/>
      <c r="AOZ134" s="105"/>
      <c r="APA134" s="105"/>
      <c r="APB134" s="105"/>
      <c r="APC134" s="105"/>
      <c r="APD134" s="105"/>
      <c r="APE134" s="105"/>
      <c r="APF134" s="105"/>
      <c r="APG134" s="105"/>
      <c r="APH134" s="105"/>
      <c r="API134" s="105"/>
      <c r="APJ134" s="105"/>
      <c r="APK134" s="105"/>
      <c r="APL134" s="105"/>
      <c r="APM134" s="105"/>
      <c r="APN134" s="105"/>
      <c r="APO134" s="105"/>
      <c r="APP134" s="105"/>
      <c r="APQ134" s="105"/>
      <c r="APR134" s="105"/>
      <c r="APS134" s="105"/>
      <c r="APT134" s="105"/>
      <c r="APU134" s="105"/>
      <c r="APV134" s="105"/>
      <c r="APW134" s="105"/>
      <c r="APX134" s="105"/>
      <c r="APY134" s="105"/>
      <c r="APZ134" s="105"/>
      <c r="AQA134" s="105"/>
      <c r="AQB134" s="105"/>
      <c r="AQC134" s="105"/>
      <c r="AQD134" s="105"/>
      <c r="AQE134" s="105"/>
      <c r="AQF134" s="105"/>
      <c r="AQG134" s="105"/>
      <c r="AQH134" s="105"/>
      <c r="AQI134" s="105"/>
      <c r="AQJ134" s="105"/>
      <c r="AQK134" s="105"/>
      <c r="AQL134" s="105"/>
      <c r="AQM134" s="105"/>
      <c r="AQN134" s="105"/>
      <c r="AQO134" s="105"/>
      <c r="AQP134" s="105"/>
      <c r="AQQ134" s="105"/>
      <c r="AQR134" s="105"/>
      <c r="AQS134" s="105"/>
      <c r="AQT134" s="105"/>
      <c r="AQU134" s="105"/>
      <c r="AQV134" s="105"/>
      <c r="AQW134" s="105"/>
      <c r="AQX134" s="105"/>
      <c r="AQY134" s="105"/>
      <c r="AQZ134" s="105"/>
      <c r="ARA134" s="105"/>
      <c r="ARB134" s="105"/>
      <c r="ARC134" s="105"/>
      <c r="ARD134" s="105"/>
      <c r="ARE134" s="105"/>
      <c r="ARF134" s="105"/>
      <c r="ARG134" s="105"/>
      <c r="ARH134" s="105"/>
      <c r="ARI134" s="105"/>
      <c r="ARJ134" s="105"/>
      <c r="ARK134" s="105"/>
      <c r="ARL134" s="105"/>
      <c r="ARM134" s="105"/>
      <c r="ARN134" s="105"/>
      <c r="ARO134" s="105"/>
      <c r="ARP134" s="105"/>
      <c r="ARQ134" s="105"/>
      <c r="ARR134" s="105"/>
      <c r="ARS134" s="105"/>
      <c r="ART134" s="105"/>
      <c r="ARU134" s="105"/>
      <c r="ARV134" s="105"/>
      <c r="ARW134" s="105"/>
      <c r="ARX134" s="105"/>
      <c r="ARY134" s="105"/>
      <c r="ARZ134" s="105"/>
      <c r="ASA134" s="105"/>
      <c r="ASB134" s="105"/>
      <c r="ASC134" s="105"/>
      <c r="ASD134" s="105"/>
      <c r="ASE134" s="105"/>
      <c r="ASF134" s="105"/>
      <c r="ASG134" s="105"/>
      <c r="ASH134" s="105"/>
      <c r="ASI134" s="105"/>
      <c r="ASJ134" s="105"/>
      <c r="ASK134" s="105"/>
      <c r="ASL134" s="105"/>
      <c r="ASM134" s="105"/>
      <c r="ASN134" s="105"/>
      <c r="ASO134" s="105"/>
      <c r="ASP134" s="105"/>
      <c r="ASQ134" s="105"/>
      <c r="ASR134" s="105"/>
      <c r="ASS134" s="105"/>
      <c r="AST134" s="105"/>
      <c r="ASU134" s="105"/>
      <c r="ASV134" s="105"/>
      <c r="ASW134" s="105"/>
      <c r="ASX134" s="105"/>
      <c r="ASY134" s="105"/>
      <c r="ASZ134" s="105"/>
      <c r="ATA134" s="105"/>
      <c r="ATB134" s="105"/>
      <c r="ATC134" s="105"/>
      <c r="ATD134" s="105"/>
      <c r="ATE134" s="105"/>
      <c r="ATF134" s="105"/>
      <c r="ATG134" s="105"/>
      <c r="ATH134" s="105"/>
      <c r="ATI134" s="105"/>
      <c r="ATJ134" s="105"/>
      <c r="ATK134" s="105"/>
      <c r="ATL134" s="105"/>
      <c r="ATM134" s="105"/>
      <c r="ATN134" s="105"/>
      <c r="ATO134" s="105"/>
      <c r="ATP134" s="105"/>
      <c r="ATQ134" s="105"/>
      <c r="ATR134" s="105"/>
      <c r="ATS134" s="105"/>
      <c r="ATT134" s="105"/>
      <c r="ATU134" s="105"/>
      <c r="ATV134" s="105"/>
      <c r="ATW134" s="105"/>
      <c r="ATX134" s="105"/>
      <c r="ATY134" s="105"/>
      <c r="ATZ134" s="105"/>
      <c r="AUA134" s="105"/>
      <c r="AUB134" s="105"/>
      <c r="AUC134" s="105"/>
      <c r="AUD134" s="105"/>
      <c r="AUE134" s="105"/>
      <c r="AUF134" s="105"/>
      <c r="AUG134" s="105"/>
      <c r="AUH134" s="105"/>
      <c r="AUI134" s="105"/>
      <c r="AUJ134" s="105"/>
      <c r="AUK134" s="105"/>
      <c r="AUL134" s="105"/>
      <c r="AUM134" s="105"/>
      <c r="AUN134" s="105"/>
      <c r="AUO134" s="105"/>
      <c r="AUP134" s="105"/>
      <c r="AUQ134" s="105"/>
      <c r="AUR134" s="105"/>
      <c r="AUS134" s="105"/>
      <c r="AUT134" s="105"/>
      <c r="AUU134" s="105"/>
      <c r="AUV134" s="105"/>
      <c r="AUW134" s="105"/>
      <c r="AUX134" s="105"/>
      <c r="AUY134" s="105"/>
      <c r="AUZ134" s="105"/>
      <c r="AVA134" s="105"/>
      <c r="AVB134" s="105"/>
      <c r="AVC134" s="105"/>
      <c r="AVD134" s="105"/>
      <c r="AVE134" s="105"/>
      <c r="AVF134" s="105"/>
      <c r="AVG134" s="105"/>
      <c r="AVH134" s="105"/>
      <c r="AVI134" s="105"/>
      <c r="AVJ134" s="105"/>
      <c r="AVK134" s="105"/>
      <c r="AVL134" s="105"/>
      <c r="AVM134" s="105"/>
      <c r="AVN134" s="105"/>
      <c r="AVO134" s="105"/>
      <c r="AVP134" s="105"/>
      <c r="AVQ134" s="105"/>
      <c r="AVR134" s="105"/>
      <c r="AVS134" s="105"/>
      <c r="AVT134" s="105"/>
      <c r="AVU134" s="105"/>
      <c r="AVV134" s="105"/>
      <c r="AVW134" s="105"/>
      <c r="AVX134" s="105"/>
      <c r="AVY134" s="105"/>
      <c r="AVZ134" s="105"/>
      <c r="AWA134" s="105"/>
      <c r="AWB134" s="105"/>
      <c r="AWC134" s="105"/>
      <c r="AWD134" s="105"/>
      <c r="AWE134" s="105"/>
      <c r="AWF134" s="105"/>
      <c r="AWG134" s="105"/>
      <c r="AWH134" s="105"/>
      <c r="AWI134" s="105"/>
      <c r="AWJ134" s="105"/>
      <c r="AWK134" s="105"/>
      <c r="AWL134" s="105"/>
      <c r="AWM134" s="105"/>
      <c r="AWN134" s="105"/>
      <c r="AWO134" s="105"/>
      <c r="AWP134" s="105"/>
      <c r="AWQ134" s="105"/>
      <c r="AWR134" s="105"/>
      <c r="AWS134" s="105"/>
      <c r="AWT134" s="105"/>
      <c r="AWU134" s="105"/>
      <c r="AWV134" s="105"/>
      <c r="AWW134" s="105"/>
      <c r="AWX134" s="105"/>
      <c r="AWY134" s="105"/>
      <c r="AWZ134" s="105"/>
      <c r="AXA134" s="105"/>
      <c r="AXB134" s="105"/>
      <c r="AXC134" s="105"/>
      <c r="AXD134" s="105"/>
      <c r="AXE134" s="105"/>
      <c r="AXF134" s="105"/>
      <c r="AXG134" s="105"/>
      <c r="AXH134" s="105"/>
      <c r="AXI134" s="105"/>
      <c r="AXJ134" s="105"/>
      <c r="AXK134" s="105"/>
      <c r="AXL134" s="105"/>
      <c r="AXM134" s="105"/>
      <c r="AXN134" s="105"/>
      <c r="AXO134" s="105"/>
      <c r="AXP134" s="105"/>
      <c r="AXQ134" s="105"/>
      <c r="AXR134" s="105"/>
      <c r="AXS134" s="105"/>
      <c r="AXT134" s="105"/>
      <c r="AXU134" s="105"/>
      <c r="AXV134" s="105"/>
      <c r="AXW134" s="105"/>
      <c r="AXX134" s="105"/>
      <c r="AXY134" s="105"/>
      <c r="AXZ134" s="105"/>
      <c r="AYA134" s="105"/>
      <c r="AYB134" s="105"/>
      <c r="AYC134" s="105"/>
      <c r="AYD134" s="105"/>
      <c r="AYE134" s="105"/>
      <c r="AYF134" s="105"/>
      <c r="AYG134" s="105"/>
      <c r="AYH134" s="105"/>
      <c r="AYI134" s="105"/>
      <c r="AYJ134" s="105"/>
      <c r="AYK134" s="105"/>
      <c r="AYL134" s="105"/>
      <c r="AYM134" s="105"/>
      <c r="AYN134" s="105"/>
      <c r="AYO134" s="105"/>
      <c r="AYP134" s="105"/>
      <c r="AYQ134" s="105"/>
      <c r="AYR134" s="105"/>
      <c r="AYS134" s="105"/>
      <c r="AYT134" s="105"/>
      <c r="AYU134" s="105"/>
      <c r="AYV134" s="105"/>
      <c r="AYW134" s="105"/>
      <c r="AYX134" s="105"/>
      <c r="AYY134" s="105"/>
      <c r="AYZ134" s="105"/>
      <c r="AZA134" s="105"/>
      <c r="AZB134" s="105"/>
      <c r="AZC134" s="105"/>
      <c r="AZD134" s="105"/>
      <c r="AZE134" s="105"/>
      <c r="AZF134" s="105"/>
      <c r="AZG134" s="105"/>
      <c r="AZH134" s="105"/>
      <c r="AZI134" s="105"/>
      <c r="AZJ134" s="105"/>
      <c r="AZK134" s="105"/>
      <c r="AZL134" s="105"/>
      <c r="AZM134" s="105"/>
      <c r="AZN134" s="105"/>
      <c r="AZO134" s="105"/>
      <c r="AZP134" s="105"/>
      <c r="AZQ134" s="105"/>
      <c r="AZR134" s="105"/>
      <c r="AZS134" s="105"/>
      <c r="AZT134" s="105"/>
      <c r="AZU134" s="105"/>
      <c r="AZV134" s="105"/>
      <c r="AZW134" s="105"/>
      <c r="AZX134" s="105"/>
      <c r="AZY134" s="105"/>
      <c r="AZZ134" s="105"/>
      <c r="BAA134" s="105"/>
      <c r="BAB134" s="105"/>
      <c r="BAC134" s="105"/>
      <c r="BAD134" s="105"/>
      <c r="BAE134" s="105"/>
      <c r="BAF134" s="105"/>
      <c r="BAG134" s="105"/>
      <c r="BAH134" s="105"/>
      <c r="BAI134" s="105"/>
      <c r="BAJ134" s="105"/>
      <c r="BAK134" s="105"/>
      <c r="BAL134" s="105"/>
      <c r="BAM134" s="105"/>
      <c r="BAN134" s="105"/>
      <c r="BAO134" s="105"/>
      <c r="BAP134" s="105"/>
      <c r="BAQ134" s="105"/>
      <c r="BAR134" s="105"/>
      <c r="BAS134" s="105"/>
      <c r="BAT134" s="105"/>
      <c r="BAU134" s="105"/>
      <c r="BAV134" s="105"/>
      <c r="BAW134" s="105"/>
      <c r="BAX134" s="105"/>
      <c r="BAY134" s="105"/>
      <c r="BAZ134" s="105"/>
      <c r="BBA134" s="105"/>
      <c r="BBB134" s="105"/>
      <c r="BBC134" s="105"/>
      <c r="BBD134" s="105"/>
      <c r="BBE134" s="105"/>
      <c r="BBF134" s="105"/>
      <c r="BBG134" s="105"/>
      <c r="BBH134" s="105"/>
      <c r="BBI134" s="105"/>
      <c r="BBJ134" s="105"/>
      <c r="BBK134" s="105"/>
      <c r="BBL134" s="105"/>
      <c r="BBM134" s="105"/>
      <c r="BBN134" s="105"/>
      <c r="BBO134" s="105"/>
      <c r="BBP134" s="105"/>
      <c r="BBQ134" s="105"/>
      <c r="BBR134" s="105"/>
      <c r="BBS134" s="105"/>
      <c r="BBT134" s="105"/>
      <c r="BBU134" s="105"/>
      <c r="BBV134" s="105"/>
      <c r="BBW134" s="105"/>
      <c r="BBX134" s="105"/>
      <c r="BBY134" s="105"/>
      <c r="BBZ134" s="105"/>
      <c r="BCA134" s="105"/>
      <c r="BCB134" s="105"/>
      <c r="BCC134" s="105"/>
      <c r="BCD134" s="105"/>
      <c r="BCE134" s="105"/>
      <c r="BCF134" s="105"/>
      <c r="BCG134" s="105"/>
      <c r="BCH134" s="105"/>
      <c r="BCI134" s="105"/>
      <c r="BCJ134" s="105"/>
      <c r="BCK134" s="105"/>
      <c r="BCL134" s="105"/>
      <c r="BCM134" s="105"/>
      <c r="BCN134" s="105"/>
      <c r="BCO134" s="105"/>
      <c r="BCP134" s="105"/>
      <c r="BCQ134" s="105"/>
      <c r="BCR134" s="105"/>
      <c r="BCS134" s="105"/>
      <c r="BCT134" s="105"/>
      <c r="BCU134" s="105"/>
      <c r="BCV134" s="105"/>
      <c r="BCW134" s="105"/>
      <c r="BCX134" s="105"/>
      <c r="BCY134" s="105"/>
      <c r="BCZ134" s="105"/>
      <c r="BDA134" s="105"/>
      <c r="BDB134" s="105"/>
      <c r="BDC134" s="105"/>
      <c r="BDD134" s="105"/>
      <c r="BDE134" s="105"/>
      <c r="BDF134" s="105"/>
      <c r="BDG134" s="105"/>
      <c r="BDH134" s="105"/>
      <c r="BDI134" s="105"/>
      <c r="BDJ134" s="105"/>
      <c r="BDK134" s="105"/>
      <c r="BDL134" s="105"/>
      <c r="BDM134" s="105"/>
      <c r="BDN134" s="105"/>
      <c r="BDO134" s="105"/>
      <c r="BDP134" s="105"/>
      <c r="BDQ134" s="105"/>
      <c r="BDR134" s="105"/>
      <c r="BDS134" s="105"/>
      <c r="BDT134" s="105"/>
      <c r="BDU134" s="105"/>
      <c r="BDV134" s="105"/>
      <c r="BDW134" s="105"/>
      <c r="BDX134" s="105"/>
      <c r="BDY134" s="105"/>
      <c r="BDZ134" s="105"/>
      <c r="BEA134" s="105"/>
      <c r="BEB134" s="105"/>
      <c r="BEC134" s="105"/>
      <c r="BED134" s="105"/>
      <c r="BEE134" s="105"/>
      <c r="BEF134" s="105"/>
      <c r="BEG134" s="105"/>
      <c r="BEH134" s="105"/>
      <c r="BEI134" s="105"/>
      <c r="BEJ134" s="105"/>
      <c r="BEK134" s="105"/>
      <c r="BEL134" s="105"/>
      <c r="BEM134" s="105"/>
      <c r="BEN134" s="105"/>
      <c r="BEO134" s="105"/>
      <c r="BEP134" s="105"/>
      <c r="BEQ134" s="105"/>
      <c r="BER134" s="105"/>
      <c r="BES134" s="105"/>
      <c r="BET134" s="105"/>
      <c r="BEU134" s="105"/>
      <c r="BEV134" s="105"/>
      <c r="BEW134" s="105"/>
      <c r="BEX134" s="105"/>
      <c r="BEY134" s="105"/>
      <c r="BEZ134" s="105"/>
      <c r="BFA134" s="105"/>
      <c r="BFB134" s="105"/>
      <c r="BFC134" s="105"/>
      <c r="BFD134" s="105"/>
      <c r="BFE134" s="105"/>
      <c r="BFF134" s="105"/>
      <c r="BFG134" s="105"/>
      <c r="BFH134" s="105"/>
      <c r="BFI134" s="105"/>
      <c r="BFJ134" s="105"/>
      <c r="BFK134" s="105"/>
      <c r="BFL134" s="105"/>
      <c r="BFM134" s="105"/>
      <c r="BFN134" s="105"/>
      <c r="BFO134" s="105"/>
      <c r="BFP134" s="105"/>
      <c r="BFQ134" s="105"/>
      <c r="BFR134" s="105"/>
      <c r="BFS134" s="105"/>
      <c r="BFT134" s="105"/>
      <c r="BFU134" s="105"/>
      <c r="BFV134" s="105"/>
      <c r="BFW134" s="105"/>
      <c r="BFX134" s="105"/>
      <c r="BFY134" s="105"/>
      <c r="BFZ134" s="105"/>
      <c r="BGA134" s="105"/>
      <c r="BGB134" s="105"/>
      <c r="BGC134" s="105"/>
      <c r="BGD134" s="105"/>
      <c r="BGE134" s="105"/>
      <c r="BGF134" s="105"/>
      <c r="BGG134" s="105"/>
      <c r="BGH134" s="105"/>
      <c r="BGI134" s="105"/>
      <c r="BGJ134" s="105"/>
      <c r="BGK134" s="105"/>
      <c r="BGL134" s="105"/>
      <c r="BGM134" s="105"/>
      <c r="BGN134" s="105"/>
      <c r="BGO134" s="105"/>
      <c r="BGP134" s="105"/>
      <c r="BGQ134" s="105"/>
      <c r="BGR134" s="105"/>
      <c r="BGS134" s="105"/>
      <c r="BGT134" s="105"/>
      <c r="BGU134" s="105"/>
      <c r="BGV134" s="105"/>
      <c r="BGW134" s="105"/>
      <c r="BGX134" s="105"/>
      <c r="BGY134" s="105"/>
      <c r="BGZ134" s="105"/>
      <c r="BHA134" s="105"/>
      <c r="BHB134" s="105"/>
      <c r="BHC134" s="105"/>
      <c r="BHD134" s="105"/>
      <c r="BHE134" s="105"/>
      <c r="BHF134" s="105"/>
      <c r="BHG134" s="105"/>
      <c r="BHH134" s="105"/>
      <c r="BHI134" s="105"/>
      <c r="BHJ134" s="105"/>
      <c r="BHK134" s="105"/>
      <c r="BHL134" s="105"/>
      <c r="BHM134" s="105"/>
      <c r="BHN134" s="105"/>
      <c r="BHO134" s="105"/>
      <c r="BHP134" s="105"/>
      <c r="BHQ134" s="105"/>
      <c r="BHR134" s="105"/>
      <c r="BHS134" s="105"/>
      <c r="BHT134" s="105"/>
      <c r="BHU134" s="105"/>
      <c r="BHV134" s="105"/>
      <c r="BHW134" s="105"/>
      <c r="BHX134" s="105"/>
      <c r="BHY134" s="105"/>
      <c r="BHZ134" s="105"/>
      <c r="BIA134" s="105"/>
      <c r="BIB134" s="105"/>
      <c r="BIC134" s="105"/>
      <c r="BID134" s="105"/>
      <c r="BIE134" s="105"/>
      <c r="BIF134" s="105"/>
      <c r="BIG134" s="105"/>
      <c r="BIH134" s="105"/>
      <c r="BII134" s="105"/>
      <c r="BIJ134" s="105"/>
      <c r="BIK134" s="105"/>
      <c r="BIL134" s="105"/>
      <c r="BIM134" s="105"/>
      <c r="BIN134" s="105"/>
      <c r="BIO134" s="105"/>
      <c r="BIP134" s="105"/>
      <c r="BIQ134" s="105"/>
      <c r="BIR134" s="105"/>
      <c r="BIS134" s="105"/>
      <c r="BIT134" s="105"/>
      <c r="BIU134" s="105"/>
      <c r="BIV134" s="105"/>
      <c r="BIW134" s="105"/>
      <c r="BIX134" s="105"/>
      <c r="BIY134" s="105"/>
      <c r="BIZ134" s="105"/>
      <c r="BJA134" s="105"/>
      <c r="BJB134" s="105"/>
      <c r="BJC134" s="105"/>
      <c r="BJD134" s="105"/>
      <c r="BJE134" s="105"/>
      <c r="BJF134" s="105"/>
      <c r="BJG134" s="105"/>
      <c r="BJH134" s="105"/>
      <c r="BJI134" s="105"/>
      <c r="BJJ134" s="105"/>
      <c r="BJK134" s="105"/>
      <c r="BJL134" s="105"/>
      <c r="BJM134" s="105"/>
      <c r="BJN134" s="105"/>
      <c r="BJO134" s="105"/>
      <c r="BJP134" s="105"/>
      <c r="BJQ134" s="105"/>
      <c r="BJR134" s="105"/>
      <c r="BJS134" s="105"/>
      <c r="BJT134" s="105"/>
      <c r="BJU134" s="105"/>
      <c r="BJV134" s="105"/>
      <c r="BJW134" s="105"/>
      <c r="BJX134" s="105"/>
      <c r="BJY134" s="105"/>
      <c r="BJZ134" s="105"/>
      <c r="BKA134" s="105"/>
      <c r="BKB134" s="105"/>
      <c r="BKC134" s="105"/>
      <c r="BKD134" s="105"/>
      <c r="BKE134" s="105"/>
      <c r="BKF134" s="105"/>
      <c r="BKG134" s="105"/>
      <c r="BKH134" s="105"/>
      <c r="BKI134" s="105"/>
      <c r="BKJ134" s="105"/>
      <c r="BKK134" s="105"/>
      <c r="BKL134" s="105"/>
      <c r="BKM134" s="105"/>
      <c r="BKN134" s="105"/>
      <c r="BKO134" s="105"/>
      <c r="BKP134" s="105"/>
      <c r="BKQ134" s="105"/>
      <c r="BKR134" s="105"/>
      <c r="BKS134" s="105"/>
      <c r="BKT134" s="105"/>
      <c r="BKU134" s="105"/>
      <c r="BKV134" s="105"/>
      <c r="BKW134" s="105"/>
      <c r="BKX134" s="105"/>
      <c r="BKY134" s="105"/>
      <c r="BKZ134" s="105"/>
      <c r="BLA134" s="105"/>
      <c r="BLB134" s="105"/>
      <c r="BLC134" s="105"/>
      <c r="BLD134" s="105"/>
      <c r="BLE134" s="105"/>
      <c r="BLF134" s="105"/>
      <c r="BLG134" s="105"/>
      <c r="BLH134" s="105"/>
      <c r="BLI134" s="105"/>
      <c r="BLJ134" s="105"/>
      <c r="BLK134" s="105"/>
      <c r="BLL134" s="105"/>
      <c r="BLM134" s="105"/>
      <c r="BLN134" s="105"/>
      <c r="BLO134" s="105"/>
      <c r="BLP134" s="105"/>
      <c r="BLQ134" s="105"/>
      <c r="BLR134" s="105"/>
      <c r="BLS134" s="105"/>
      <c r="BLT134" s="105"/>
      <c r="BLU134" s="105"/>
      <c r="BLV134" s="105"/>
      <c r="BLW134" s="105"/>
      <c r="BLX134" s="105"/>
      <c r="BLY134" s="105"/>
      <c r="BLZ134" s="105"/>
      <c r="BMA134" s="105"/>
      <c r="BMB134" s="105"/>
      <c r="BMC134" s="105"/>
      <c r="BMD134" s="105"/>
      <c r="BME134" s="105"/>
      <c r="BMF134" s="105"/>
      <c r="BMG134" s="105"/>
      <c r="BMH134" s="105"/>
      <c r="BMI134" s="105"/>
      <c r="BMJ134" s="105"/>
      <c r="BMK134" s="105"/>
      <c r="BML134" s="105"/>
      <c r="BMM134" s="105"/>
      <c r="BMN134" s="105"/>
      <c r="BMO134" s="105"/>
      <c r="BMP134" s="105"/>
      <c r="BMQ134" s="105"/>
      <c r="BMR134" s="105"/>
      <c r="BMS134" s="105"/>
      <c r="BMT134" s="105"/>
      <c r="BMU134" s="105"/>
      <c r="BMV134" s="105"/>
      <c r="BMW134" s="105"/>
      <c r="BMX134" s="105"/>
      <c r="BMY134" s="105"/>
      <c r="BMZ134" s="105"/>
      <c r="BNA134" s="105"/>
      <c r="BNB134" s="105"/>
      <c r="BNC134" s="105"/>
      <c r="BND134" s="105"/>
      <c r="BNE134" s="105"/>
      <c r="BNF134" s="105"/>
      <c r="BNG134" s="105"/>
      <c r="BNH134" s="105"/>
      <c r="BNI134" s="105"/>
      <c r="BNJ134" s="105"/>
      <c r="BNK134" s="105"/>
      <c r="BNL134" s="105"/>
      <c r="BNM134" s="105"/>
      <c r="BNN134" s="105"/>
      <c r="BNO134" s="105"/>
      <c r="BNP134" s="105"/>
      <c r="BNQ134" s="105"/>
      <c r="BNR134" s="105"/>
      <c r="BNS134" s="105"/>
      <c r="BNT134" s="105"/>
      <c r="BNU134" s="105"/>
      <c r="BNV134" s="105"/>
      <c r="BNW134" s="105"/>
      <c r="BNX134" s="105"/>
      <c r="BNY134" s="105"/>
      <c r="BNZ134" s="105"/>
      <c r="BOA134" s="105"/>
      <c r="BOB134" s="105"/>
      <c r="BOC134" s="105"/>
      <c r="BOD134" s="105"/>
      <c r="BOE134" s="105"/>
      <c r="BOF134" s="105"/>
      <c r="BOG134" s="105"/>
      <c r="BOH134" s="105"/>
      <c r="BOI134" s="105"/>
      <c r="BOJ134" s="105"/>
      <c r="BOK134" s="105"/>
      <c r="BOL134" s="105"/>
      <c r="BOM134" s="105"/>
      <c r="BON134" s="105"/>
      <c r="BOO134" s="105"/>
      <c r="BOP134" s="105"/>
      <c r="BOQ134" s="105"/>
      <c r="BOR134" s="105"/>
      <c r="BOS134" s="105"/>
      <c r="BOT134" s="105"/>
      <c r="BOU134" s="105"/>
      <c r="BOV134" s="105"/>
      <c r="BOW134" s="105"/>
      <c r="BOX134" s="105"/>
      <c r="BOY134" s="105"/>
      <c r="BOZ134" s="105"/>
      <c r="BPA134" s="105"/>
      <c r="BPB134" s="105"/>
      <c r="BPC134" s="105"/>
      <c r="BPD134" s="105"/>
      <c r="BPE134" s="105"/>
      <c r="BPF134" s="105"/>
      <c r="BPG134" s="105"/>
      <c r="BPH134" s="105"/>
      <c r="BPI134" s="105"/>
      <c r="BPJ134" s="105"/>
      <c r="BPK134" s="105"/>
      <c r="BPL134" s="105"/>
      <c r="BPM134" s="105"/>
      <c r="BPN134" s="105"/>
      <c r="BPO134" s="105"/>
      <c r="BPP134" s="105"/>
      <c r="BPQ134" s="105"/>
      <c r="BPR134" s="105"/>
      <c r="BPS134" s="105"/>
      <c r="BPT134" s="105"/>
      <c r="BPU134" s="105"/>
      <c r="BPV134" s="105"/>
      <c r="BPW134" s="105"/>
      <c r="BPX134" s="105"/>
      <c r="BPY134" s="105"/>
      <c r="BPZ134" s="105"/>
      <c r="BQA134" s="105"/>
      <c r="BQB134" s="105"/>
      <c r="BQC134" s="105"/>
      <c r="BQD134" s="105"/>
      <c r="BQE134" s="105"/>
      <c r="BQF134" s="105"/>
      <c r="BQG134" s="105"/>
      <c r="BQH134" s="105"/>
      <c r="BQI134" s="105"/>
      <c r="BQJ134" s="105"/>
      <c r="BQK134" s="105"/>
      <c r="BQL134" s="105"/>
      <c r="BQM134" s="105"/>
      <c r="BQN134" s="105"/>
      <c r="BQO134" s="105"/>
      <c r="BQP134" s="105"/>
      <c r="BQQ134" s="105"/>
      <c r="BQR134" s="105"/>
      <c r="BQS134" s="105"/>
      <c r="BQT134" s="105"/>
      <c r="BQU134" s="105"/>
      <c r="BQV134" s="105"/>
      <c r="BQW134" s="105"/>
      <c r="BQX134" s="105"/>
      <c r="BQY134" s="105"/>
      <c r="BQZ134" s="105"/>
      <c r="BRA134" s="105"/>
      <c r="BRB134" s="105"/>
      <c r="BRC134" s="105"/>
      <c r="BRD134" s="105"/>
      <c r="BRE134" s="105"/>
      <c r="BRF134" s="105"/>
      <c r="BRG134" s="105"/>
      <c r="BRH134" s="105"/>
      <c r="BRI134" s="105"/>
      <c r="BRJ134" s="105"/>
      <c r="BRK134" s="105"/>
      <c r="BRL134" s="105"/>
      <c r="BRM134" s="105"/>
      <c r="BRN134" s="105"/>
      <c r="BRO134" s="105"/>
      <c r="BRP134" s="105"/>
      <c r="BRQ134" s="105"/>
      <c r="BRR134" s="105"/>
      <c r="BRS134" s="105"/>
      <c r="BRT134" s="105"/>
      <c r="BRU134" s="105"/>
      <c r="BRV134" s="105"/>
      <c r="BRW134" s="105"/>
      <c r="BRX134" s="105"/>
      <c r="BRY134" s="105"/>
      <c r="BRZ134" s="105"/>
      <c r="BSA134" s="105"/>
      <c r="BSB134" s="105"/>
      <c r="BSC134" s="105"/>
      <c r="BSD134" s="105"/>
      <c r="BSE134" s="105"/>
      <c r="BSF134" s="105"/>
      <c r="BSG134" s="105"/>
      <c r="BSH134" s="105"/>
      <c r="BSI134" s="105"/>
      <c r="BSJ134" s="105"/>
      <c r="BSK134" s="105"/>
      <c r="BSL134" s="105"/>
      <c r="BSM134" s="105"/>
      <c r="BSN134" s="105"/>
      <c r="BSO134" s="105"/>
      <c r="BSP134" s="105"/>
      <c r="BSQ134" s="105"/>
      <c r="BSR134" s="105"/>
      <c r="BSS134" s="105"/>
      <c r="BST134" s="105"/>
      <c r="BSU134" s="105"/>
      <c r="BSV134" s="105"/>
      <c r="BSW134" s="105"/>
      <c r="BSX134" s="105"/>
      <c r="BSY134" s="105"/>
      <c r="BSZ134" s="105"/>
      <c r="BTA134" s="105"/>
      <c r="BTB134" s="105"/>
      <c r="BTC134" s="105"/>
      <c r="BTD134" s="105"/>
      <c r="BTE134" s="105"/>
      <c r="BTF134" s="105"/>
      <c r="BTG134" s="105"/>
      <c r="BTH134" s="105"/>
      <c r="BTI134" s="105"/>
      <c r="BTJ134" s="105"/>
      <c r="BTK134" s="105"/>
      <c r="BTL134" s="105"/>
      <c r="BTM134" s="105"/>
      <c r="BTN134" s="105"/>
      <c r="BTO134" s="105"/>
      <c r="BTP134" s="105"/>
      <c r="BTQ134" s="105"/>
      <c r="BTR134" s="105"/>
      <c r="BTS134" s="105"/>
      <c r="BTT134" s="105"/>
      <c r="BTU134" s="105"/>
      <c r="BTV134" s="105"/>
      <c r="BTW134" s="105"/>
      <c r="BTX134" s="105"/>
      <c r="BTY134" s="105"/>
      <c r="BTZ134" s="105"/>
      <c r="BUA134" s="105"/>
      <c r="BUB134" s="105"/>
      <c r="BUC134" s="105"/>
      <c r="BUD134" s="105"/>
      <c r="BUE134" s="105"/>
      <c r="BUF134" s="105"/>
      <c r="BUG134" s="105"/>
      <c r="BUH134" s="105"/>
      <c r="BUI134" s="105"/>
      <c r="BUJ134" s="105"/>
      <c r="BUK134" s="105"/>
      <c r="BUL134" s="105"/>
      <c r="BUM134" s="105"/>
      <c r="BUN134" s="105"/>
      <c r="BUO134" s="105"/>
      <c r="BUP134" s="105"/>
      <c r="BUQ134" s="105"/>
      <c r="BUR134" s="105"/>
      <c r="BUS134" s="105"/>
      <c r="BUT134" s="105"/>
      <c r="BUU134" s="105"/>
      <c r="BUV134" s="105"/>
      <c r="BUW134" s="105"/>
      <c r="BUX134" s="105"/>
      <c r="BUY134" s="105"/>
      <c r="BUZ134" s="105"/>
      <c r="BVA134" s="105"/>
      <c r="BVB134" s="105"/>
      <c r="BVC134" s="105"/>
      <c r="BVD134" s="105"/>
      <c r="BVE134" s="105"/>
      <c r="BVF134" s="105"/>
      <c r="BVG134" s="105"/>
      <c r="BVH134" s="105"/>
      <c r="BVI134" s="105"/>
      <c r="BVJ134" s="105"/>
      <c r="BVK134" s="105"/>
      <c r="BVL134" s="105"/>
      <c r="BVM134" s="105"/>
      <c r="BVN134" s="105"/>
      <c r="BVO134" s="105"/>
      <c r="BVP134" s="105"/>
      <c r="BVQ134" s="105"/>
      <c r="BVR134" s="105"/>
      <c r="BVS134" s="105"/>
      <c r="BVT134" s="105"/>
      <c r="BVU134" s="105"/>
      <c r="BVV134" s="105"/>
      <c r="BVW134" s="105"/>
      <c r="BVX134" s="105"/>
      <c r="BVY134" s="105"/>
      <c r="BVZ134" s="105"/>
      <c r="BWA134" s="105"/>
      <c r="BWB134" s="105"/>
      <c r="BWC134" s="105"/>
      <c r="BWD134" s="105"/>
      <c r="BWE134" s="105"/>
      <c r="BWF134" s="105"/>
      <c r="BWG134" s="105"/>
      <c r="BWH134" s="105"/>
      <c r="BWI134" s="105"/>
      <c r="BWJ134" s="105"/>
      <c r="BWK134" s="105"/>
      <c r="BWL134" s="105"/>
      <c r="BWM134" s="105"/>
      <c r="BWN134" s="105"/>
      <c r="BWO134" s="105"/>
      <c r="BWP134" s="105"/>
      <c r="BWQ134" s="105"/>
      <c r="BWR134" s="105"/>
      <c r="BWS134" s="105"/>
      <c r="BWT134" s="105"/>
      <c r="BWU134" s="105"/>
      <c r="BWV134" s="105"/>
      <c r="BWW134" s="105"/>
      <c r="BWX134" s="105"/>
      <c r="BWY134" s="105"/>
      <c r="BWZ134" s="105"/>
      <c r="BXA134" s="105"/>
      <c r="BXB134" s="105"/>
      <c r="BXC134" s="105"/>
      <c r="BXD134" s="105"/>
      <c r="BXE134" s="105"/>
      <c r="BXF134" s="105"/>
      <c r="BXG134" s="105"/>
      <c r="BXH134" s="105"/>
      <c r="BXI134" s="105"/>
      <c r="BXJ134" s="105"/>
      <c r="BXK134" s="105"/>
      <c r="BXL134" s="105"/>
      <c r="BXM134" s="105"/>
      <c r="BXN134" s="105"/>
      <c r="BXO134" s="105"/>
      <c r="BXP134" s="105"/>
      <c r="BXQ134" s="105"/>
      <c r="BXR134" s="105"/>
      <c r="BXS134" s="105"/>
      <c r="BXT134" s="105"/>
      <c r="BXU134" s="105"/>
      <c r="BXV134" s="105"/>
      <c r="BXW134" s="105"/>
      <c r="BXX134" s="105"/>
      <c r="BXY134" s="105"/>
      <c r="BXZ134" s="105"/>
      <c r="BYA134" s="105"/>
      <c r="BYB134" s="105"/>
      <c r="BYC134" s="105"/>
      <c r="BYD134" s="105"/>
      <c r="BYE134" s="105"/>
      <c r="BYF134" s="105"/>
      <c r="BYG134" s="105"/>
      <c r="BYH134" s="105"/>
      <c r="BYI134" s="105"/>
      <c r="BYJ134" s="105"/>
      <c r="BYK134" s="105"/>
      <c r="BYL134" s="105"/>
      <c r="BYM134" s="105"/>
      <c r="BYN134" s="105"/>
      <c r="BYO134" s="105"/>
      <c r="BYP134" s="105"/>
      <c r="BYQ134" s="105"/>
      <c r="BYR134" s="105"/>
      <c r="BYS134" s="105"/>
      <c r="BYT134" s="105"/>
      <c r="BYU134" s="105"/>
      <c r="BYV134" s="105"/>
      <c r="BYW134" s="105"/>
      <c r="BYX134" s="105"/>
      <c r="BYY134" s="105"/>
      <c r="BYZ134" s="105"/>
      <c r="BZA134" s="105"/>
      <c r="BZB134" s="105"/>
      <c r="BZC134" s="105"/>
      <c r="BZD134" s="105"/>
      <c r="BZE134" s="105"/>
      <c r="BZF134" s="105"/>
      <c r="BZG134" s="105"/>
      <c r="BZH134" s="105"/>
      <c r="BZI134" s="105"/>
      <c r="BZJ134" s="105"/>
      <c r="BZK134" s="105"/>
      <c r="BZL134" s="105"/>
      <c r="BZM134" s="105"/>
      <c r="BZN134" s="105"/>
      <c r="BZO134" s="105"/>
      <c r="BZP134" s="105"/>
      <c r="BZQ134" s="105"/>
      <c r="BZR134" s="105"/>
      <c r="BZS134" s="105"/>
      <c r="BZT134" s="105"/>
      <c r="BZU134" s="105"/>
      <c r="BZV134" s="105"/>
      <c r="BZW134" s="105"/>
      <c r="BZX134" s="105"/>
      <c r="BZY134" s="105"/>
      <c r="BZZ134" s="105"/>
      <c r="CAA134" s="105"/>
      <c r="CAB134" s="105"/>
      <c r="CAC134" s="105"/>
      <c r="CAD134" s="105"/>
      <c r="CAE134" s="105"/>
      <c r="CAF134" s="105"/>
      <c r="CAG134" s="105"/>
      <c r="CAH134" s="105"/>
      <c r="CAI134" s="105"/>
      <c r="CAJ134" s="105"/>
      <c r="CAK134" s="105"/>
      <c r="CAL134" s="105"/>
      <c r="CAM134" s="105"/>
      <c r="CAN134" s="105"/>
      <c r="CAO134" s="105"/>
      <c r="CAP134" s="105"/>
      <c r="CAQ134" s="105"/>
      <c r="CAR134" s="105"/>
      <c r="CAS134" s="105"/>
      <c r="CAT134" s="105"/>
      <c r="CAU134" s="105"/>
      <c r="CAV134" s="105"/>
      <c r="CAW134" s="105"/>
      <c r="CAX134" s="105"/>
      <c r="CAY134" s="105"/>
      <c r="CAZ134" s="105"/>
      <c r="CBA134" s="105"/>
      <c r="CBB134" s="105"/>
      <c r="CBC134" s="105"/>
      <c r="CBD134" s="105"/>
      <c r="CBE134" s="105"/>
      <c r="CBF134" s="105"/>
      <c r="CBG134" s="105"/>
      <c r="CBH134" s="105"/>
      <c r="CBI134" s="105"/>
      <c r="CBJ134" s="105"/>
      <c r="CBK134" s="105"/>
      <c r="CBL134" s="105"/>
      <c r="CBM134" s="105"/>
      <c r="CBN134" s="105"/>
      <c r="CBO134" s="105"/>
      <c r="CBP134" s="105"/>
      <c r="CBQ134" s="105"/>
      <c r="CBR134" s="105"/>
      <c r="CBS134" s="105"/>
      <c r="CBT134" s="105"/>
      <c r="CBU134" s="105"/>
      <c r="CBV134" s="105"/>
      <c r="CBW134" s="105"/>
      <c r="CBX134" s="105"/>
      <c r="CBY134" s="105"/>
      <c r="CBZ134" s="105"/>
      <c r="CCA134" s="105"/>
      <c r="CCB134" s="105"/>
      <c r="CCC134" s="105"/>
      <c r="CCD134" s="105"/>
      <c r="CCE134" s="105"/>
      <c r="CCF134" s="105"/>
      <c r="CCG134" s="105"/>
      <c r="CCH134" s="105"/>
      <c r="CCI134" s="105"/>
      <c r="CCJ134" s="105"/>
      <c r="CCK134" s="105"/>
      <c r="CCL134" s="105"/>
      <c r="CCM134" s="105"/>
      <c r="CCN134" s="105"/>
      <c r="CCO134" s="105"/>
      <c r="CCP134" s="105"/>
      <c r="CCQ134" s="105"/>
      <c r="CCR134" s="105"/>
      <c r="CCS134" s="105"/>
      <c r="CCT134" s="105"/>
      <c r="CCU134" s="105"/>
      <c r="CCV134" s="105"/>
      <c r="CCW134" s="105"/>
      <c r="CCX134" s="105"/>
      <c r="CCY134" s="105"/>
      <c r="CCZ134" s="105"/>
      <c r="CDA134" s="105"/>
      <c r="CDB134" s="105"/>
      <c r="CDC134" s="105"/>
      <c r="CDD134" s="105"/>
      <c r="CDE134" s="105"/>
      <c r="CDF134" s="105"/>
      <c r="CDG134" s="105"/>
      <c r="CDH134" s="105"/>
      <c r="CDI134" s="105"/>
      <c r="CDJ134" s="105"/>
      <c r="CDK134" s="105"/>
      <c r="CDL134" s="105"/>
      <c r="CDM134" s="105"/>
      <c r="CDN134" s="105"/>
      <c r="CDO134" s="105"/>
      <c r="CDP134" s="105"/>
      <c r="CDQ134" s="105"/>
      <c r="CDR134" s="105"/>
      <c r="CDS134" s="105"/>
      <c r="CDT134" s="105"/>
      <c r="CDU134" s="105"/>
      <c r="CDV134" s="105"/>
      <c r="CDW134" s="105"/>
      <c r="CDX134" s="105"/>
      <c r="CDY134" s="105"/>
      <c r="CDZ134" s="105"/>
      <c r="CEA134" s="105"/>
      <c r="CEB134" s="105"/>
      <c r="CEC134" s="105"/>
      <c r="CED134" s="105"/>
      <c r="CEE134" s="105"/>
      <c r="CEF134" s="105"/>
      <c r="CEG134" s="105"/>
      <c r="CEH134" s="105"/>
      <c r="CEI134" s="105"/>
      <c r="CEJ134" s="105"/>
      <c r="CEK134" s="105"/>
      <c r="CEL134" s="105"/>
      <c r="CEM134" s="105"/>
      <c r="CEN134" s="105"/>
      <c r="CEO134" s="105"/>
      <c r="CEP134" s="105"/>
      <c r="CEQ134" s="105"/>
      <c r="CER134" s="105"/>
      <c r="CES134" s="105"/>
      <c r="CET134" s="105"/>
      <c r="CEU134" s="105"/>
      <c r="CEV134" s="105"/>
      <c r="CEW134" s="105"/>
      <c r="CEX134" s="105"/>
      <c r="CEY134" s="105"/>
      <c r="CEZ134" s="105"/>
      <c r="CFA134" s="105"/>
      <c r="CFB134" s="105"/>
      <c r="CFC134" s="105"/>
      <c r="CFD134" s="105"/>
      <c r="CFE134" s="105"/>
      <c r="CFF134" s="105"/>
      <c r="CFG134" s="105"/>
      <c r="CFH134" s="105"/>
      <c r="CFI134" s="105"/>
      <c r="CFJ134" s="105"/>
      <c r="CFK134" s="105"/>
      <c r="CFL134" s="105"/>
      <c r="CFM134" s="105"/>
      <c r="CFN134" s="105"/>
      <c r="CFO134" s="105"/>
      <c r="CFP134" s="105"/>
      <c r="CFQ134" s="105"/>
      <c r="CFR134" s="105"/>
      <c r="CFS134" s="105"/>
      <c r="CFT134" s="105"/>
      <c r="CFU134" s="105"/>
      <c r="CFV134" s="105"/>
      <c r="CFW134" s="105"/>
      <c r="CFX134" s="105"/>
      <c r="CFY134" s="105"/>
      <c r="CFZ134" s="105"/>
      <c r="CGA134" s="105"/>
      <c r="CGB134" s="105"/>
      <c r="CGC134" s="105"/>
      <c r="CGD134" s="105"/>
      <c r="CGE134" s="105"/>
      <c r="CGF134" s="105"/>
      <c r="CGG134" s="105"/>
      <c r="CGH134" s="105"/>
      <c r="CGI134" s="105"/>
      <c r="CGJ134" s="105"/>
      <c r="CGK134" s="105"/>
      <c r="CGL134" s="105"/>
      <c r="CGM134" s="105"/>
      <c r="CGN134" s="105"/>
      <c r="CGO134" s="105"/>
      <c r="CGP134" s="105"/>
      <c r="CGQ134" s="105"/>
      <c r="CGR134" s="105"/>
      <c r="CGS134" s="105"/>
      <c r="CGT134" s="105"/>
      <c r="CGU134" s="105"/>
      <c r="CGV134" s="105"/>
      <c r="CGW134" s="105"/>
      <c r="CGX134" s="105"/>
      <c r="CGY134" s="105"/>
      <c r="CGZ134" s="105"/>
      <c r="CHA134" s="105"/>
      <c r="CHB134" s="105"/>
      <c r="CHC134" s="105"/>
      <c r="CHD134" s="105"/>
      <c r="CHE134" s="105"/>
      <c r="CHF134" s="105"/>
      <c r="CHG134" s="105"/>
      <c r="CHH134" s="105"/>
      <c r="CHI134" s="105"/>
      <c r="CHJ134" s="105"/>
      <c r="CHK134" s="105"/>
      <c r="CHL134" s="105"/>
      <c r="CHM134" s="105"/>
      <c r="CHN134" s="105"/>
      <c r="CHO134" s="105"/>
      <c r="CHP134" s="105"/>
      <c r="CHQ134" s="105"/>
      <c r="CHR134" s="105"/>
      <c r="CHS134" s="105"/>
      <c r="CHT134" s="105"/>
      <c r="CHU134" s="105"/>
      <c r="CHV134" s="105"/>
      <c r="CHW134" s="105"/>
      <c r="CHX134" s="105"/>
      <c r="CHY134" s="105"/>
      <c r="CHZ134" s="105"/>
      <c r="CIA134" s="105"/>
      <c r="CIB134" s="105"/>
      <c r="CIC134" s="105"/>
      <c r="CID134" s="105"/>
      <c r="CIE134" s="105"/>
      <c r="CIF134" s="105"/>
      <c r="CIG134" s="105"/>
      <c r="CIH134" s="105"/>
      <c r="CII134" s="105"/>
      <c r="CIJ134" s="105"/>
      <c r="CIK134" s="105"/>
      <c r="CIL134" s="105"/>
      <c r="CIM134" s="105"/>
      <c r="CIN134" s="105"/>
      <c r="CIO134" s="105"/>
      <c r="CIP134" s="105"/>
      <c r="CIQ134" s="105"/>
      <c r="CIR134" s="105"/>
      <c r="CIS134" s="105"/>
      <c r="CIT134" s="105"/>
      <c r="CIU134" s="105"/>
      <c r="CIV134" s="105"/>
      <c r="CIW134" s="105"/>
      <c r="CIX134" s="105"/>
      <c r="CIY134" s="105"/>
      <c r="CIZ134" s="105"/>
      <c r="CJA134" s="105"/>
      <c r="CJB134" s="105"/>
      <c r="CJC134" s="105"/>
      <c r="CJD134" s="105"/>
      <c r="CJE134" s="105"/>
      <c r="CJF134" s="105"/>
      <c r="CJG134" s="105"/>
      <c r="CJH134" s="105"/>
      <c r="CJI134" s="105"/>
      <c r="CJJ134" s="105"/>
      <c r="CJK134" s="105"/>
      <c r="CJL134" s="105"/>
      <c r="CJM134" s="105"/>
      <c r="CJN134" s="105"/>
      <c r="CJO134" s="105"/>
      <c r="CJP134" s="105"/>
      <c r="CJQ134" s="105"/>
      <c r="CJR134" s="105"/>
      <c r="CJS134" s="105"/>
      <c r="CJT134" s="105"/>
      <c r="CJU134" s="105"/>
      <c r="CJV134" s="105"/>
      <c r="CJW134" s="105"/>
      <c r="CJX134" s="105"/>
      <c r="CJY134" s="105"/>
      <c r="CJZ134" s="105"/>
      <c r="CKA134" s="105"/>
      <c r="CKB134" s="105"/>
      <c r="CKC134" s="105"/>
      <c r="CKD134" s="105"/>
      <c r="CKE134" s="105"/>
      <c r="CKF134" s="105"/>
      <c r="CKG134" s="105"/>
      <c r="CKH134" s="105"/>
      <c r="CKI134" s="105"/>
      <c r="CKJ134" s="105"/>
      <c r="CKK134" s="105"/>
      <c r="CKL134" s="105"/>
      <c r="CKM134" s="105"/>
      <c r="CKN134" s="105"/>
      <c r="CKO134" s="105"/>
      <c r="CKP134" s="105"/>
      <c r="CKQ134" s="105"/>
      <c r="CKR134" s="105"/>
      <c r="CKS134" s="105"/>
      <c r="CKT134" s="105"/>
      <c r="CKU134" s="105"/>
      <c r="CKV134" s="105"/>
      <c r="CKW134" s="105"/>
      <c r="CKX134" s="105"/>
      <c r="CKY134" s="105"/>
      <c r="CKZ134" s="105"/>
      <c r="CLA134" s="105"/>
      <c r="CLB134" s="105"/>
      <c r="CLC134" s="105"/>
      <c r="CLD134" s="105"/>
      <c r="CLE134" s="105"/>
      <c r="CLF134" s="105"/>
      <c r="CLG134" s="105"/>
      <c r="CLH134" s="105"/>
      <c r="CLI134" s="105"/>
      <c r="CLJ134" s="105"/>
      <c r="CLK134" s="105"/>
      <c r="CLL134" s="105"/>
      <c r="CLM134" s="105"/>
      <c r="CLN134" s="105"/>
      <c r="CLO134" s="105"/>
      <c r="CLP134" s="105"/>
      <c r="CLQ134" s="105"/>
      <c r="CLR134" s="105"/>
      <c r="CLS134" s="105"/>
      <c r="CLT134" s="105"/>
      <c r="CLU134" s="105"/>
      <c r="CLV134" s="105"/>
      <c r="CLW134" s="105"/>
      <c r="CLX134" s="105"/>
      <c r="CLY134" s="105"/>
      <c r="CLZ134" s="105"/>
      <c r="CMA134" s="105"/>
      <c r="CMB134" s="105"/>
      <c r="CMC134" s="105"/>
      <c r="CMD134" s="105"/>
      <c r="CME134" s="105"/>
      <c r="CMF134" s="105"/>
      <c r="CMG134" s="105"/>
      <c r="CMH134" s="105"/>
      <c r="CMI134" s="105"/>
      <c r="CMJ134" s="105"/>
      <c r="CMK134" s="105"/>
      <c r="CML134" s="105"/>
      <c r="CMM134" s="105"/>
      <c r="CMN134" s="105"/>
      <c r="CMO134" s="105"/>
      <c r="CMP134" s="105"/>
      <c r="CMQ134" s="105"/>
      <c r="CMR134" s="105"/>
      <c r="CMS134" s="105"/>
      <c r="CMT134" s="105"/>
      <c r="CMU134" s="105"/>
      <c r="CMV134" s="105"/>
      <c r="CMW134" s="105"/>
      <c r="CMX134" s="105"/>
      <c r="CMY134" s="105"/>
      <c r="CMZ134" s="105"/>
      <c r="CNA134" s="105"/>
      <c r="CNB134" s="105"/>
      <c r="CNC134" s="105"/>
      <c r="CND134" s="105"/>
      <c r="CNE134" s="105"/>
      <c r="CNF134" s="105"/>
      <c r="CNG134" s="105"/>
      <c r="CNH134" s="105"/>
      <c r="CNI134" s="105"/>
      <c r="CNJ134" s="105"/>
      <c r="CNK134" s="105"/>
      <c r="CNL134" s="105"/>
      <c r="CNM134" s="105"/>
      <c r="CNN134" s="105"/>
      <c r="CNO134" s="105"/>
      <c r="CNP134" s="105"/>
      <c r="CNQ134" s="105"/>
      <c r="CNR134" s="105"/>
      <c r="CNS134" s="105"/>
      <c r="CNT134" s="105"/>
      <c r="CNU134" s="105"/>
      <c r="CNV134" s="105"/>
      <c r="CNW134" s="105"/>
      <c r="CNX134" s="105"/>
      <c r="CNY134" s="105"/>
      <c r="CNZ134" s="105"/>
      <c r="COA134" s="105"/>
      <c r="COB134" s="105"/>
      <c r="COC134" s="105"/>
      <c r="COD134" s="105"/>
      <c r="COE134" s="105"/>
      <c r="COF134" s="105"/>
      <c r="COG134" s="105"/>
      <c r="COH134" s="105"/>
      <c r="COI134" s="105"/>
      <c r="COJ134" s="105"/>
      <c r="COK134" s="105"/>
      <c r="COL134" s="105"/>
      <c r="COM134" s="105"/>
      <c r="CON134" s="105"/>
      <c r="COO134" s="105"/>
      <c r="COP134" s="105"/>
      <c r="COQ134" s="105"/>
      <c r="COR134" s="105"/>
      <c r="COS134" s="105"/>
      <c r="COT134" s="105"/>
      <c r="COU134" s="105"/>
      <c r="COV134" s="105"/>
      <c r="COW134" s="105"/>
      <c r="COX134" s="105"/>
      <c r="COY134" s="105"/>
      <c r="COZ134" s="105"/>
      <c r="CPA134" s="105"/>
      <c r="CPB134" s="105"/>
      <c r="CPC134" s="105"/>
      <c r="CPD134" s="105"/>
      <c r="CPE134" s="105"/>
      <c r="CPF134" s="105"/>
      <c r="CPG134" s="105"/>
      <c r="CPH134" s="105"/>
      <c r="CPI134" s="105"/>
      <c r="CPJ134" s="105"/>
      <c r="CPK134" s="105"/>
      <c r="CPL134" s="105"/>
      <c r="CPM134" s="105"/>
      <c r="CPN134" s="105"/>
      <c r="CPO134" s="105"/>
      <c r="CPP134" s="105"/>
      <c r="CPQ134" s="105"/>
      <c r="CPR134" s="105"/>
      <c r="CPS134" s="105"/>
      <c r="CPT134" s="105"/>
      <c r="CPU134" s="105"/>
      <c r="CPV134" s="105"/>
      <c r="CPW134" s="105"/>
      <c r="CPX134" s="105"/>
      <c r="CPY134" s="105"/>
      <c r="CPZ134" s="105"/>
      <c r="CQA134" s="105"/>
      <c r="CQB134" s="105"/>
      <c r="CQC134" s="105"/>
      <c r="CQD134" s="105"/>
      <c r="CQE134" s="105"/>
      <c r="CQF134" s="105"/>
      <c r="CQG134" s="105"/>
      <c r="CQH134" s="105"/>
      <c r="CQI134" s="105"/>
      <c r="CQJ134" s="105"/>
      <c r="CQK134" s="105"/>
      <c r="CQL134" s="105"/>
      <c r="CQM134" s="105"/>
      <c r="CQN134" s="105"/>
      <c r="CQO134" s="105"/>
      <c r="CQP134" s="105"/>
      <c r="CQQ134" s="105"/>
      <c r="CQR134" s="105"/>
      <c r="CQS134" s="105"/>
      <c r="CQT134" s="105"/>
      <c r="CQU134" s="105"/>
      <c r="CQV134" s="105"/>
      <c r="CQW134" s="105"/>
      <c r="CQX134" s="105"/>
      <c r="CQY134" s="105"/>
      <c r="CQZ134" s="105"/>
      <c r="CRA134" s="105"/>
      <c r="CRB134" s="105"/>
      <c r="CRC134" s="105"/>
      <c r="CRD134" s="105"/>
      <c r="CRE134" s="105"/>
      <c r="CRF134" s="105"/>
      <c r="CRG134" s="105"/>
      <c r="CRH134" s="105"/>
      <c r="CRI134" s="105"/>
      <c r="CRJ134" s="105"/>
      <c r="CRK134" s="105"/>
      <c r="CRL134" s="105"/>
      <c r="CRM134" s="105"/>
      <c r="CRN134" s="105"/>
      <c r="CRO134" s="105"/>
      <c r="CRP134" s="105"/>
      <c r="CRQ134" s="105"/>
      <c r="CRR134" s="105"/>
      <c r="CRS134" s="105"/>
      <c r="CRT134" s="105"/>
      <c r="CRU134" s="105"/>
      <c r="CRV134" s="105"/>
      <c r="CRW134" s="105"/>
      <c r="CRX134" s="105"/>
      <c r="CRY134" s="105"/>
      <c r="CRZ134" s="105"/>
      <c r="CSA134" s="105"/>
      <c r="CSB134" s="105"/>
      <c r="CSC134" s="105"/>
      <c r="CSD134" s="105"/>
      <c r="CSE134" s="105"/>
      <c r="CSF134" s="105"/>
      <c r="CSG134" s="105"/>
      <c r="CSH134" s="105"/>
      <c r="CSI134" s="105"/>
      <c r="CSJ134" s="105"/>
      <c r="CSK134" s="105"/>
      <c r="CSL134" s="105"/>
      <c r="CSM134" s="105"/>
      <c r="CSN134" s="105"/>
      <c r="CSO134" s="105"/>
      <c r="CSP134" s="105"/>
      <c r="CSQ134" s="105"/>
      <c r="CSR134" s="105"/>
      <c r="CSS134" s="105"/>
      <c r="CST134" s="105"/>
      <c r="CSU134" s="105"/>
      <c r="CSV134" s="105"/>
      <c r="CSW134" s="105"/>
      <c r="CSX134" s="105"/>
      <c r="CSY134" s="105"/>
      <c r="CSZ134" s="105"/>
      <c r="CTA134" s="105"/>
      <c r="CTB134" s="105"/>
      <c r="CTC134" s="105"/>
      <c r="CTD134" s="105"/>
      <c r="CTE134" s="105"/>
      <c r="CTF134" s="105"/>
      <c r="CTG134" s="105"/>
      <c r="CTH134" s="105"/>
      <c r="CTI134" s="105"/>
      <c r="CTJ134" s="105"/>
      <c r="CTK134" s="105"/>
      <c r="CTL134" s="105"/>
      <c r="CTM134" s="105"/>
      <c r="CTN134" s="105"/>
      <c r="CTO134" s="105"/>
      <c r="CTP134" s="105"/>
      <c r="CTQ134" s="105"/>
      <c r="CTR134" s="105"/>
      <c r="CTS134" s="105"/>
      <c r="CTT134" s="105"/>
      <c r="CTU134" s="105"/>
      <c r="CTV134" s="105"/>
      <c r="CTW134" s="105"/>
      <c r="CTX134" s="105"/>
      <c r="CTY134" s="105"/>
      <c r="CTZ134" s="105"/>
      <c r="CUA134" s="105"/>
      <c r="CUB134" s="105"/>
      <c r="CUC134" s="105"/>
      <c r="CUD134" s="105"/>
      <c r="CUE134" s="105"/>
      <c r="CUF134" s="105"/>
      <c r="CUG134" s="105"/>
      <c r="CUH134" s="105"/>
      <c r="CUI134" s="105"/>
      <c r="CUJ134" s="105"/>
      <c r="CUK134" s="105"/>
      <c r="CUL134" s="105"/>
      <c r="CUM134" s="105"/>
      <c r="CUN134" s="105"/>
      <c r="CUO134" s="105"/>
      <c r="CUP134" s="105"/>
      <c r="CUQ134" s="105"/>
      <c r="CUR134" s="105"/>
      <c r="CUS134" s="105"/>
      <c r="CUT134" s="105"/>
      <c r="CUU134" s="105"/>
      <c r="CUV134" s="105"/>
      <c r="CUW134" s="105"/>
      <c r="CUX134" s="105"/>
      <c r="CUY134" s="105"/>
      <c r="CUZ134" s="105"/>
      <c r="CVA134" s="105"/>
      <c r="CVB134" s="105"/>
      <c r="CVC134" s="105"/>
      <c r="CVD134" s="105"/>
      <c r="CVE134" s="105"/>
      <c r="CVF134" s="105"/>
      <c r="CVG134" s="105"/>
      <c r="CVH134" s="105"/>
      <c r="CVI134" s="105"/>
      <c r="CVJ134" s="105"/>
      <c r="CVK134" s="105"/>
      <c r="CVL134" s="105"/>
      <c r="CVM134" s="105"/>
      <c r="CVN134" s="105"/>
      <c r="CVO134" s="105"/>
      <c r="CVP134" s="105"/>
      <c r="CVQ134" s="105"/>
      <c r="CVR134" s="105"/>
      <c r="CVS134" s="105"/>
      <c r="CVT134" s="105"/>
      <c r="CVU134" s="105"/>
      <c r="CVV134" s="105"/>
      <c r="CVW134" s="105"/>
      <c r="CVX134" s="105"/>
      <c r="CVY134" s="105"/>
      <c r="CVZ134" s="105"/>
      <c r="CWA134" s="105"/>
      <c r="CWB134" s="105"/>
      <c r="CWC134" s="105"/>
      <c r="CWD134" s="105"/>
      <c r="CWE134" s="105"/>
      <c r="CWF134" s="105"/>
      <c r="CWG134" s="105"/>
      <c r="CWH134" s="105"/>
      <c r="CWI134" s="105"/>
      <c r="CWJ134" s="105"/>
      <c r="CWK134" s="105"/>
      <c r="CWL134" s="105"/>
      <c r="CWM134" s="105"/>
      <c r="CWN134" s="105"/>
      <c r="CWO134" s="105"/>
      <c r="CWP134" s="105"/>
      <c r="CWQ134" s="105"/>
      <c r="CWR134" s="105"/>
      <c r="CWS134" s="105"/>
      <c r="CWT134" s="105"/>
      <c r="CWU134" s="105"/>
      <c r="CWV134" s="105"/>
      <c r="CWW134" s="105"/>
      <c r="CWX134" s="105"/>
      <c r="CWY134" s="105"/>
      <c r="CWZ134" s="105"/>
      <c r="CXA134" s="105"/>
      <c r="CXB134" s="105"/>
      <c r="CXC134" s="105"/>
      <c r="CXD134" s="105"/>
      <c r="CXE134" s="105"/>
      <c r="CXF134" s="105"/>
      <c r="CXG134" s="105"/>
      <c r="CXH134" s="105"/>
      <c r="CXI134" s="105"/>
      <c r="CXJ134" s="105"/>
      <c r="CXK134" s="105"/>
      <c r="CXL134" s="105"/>
      <c r="CXM134" s="105"/>
      <c r="CXN134" s="105"/>
      <c r="CXO134" s="105"/>
      <c r="CXP134" s="105"/>
      <c r="CXQ134" s="105"/>
      <c r="CXR134" s="105"/>
      <c r="CXS134" s="105"/>
      <c r="CXT134" s="105"/>
      <c r="CXU134" s="105"/>
      <c r="CXV134" s="105"/>
      <c r="CXW134" s="105"/>
      <c r="CXX134" s="105"/>
      <c r="CXY134" s="105"/>
      <c r="CXZ134" s="105"/>
      <c r="CYA134" s="105"/>
      <c r="CYB134" s="105"/>
      <c r="CYC134" s="105"/>
      <c r="CYD134" s="105"/>
      <c r="CYE134" s="105"/>
      <c r="CYF134" s="105"/>
      <c r="CYG134" s="105"/>
      <c r="CYH134" s="105"/>
      <c r="CYI134" s="105"/>
      <c r="CYJ134" s="105"/>
      <c r="CYK134" s="105"/>
      <c r="CYL134" s="105"/>
      <c r="CYM134" s="105"/>
      <c r="CYN134" s="105"/>
      <c r="CYO134" s="105"/>
      <c r="CYP134" s="105"/>
      <c r="CYQ134" s="105"/>
      <c r="CYR134" s="105"/>
      <c r="CYS134" s="105"/>
      <c r="CYT134" s="105"/>
      <c r="CYU134" s="105"/>
      <c r="CYV134" s="105"/>
      <c r="CYW134" s="105"/>
      <c r="CYX134" s="105"/>
      <c r="CYY134" s="105"/>
      <c r="CYZ134" s="105"/>
      <c r="CZA134" s="105"/>
      <c r="CZB134" s="105"/>
      <c r="CZC134" s="105"/>
      <c r="CZD134" s="105"/>
      <c r="CZE134" s="105"/>
      <c r="CZF134" s="105"/>
      <c r="CZG134" s="105"/>
      <c r="CZH134" s="105"/>
      <c r="CZI134" s="105"/>
      <c r="CZJ134" s="105"/>
      <c r="CZK134" s="105"/>
      <c r="CZL134" s="105"/>
      <c r="CZM134" s="105"/>
      <c r="CZN134" s="105"/>
      <c r="CZO134" s="105"/>
      <c r="CZP134" s="105"/>
      <c r="CZQ134" s="105"/>
      <c r="CZR134" s="105"/>
      <c r="CZS134" s="105"/>
      <c r="CZT134" s="105"/>
      <c r="CZU134" s="105"/>
      <c r="CZV134" s="105"/>
      <c r="CZW134" s="105"/>
      <c r="CZX134" s="105"/>
      <c r="CZY134" s="105"/>
      <c r="CZZ134" s="105"/>
      <c r="DAA134" s="105"/>
      <c r="DAB134" s="105"/>
      <c r="DAC134" s="105"/>
      <c r="DAD134" s="105"/>
      <c r="DAE134" s="105"/>
      <c r="DAF134" s="105"/>
      <c r="DAG134" s="105"/>
      <c r="DAH134" s="105"/>
      <c r="DAI134" s="105"/>
      <c r="DAJ134" s="105"/>
      <c r="DAK134" s="105"/>
      <c r="DAL134" s="105"/>
      <c r="DAM134" s="105"/>
      <c r="DAN134" s="105"/>
      <c r="DAO134" s="105"/>
      <c r="DAP134" s="105"/>
      <c r="DAQ134" s="105"/>
      <c r="DAR134" s="105"/>
      <c r="DAS134" s="105"/>
      <c r="DAT134" s="105"/>
      <c r="DAU134" s="105"/>
      <c r="DAV134" s="105"/>
      <c r="DAW134" s="105"/>
      <c r="DAX134" s="105"/>
      <c r="DAY134" s="105"/>
      <c r="DAZ134" s="105"/>
      <c r="DBA134" s="105"/>
      <c r="DBB134" s="105"/>
      <c r="DBC134" s="105"/>
      <c r="DBD134" s="105"/>
      <c r="DBE134" s="105"/>
      <c r="DBF134" s="105"/>
      <c r="DBG134" s="105"/>
      <c r="DBH134" s="105"/>
      <c r="DBI134" s="105"/>
      <c r="DBJ134" s="105"/>
      <c r="DBK134" s="105"/>
      <c r="DBL134" s="105"/>
      <c r="DBM134" s="105"/>
      <c r="DBN134" s="105"/>
      <c r="DBO134" s="105"/>
      <c r="DBP134" s="105"/>
      <c r="DBQ134" s="105"/>
      <c r="DBR134" s="105"/>
      <c r="DBS134" s="105"/>
      <c r="DBT134" s="105"/>
      <c r="DBU134" s="105"/>
      <c r="DBV134" s="105"/>
      <c r="DBW134" s="105"/>
      <c r="DBX134" s="105"/>
      <c r="DBY134" s="105"/>
      <c r="DBZ134" s="105"/>
      <c r="DCA134" s="105"/>
      <c r="DCB134" s="105"/>
      <c r="DCC134" s="105"/>
      <c r="DCD134" s="105"/>
      <c r="DCE134" s="105"/>
      <c r="DCF134" s="105"/>
      <c r="DCG134" s="105"/>
      <c r="DCH134" s="105"/>
      <c r="DCI134" s="105"/>
      <c r="DCJ134" s="105"/>
      <c r="DCK134" s="105"/>
      <c r="DCL134" s="105"/>
      <c r="DCM134" s="105"/>
      <c r="DCN134" s="105"/>
      <c r="DCO134" s="105"/>
      <c r="DCP134" s="105"/>
      <c r="DCQ134" s="105"/>
      <c r="DCR134" s="105"/>
      <c r="DCS134" s="105"/>
      <c r="DCT134" s="105"/>
      <c r="DCU134" s="105"/>
      <c r="DCV134" s="105"/>
      <c r="DCW134" s="105"/>
      <c r="DCX134" s="105"/>
      <c r="DCY134" s="105"/>
      <c r="DCZ134" s="105"/>
      <c r="DDA134" s="105"/>
      <c r="DDB134" s="105"/>
      <c r="DDC134" s="105"/>
      <c r="DDD134" s="105"/>
      <c r="DDE134" s="105"/>
      <c r="DDF134" s="105"/>
      <c r="DDG134" s="105"/>
      <c r="DDH134" s="105"/>
      <c r="DDI134" s="105"/>
      <c r="DDJ134" s="105"/>
      <c r="DDK134" s="105"/>
      <c r="DDL134" s="105"/>
      <c r="DDM134" s="105"/>
      <c r="DDN134" s="105"/>
      <c r="DDO134" s="105"/>
      <c r="DDP134" s="105"/>
      <c r="DDQ134" s="105"/>
      <c r="DDR134" s="105"/>
      <c r="DDS134" s="105"/>
      <c r="DDT134" s="105"/>
      <c r="DDU134" s="105"/>
      <c r="DDV134" s="105"/>
      <c r="DDW134" s="105"/>
      <c r="DDX134" s="105"/>
      <c r="DDY134" s="105"/>
      <c r="DDZ134" s="105"/>
      <c r="DEA134" s="105"/>
      <c r="DEB134" s="105"/>
      <c r="DEC134" s="105"/>
      <c r="DED134" s="105"/>
      <c r="DEE134" s="105"/>
      <c r="DEF134" s="105"/>
      <c r="DEG134" s="105"/>
      <c r="DEH134" s="105"/>
      <c r="DEI134" s="105"/>
      <c r="DEJ134" s="105"/>
      <c r="DEK134" s="105"/>
      <c r="DEL134" s="105"/>
      <c r="DEM134" s="105"/>
      <c r="DEN134" s="105"/>
      <c r="DEO134" s="105"/>
      <c r="DEP134" s="105"/>
      <c r="DEQ134" s="105"/>
      <c r="DER134" s="105"/>
      <c r="DES134" s="105"/>
      <c r="DET134" s="105"/>
      <c r="DEU134" s="105"/>
      <c r="DEV134" s="105"/>
      <c r="DEW134" s="105"/>
      <c r="DEX134" s="105"/>
      <c r="DEY134" s="105"/>
      <c r="DEZ134" s="105"/>
      <c r="DFA134" s="105"/>
      <c r="DFB134" s="105"/>
      <c r="DFC134" s="105"/>
      <c r="DFD134" s="105"/>
      <c r="DFE134" s="105"/>
      <c r="DFF134" s="105"/>
      <c r="DFG134" s="105"/>
      <c r="DFH134" s="105"/>
      <c r="DFI134" s="105"/>
      <c r="DFJ134" s="105"/>
      <c r="DFK134" s="105"/>
      <c r="DFL134" s="105"/>
      <c r="DFM134" s="105"/>
      <c r="DFN134" s="105"/>
      <c r="DFO134" s="105"/>
      <c r="DFP134" s="105"/>
      <c r="DFQ134" s="105"/>
      <c r="DFR134" s="105"/>
      <c r="DFS134" s="105"/>
      <c r="DFT134" s="105"/>
      <c r="DFU134" s="105"/>
      <c r="DFV134" s="105"/>
      <c r="DFW134" s="105"/>
      <c r="DFX134" s="105"/>
      <c r="DFY134" s="105"/>
      <c r="DFZ134" s="105"/>
      <c r="DGA134" s="105"/>
      <c r="DGB134" s="105"/>
      <c r="DGC134" s="105"/>
      <c r="DGD134" s="105"/>
      <c r="DGE134" s="105"/>
      <c r="DGF134" s="105"/>
      <c r="DGG134" s="105"/>
      <c r="DGH134" s="105"/>
      <c r="DGI134" s="105"/>
      <c r="DGJ134" s="105"/>
      <c r="DGK134" s="105"/>
      <c r="DGL134" s="105"/>
      <c r="DGM134" s="105"/>
      <c r="DGN134" s="105"/>
      <c r="DGO134" s="105"/>
      <c r="DGP134" s="105"/>
      <c r="DGQ134" s="105"/>
      <c r="DGR134" s="105"/>
      <c r="DGS134" s="105"/>
      <c r="DGT134" s="105"/>
      <c r="DGU134" s="105"/>
      <c r="DGV134" s="105"/>
      <c r="DGW134" s="105"/>
      <c r="DGX134" s="105"/>
      <c r="DGY134" s="105"/>
      <c r="DGZ134" s="105"/>
      <c r="DHA134" s="105"/>
      <c r="DHB134" s="105"/>
      <c r="DHC134" s="105"/>
      <c r="DHD134" s="105"/>
      <c r="DHE134" s="105"/>
      <c r="DHF134" s="105"/>
      <c r="DHG134" s="105"/>
      <c r="DHH134" s="105"/>
      <c r="DHI134" s="105"/>
      <c r="DHJ134" s="105"/>
      <c r="DHK134" s="105"/>
      <c r="DHL134" s="105"/>
      <c r="DHM134" s="105"/>
      <c r="DHN134" s="105"/>
      <c r="DHO134" s="105"/>
      <c r="DHP134" s="105"/>
      <c r="DHQ134" s="105"/>
      <c r="DHR134" s="105"/>
      <c r="DHS134" s="105"/>
      <c r="DHT134" s="105"/>
      <c r="DHU134" s="105"/>
      <c r="DHV134" s="105"/>
      <c r="DHW134" s="105"/>
      <c r="DHX134" s="105"/>
      <c r="DHY134" s="105"/>
      <c r="DHZ134" s="105"/>
      <c r="DIA134" s="105"/>
      <c r="DIB134" s="105"/>
      <c r="DIC134" s="105"/>
      <c r="DID134" s="105"/>
      <c r="DIE134" s="105"/>
      <c r="DIF134" s="105"/>
      <c r="DIG134" s="105"/>
      <c r="DIH134" s="105"/>
      <c r="DII134" s="105"/>
      <c r="DIJ134" s="105"/>
      <c r="DIK134" s="105"/>
      <c r="DIL134" s="105"/>
      <c r="DIM134" s="105"/>
      <c r="DIN134" s="105"/>
      <c r="DIO134" s="105"/>
      <c r="DIP134" s="105"/>
      <c r="DIQ134" s="105"/>
      <c r="DIR134" s="105"/>
      <c r="DIS134" s="105"/>
      <c r="DIT134" s="105"/>
      <c r="DIU134" s="105"/>
      <c r="DIV134" s="105"/>
      <c r="DIW134" s="105"/>
      <c r="DIX134" s="105"/>
      <c r="DIY134" s="105"/>
      <c r="DIZ134" s="105"/>
      <c r="DJA134" s="105"/>
      <c r="DJB134" s="105"/>
      <c r="DJC134" s="105"/>
      <c r="DJD134" s="105"/>
      <c r="DJE134" s="105"/>
      <c r="DJF134" s="105"/>
      <c r="DJG134" s="105"/>
      <c r="DJH134" s="105"/>
      <c r="DJI134" s="105"/>
      <c r="DJJ134" s="105"/>
      <c r="DJK134" s="105"/>
      <c r="DJL134" s="105"/>
      <c r="DJM134" s="105"/>
      <c r="DJN134" s="105"/>
      <c r="DJO134" s="105"/>
      <c r="DJP134" s="105"/>
      <c r="DJQ134" s="105"/>
      <c r="DJR134" s="105"/>
      <c r="DJS134" s="105"/>
      <c r="DJT134" s="105"/>
      <c r="DJU134" s="105"/>
      <c r="DJV134" s="105"/>
      <c r="DJW134" s="105"/>
      <c r="DJX134" s="105"/>
      <c r="DJY134" s="105"/>
      <c r="DJZ134" s="105"/>
      <c r="DKA134" s="105"/>
      <c r="DKB134" s="105"/>
      <c r="DKC134" s="105"/>
      <c r="DKD134" s="105"/>
      <c r="DKE134" s="105"/>
      <c r="DKF134" s="105"/>
      <c r="DKG134" s="105"/>
      <c r="DKH134" s="105"/>
      <c r="DKI134" s="105"/>
      <c r="DKJ134" s="105"/>
      <c r="DKK134" s="105"/>
      <c r="DKL134" s="105"/>
      <c r="DKM134" s="105"/>
      <c r="DKN134" s="105"/>
      <c r="DKO134" s="105"/>
      <c r="DKP134" s="105"/>
      <c r="DKQ134" s="105"/>
      <c r="DKR134" s="105"/>
      <c r="DKS134" s="105"/>
      <c r="DKT134" s="105"/>
      <c r="DKU134" s="105"/>
      <c r="DKV134" s="105"/>
      <c r="DKW134" s="105"/>
      <c r="DKX134" s="105"/>
      <c r="DKY134" s="105"/>
      <c r="DKZ134" s="105"/>
      <c r="DLA134" s="105"/>
      <c r="DLB134" s="105"/>
      <c r="DLC134" s="105"/>
      <c r="DLD134" s="105"/>
      <c r="DLE134" s="105"/>
      <c r="DLF134" s="105"/>
      <c r="DLG134" s="105"/>
      <c r="DLH134" s="105"/>
      <c r="DLI134" s="105"/>
      <c r="DLJ134" s="105"/>
      <c r="DLK134" s="105"/>
      <c r="DLL134" s="105"/>
      <c r="DLM134" s="105"/>
      <c r="DLN134" s="105"/>
      <c r="DLO134" s="105"/>
      <c r="DLP134" s="105"/>
      <c r="DLQ134" s="105"/>
      <c r="DLR134" s="105"/>
      <c r="DLS134" s="105"/>
      <c r="DLT134" s="105"/>
      <c r="DLU134" s="105"/>
      <c r="DLV134" s="105"/>
      <c r="DLW134" s="105"/>
      <c r="DLX134" s="105"/>
      <c r="DLY134" s="105"/>
      <c r="DLZ134" s="105"/>
      <c r="DMA134" s="105"/>
      <c r="DMB134" s="105"/>
      <c r="DMC134" s="105"/>
      <c r="DMD134" s="105"/>
      <c r="DME134" s="105"/>
      <c r="DMF134" s="105"/>
      <c r="DMG134" s="105"/>
      <c r="DMH134" s="105"/>
      <c r="DMI134" s="105"/>
      <c r="DMJ134" s="105"/>
      <c r="DMK134" s="105"/>
      <c r="DML134" s="105"/>
      <c r="DMM134" s="105"/>
      <c r="DMN134" s="105"/>
      <c r="DMO134" s="105"/>
      <c r="DMP134" s="105"/>
      <c r="DMQ134" s="105"/>
      <c r="DMR134" s="105"/>
      <c r="DMS134" s="105"/>
      <c r="DMT134" s="105"/>
      <c r="DMU134" s="105"/>
      <c r="DMV134" s="105"/>
      <c r="DMW134" s="105"/>
      <c r="DMX134" s="105"/>
      <c r="DMY134" s="105"/>
      <c r="DMZ134" s="105"/>
      <c r="DNA134" s="105"/>
      <c r="DNB134" s="105"/>
      <c r="DNC134" s="105"/>
      <c r="DND134" s="105"/>
      <c r="DNE134" s="105"/>
      <c r="DNF134" s="105"/>
      <c r="DNG134" s="105"/>
      <c r="DNH134" s="105"/>
      <c r="DNI134" s="105"/>
      <c r="DNJ134" s="105"/>
      <c r="DNK134" s="105"/>
      <c r="DNL134" s="105"/>
      <c r="DNM134" s="105"/>
      <c r="DNN134" s="105"/>
      <c r="DNO134" s="105"/>
      <c r="DNP134" s="105"/>
      <c r="DNQ134" s="105"/>
      <c r="DNR134" s="105"/>
      <c r="DNS134" s="105"/>
      <c r="DNT134" s="105"/>
      <c r="DNU134" s="105"/>
      <c r="DNV134" s="105"/>
      <c r="DNW134" s="105"/>
      <c r="DNX134" s="105"/>
      <c r="DNY134" s="105"/>
      <c r="DNZ134" s="105"/>
      <c r="DOA134" s="105"/>
      <c r="DOB134" s="105"/>
      <c r="DOC134" s="105"/>
      <c r="DOD134" s="105"/>
      <c r="DOE134" s="105"/>
      <c r="DOF134" s="105"/>
      <c r="DOG134" s="105"/>
      <c r="DOH134" s="105"/>
      <c r="DOI134" s="105"/>
      <c r="DOJ134" s="105"/>
      <c r="DOK134" s="105"/>
      <c r="DOL134" s="105"/>
      <c r="DOM134" s="105"/>
      <c r="DON134" s="105"/>
      <c r="DOO134" s="105"/>
      <c r="DOP134" s="105"/>
      <c r="DOQ134" s="105"/>
      <c r="DOR134" s="105"/>
      <c r="DOS134" s="105"/>
      <c r="DOT134" s="105"/>
      <c r="DOU134" s="105"/>
      <c r="DOV134" s="105"/>
      <c r="DOW134" s="105"/>
      <c r="DOX134" s="105"/>
      <c r="DOY134" s="105"/>
      <c r="DOZ134" s="105"/>
      <c r="DPA134" s="105"/>
      <c r="DPB134" s="105"/>
      <c r="DPC134" s="105"/>
      <c r="DPD134" s="105"/>
      <c r="DPE134" s="105"/>
      <c r="DPF134" s="105"/>
      <c r="DPG134" s="105"/>
      <c r="DPH134" s="105"/>
      <c r="DPI134" s="105"/>
      <c r="DPJ134" s="105"/>
      <c r="DPK134" s="105"/>
      <c r="DPL134" s="105"/>
      <c r="DPM134" s="105"/>
      <c r="DPN134" s="105"/>
      <c r="DPO134" s="105"/>
      <c r="DPP134" s="105"/>
      <c r="DPQ134" s="105"/>
      <c r="DPR134" s="105"/>
      <c r="DPS134" s="105"/>
      <c r="DPT134" s="105"/>
      <c r="DPU134" s="105"/>
      <c r="DPV134" s="105"/>
      <c r="DPW134" s="105"/>
      <c r="DPX134" s="105"/>
      <c r="DPY134" s="105"/>
      <c r="DPZ134" s="105"/>
      <c r="DQA134" s="105"/>
      <c r="DQB134" s="105"/>
      <c r="DQC134" s="105"/>
      <c r="DQD134" s="105"/>
      <c r="DQE134" s="105"/>
      <c r="DQF134" s="105"/>
      <c r="DQG134" s="105"/>
      <c r="DQH134" s="105"/>
      <c r="DQI134" s="105"/>
      <c r="DQJ134" s="105"/>
      <c r="DQK134" s="105"/>
      <c r="DQL134" s="105"/>
      <c r="DQM134" s="105"/>
      <c r="DQN134" s="105"/>
      <c r="DQO134" s="105"/>
      <c r="DQP134" s="105"/>
      <c r="DQQ134" s="105"/>
      <c r="DQR134" s="105"/>
      <c r="DQS134" s="105"/>
      <c r="DQT134" s="105"/>
      <c r="DQU134" s="105"/>
      <c r="DQV134" s="105"/>
      <c r="DQW134" s="105"/>
      <c r="DQX134" s="105"/>
      <c r="DQY134" s="105"/>
      <c r="DQZ134" s="105"/>
      <c r="DRA134" s="105"/>
      <c r="DRB134" s="105"/>
      <c r="DRC134" s="105"/>
      <c r="DRD134" s="105"/>
      <c r="DRE134" s="105"/>
      <c r="DRF134" s="105"/>
      <c r="DRG134" s="105"/>
      <c r="DRH134" s="105"/>
      <c r="DRI134" s="105"/>
      <c r="DRJ134" s="105"/>
      <c r="DRK134" s="105"/>
      <c r="DRL134" s="105"/>
      <c r="DRM134" s="105"/>
      <c r="DRN134" s="105"/>
      <c r="DRO134" s="105"/>
      <c r="DRP134" s="105"/>
      <c r="DRQ134" s="105"/>
      <c r="DRR134" s="105"/>
      <c r="DRS134" s="105"/>
      <c r="DRT134" s="105"/>
      <c r="DRU134" s="105"/>
      <c r="DRV134" s="105"/>
      <c r="DRW134" s="105"/>
      <c r="DRX134" s="105"/>
      <c r="DRY134" s="105"/>
      <c r="DRZ134" s="105"/>
      <c r="DSA134" s="105"/>
      <c r="DSB134" s="105"/>
      <c r="DSC134" s="105"/>
      <c r="DSD134" s="105"/>
      <c r="DSE134" s="105"/>
      <c r="DSF134" s="105"/>
      <c r="DSG134" s="105"/>
      <c r="DSH134" s="105"/>
      <c r="DSI134" s="105"/>
      <c r="DSJ134" s="105"/>
      <c r="DSK134" s="105"/>
      <c r="DSL134" s="105"/>
      <c r="DSM134" s="105"/>
      <c r="DSN134" s="105"/>
      <c r="DSO134" s="105"/>
      <c r="DSP134" s="105"/>
      <c r="DSQ134" s="105"/>
      <c r="DSR134" s="105"/>
      <c r="DSS134" s="105"/>
      <c r="DST134" s="105"/>
      <c r="DSU134" s="105"/>
      <c r="DSV134" s="105"/>
      <c r="DSW134" s="105"/>
      <c r="DSX134" s="105"/>
      <c r="DSY134" s="105"/>
      <c r="DSZ134" s="105"/>
      <c r="DTA134" s="105"/>
      <c r="DTB134" s="105"/>
      <c r="DTC134" s="105"/>
      <c r="DTD134" s="105"/>
      <c r="DTE134" s="105"/>
      <c r="DTF134" s="105"/>
      <c r="DTG134" s="105"/>
      <c r="DTH134" s="105"/>
      <c r="DTI134" s="105"/>
      <c r="DTJ134" s="105"/>
      <c r="DTK134" s="105"/>
      <c r="DTL134" s="105"/>
      <c r="DTM134" s="105"/>
      <c r="DTN134" s="105"/>
      <c r="DTO134" s="105"/>
      <c r="DTP134" s="105"/>
      <c r="DTQ134" s="105"/>
      <c r="DTR134" s="105"/>
      <c r="DTS134" s="105"/>
      <c r="DTT134" s="105"/>
      <c r="DTU134" s="105"/>
      <c r="DTV134" s="105"/>
      <c r="DTW134" s="105"/>
      <c r="DTX134" s="105"/>
      <c r="DTY134" s="105"/>
      <c r="DTZ134" s="105"/>
      <c r="DUA134" s="105"/>
      <c r="DUB134" s="105"/>
      <c r="DUC134" s="105"/>
      <c r="DUD134" s="105"/>
      <c r="DUE134" s="105"/>
      <c r="DUF134" s="105"/>
      <c r="DUG134" s="105"/>
      <c r="DUH134" s="105"/>
      <c r="DUI134" s="105"/>
      <c r="DUJ134" s="105"/>
      <c r="DUK134" s="105"/>
      <c r="DUL134" s="105"/>
      <c r="DUM134" s="105"/>
      <c r="DUN134" s="105"/>
      <c r="DUO134" s="105"/>
      <c r="DUP134" s="105"/>
      <c r="DUQ134" s="105"/>
      <c r="DUR134" s="105"/>
      <c r="DUS134" s="105"/>
      <c r="DUT134" s="105"/>
      <c r="DUU134" s="105"/>
      <c r="DUV134" s="105"/>
      <c r="DUW134" s="105"/>
      <c r="DUX134" s="105"/>
      <c r="DUY134" s="105"/>
      <c r="DUZ134" s="105"/>
      <c r="DVA134" s="105"/>
      <c r="DVB134" s="105"/>
      <c r="DVC134" s="105"/>
      <c r="DVD134" s="105"/>
      <c r="DVE134" s="105"/>
      <c r="DVF134" s="105"/>
      <c r="DVG134" s="105"/>
      <c r="DVH134" s="105"/>
      <c r="DVI134" s="105"/>
      <c r="DVJ134" s="105"/>
      <c r="DVK134" s="105"/>
      <c r="DVL134" s="105"/>
      <c r="DVM134" s="105"/>
      <c r="DVN134" s="105"/>
      <c r="DVO134" s="105"/>
      <c r="DVP134" s="105"/>
      <c r="DVQ134" s="105"/>
      <c r="DVR134" s="105"/>
      <c r="DVS134" s="105"/>
      <c r="DVT134" s="105"/>
      <c r="DVU134" s="105"/>
      <c r="DVV134" s="105"/>
      <c r="DVW134" s="105"/>
      <c r="DVX134" s="105"/>
      <c r="DVY134" s="105"/>
      <c r="DVZ134" s="105"/>
      <c r="DWA134" s="105"/>
      <c r="DWB134" s="105"/>
      <c r="DWC134" s="105"/>
      <c r="DWD134" s="105"/>
      <c r="DWE134" s="105"/>
      <c r="DWF134" s="105"/>
      <c r="DWG134" s="105"/>
      <c r="DWH134" s="105"/>
      <c r="DWI134" s="105"/>
      <c r="DWJ134" s="105"/>
      <c r="DWK134" s="105"/>
      <c r="DWL134" s="105"/>
      <c r="DWM134" s="105"/>
      <c r="DWN134" s="105"/>
      <c r="DWO134" s="105"/>
      <c r="DWP134" s="105"/>
      <c r="DWQ134" s="105"/>
      <c r="DWR134" s="105"/>
      <c r="DWS134" s="105"/>
      <c r="DWT134" s="105"/>
      <c r="DWU134" s="105"/>
      <c r="DWV134" s="105"/>
      <c r="DWW134" s="105"/>
      <c r="DWX134" s="105"/>
      <c r="DWY134" s="105"/>
      <c r="DWZ134" s="105"/>
      <c r="DXA134" s="105"/>
      <c r="DXB134" s="105"/>
      <c r="DXC134" s="105"/>
      <c r="DXD134" s="105"/>
      <c r="DXE134" s="105"/>
      <c r="DXF134" s="105"/>
      <c r="DXG134" s="105"/>
      <c r="DXH134" s="105"/>
      <c r="DXI134" s="105"/>
      <c r="DXJ134" s="105"/>
      <c r="DXK134" s="105"/>
      <c r="DXL134" s="105"/>
      <c r="DXM134" s="105"/>
      <c r="DXN134" s="105"/>
      <c r="DXO134" s="105"/>
      <c r="DXP134" s="105"/>
      <c r="DXQ134" s="105"/>
      <c r="DXR134" s="105"/>
      <c r="DXS134" s="105"/>
      <c r="DXT134" s="105"/>
      <c r="DXU134" s="105"/>
      <c r="DXV134" s="105"/>
      <c r="DXW134" s="105"/>
      <c r="DXX134" s="105"/>
      <c r="DXY134" s="105"/>
      <c r="DXZ134" s="105"/>
      <c r="DYA134" s="105"/>
      <c r="DYB134" s="105"/>
      <c r="DYC134" s="105"/>
      <c r="DYD134" s="105"/>
      <c r="DYE134" s="105"/>
      <c r="DYF134" s="105"/>
      <c r="DYG134" s="105"/>
      <c r="DYH134" s="105"/>
      <c r="DYI134" s="105"/>
      <c r="DYJ134" s="105"/>
      <c r="DYK134" s="105"/>
      <c r="DYL134" s="105"/>
      <c r="DYM134" s="105"/>
      <c r="DYN134" s="105"/>
      <c r="DYO134" s="105"/>
      <c r="DYP134" s="105"/>
      <c r="DYQ134" s="105"/>
      <c r="DYR134" s="105"/>
      <c r="DYS134" s="105"/>
      <c r="DYT134" s="105"/>
      <c r="DYU134" s="105"/>
      <c r="DYV134" s="105"/>
      <c r="DYW134" s="105"/>
      <c r="DYX134" s="105"/>
      <c r="DYY134" s="105"/>
      <c r="DYZ134" s="105"/>
      <c r="DZA134" s="105"/>
      <c r="DZB134" s="105"/>
      <c r="DZC134" s="105"/>
      <c r="DZD134" s="105"/>
      <c r="DZE134" s="105"/>
      <c r="DZF134" s="105"/>
      <c r="DZG134" s="105"/>
      <c r="DZH134" s="105"/>
      <c r="DZI134" s="105"/>
      <c r="DZJ134" s="105"/>
      <c r="DZK134" s="105"/>
      <c r="DZL134" s="105"/>
      <c r="DZM134" s="105"/>
      <c r="DZN134" s="105"/>
      <c r="DZO134" s="105"/>
      <c r="DZP134" s="105"/>
      <c r="DZQ134" s="105"/>
      <c r="DZR134" s="105"/>
      <c r="DZS134" s="105"/>
      <c r="DZT134" s="105"/>
      <c r="DZU134" s="105"/>
      <c r="DZV134" s="105"/>
      <c r="DZW134" s="105"/>
      <c r="DZX134" s="105"/>
      <c r="DZY134" s="105"/>
      <c r="DZZ134" s="105"/>
      <c r="EAA134" s="105"/>
      <c r="EAB134" s="105"/>
      <c r="EAC134" s="105"/>
      <c r="EAD134" s="105"/>
      <c r="EAE134" s="105"/>
      <c r="EAF134" s="105"/>
      <c r="EAG134" s="105"/>
      <c r="EAH134" s="105"/>
      <c r="EAI134" s="105"/>
      <c r="EAJ134" s="105"/>
      <c r="EAK134" s="105"/>
      <c r="EAL134" s="105"/>
      <c r="EAM134" s="105"/>
      <c r="EAN134" s="105"/>
      <c r="EAO134" s="105"/>
      <c r="EAP134" s="105"/>
      <c r="EAQ134" s="105"/>
      <c r="EAR134" s="105"/>
      <c r="EAS134" s="105"/>
      <c r="EAT134" s="105"/>
      <c r="EAU134" s="105"/>
      <c r="EAV134" s="105"/>
      <c r="EAW134" s="105"/>
      <c r="EAX134" s="105"/>
      <c r="EAY134" s="105"/>
      <c r="EAZ134" s="105"/>
      <c r="EBA134" s="105"/>
      <c r="EBB134" s="105"/>
      <c r="EBC134" s="105"/>
      <c r="EBD134" s="105"/>
      <c r="EBE134" s="105"/>
      <c r="EBF134" s="105"/>
      <c r="EBG134" s="105"/>
      <c r="EBH134" s="105"/>
      <c r="EBI134" s="105"/>
      <c r="EBJ134" s="105"/>
      <c r="EBK134" s="105"/>
      <c r="EBL134" s="105"/>
      <c r="EBM134" s="105"/>
      <c r="EBN134" s="105"/>
      <c r="EBO134" s="105"/>
      <c r="EBP134" s="105"/>
      <c r="EBQ134" s="105"/>
      <c r="EBR134" s="105"/>
      <c r="EBS134" s="105"/>
      <c r="EBT134" s="105"/>
      <c r="EBU134" s="105"/>
      <c r="EBV134" s="105"/>
      <c r="EBW134" s="105"/>
      <c r="EBX134" s="105"/>
      <c r="EBY134" s="105"/>
      <c r="EBZ134" s="105"/>
      <c r="ECA134" s="105"/>
      <c r="ECB134" s="105"/>
      <c r="ECC134" s="105"/>
      <c r="ECD134" s="105"/>
      <c r="ECE134" s="105"/>
      <c r="ECF134" s="105"/>
      <c r="ECG134" s="105"/>
      <c r="ECH134" s="105"/>
      <c r="ECI134" s="105"/>
      <c r="ECJ134" s="105"/>
      <c r="ECK134" s="105"/>
      <c r="ECL134" s="105"/>
      <c r="ECM134" s="105"/>
      <c r="ECN134" s="105"/>
      <c r="ECO134" s="105"/>
      <c r="ECP134" s="105"/>
      <c r="ECQ134" s="105"/>
      <c r="ECR134" s="105"/>
      <c r="ECS134" s="105"/>
      <c r="ECT134" s="105"/>
      <c r="ECU134" s="105"/>
      <c r="ECV134" s="105"/>
      <c r="ECW134" s="105"/>
      <c r="ECX134" s="105"/>
      <c r="ECY134" s="105"/>
      <c r="ECZ134" s="105"/>
      <c r="EDA134" s="105"/>
      <c r="EDB134" s="105"/>
      <c r="EDC134" s="105"/>
      <c r="EDD134" s="105"/>
      <c r="EDE134" s="105"/>
      <c r="EDF134" s="105"/>
      <c r="EDG134" s="105"/>
      <c r="EDH134" s="105"/>
      <c r="EDI134" s="105"/>
      <c r="EDJ134" s="105"/>
      <c r="EDK134" s="105"/>
      <c r="EDL134" s="105"/>
      <c r="EDM134" s="105"/>
      <c r="EDN134" s="105"/>
      <c r="EDO134" s="105"/>
      <c r="EDP134" s="105"/>
      <c r="EDQ134" s="105"/>
      <c r="EDR134" s="105"/>
      <c r="EDS134" s="105"/>
      <c r="EDT134" s="105"/>
      <c r="EDU134" s="105"/>
      <c r="EDV134" s="105"/>
      <c r="EDW134" s="105"/>
      <c r="EDX134" s="105"/>
      <c r="EDY134" s="105"/>
      <c r="EDZ134" s="105"/>
      <c r="EEA134" s="105"/>
      <c r="EEB134" s="105"/>
      <c r="EEC134" s="105"/>
      <c r="EED134" s="105"/>
      <c r="EEE134" s="105"/>
      <c r="EEF134" s="105"/>
      <c r="EEG134" s="105"/>
      <c r="EEH134" s="105"/>
      <c r="EEI134" s="105"/>
      <c r="EEJ134" s="105"/>
      <c r="EEK134" s="105"/>
      <c r="EEL134" s="105"/>
      <c r="EEM134" s="105"/>
      <c r="EEN134" s="105"/>
      <c r="EEO134" s="105"/>
      <c r="EEP134" s="105"/>
      <c r="EEQ134" s="105"/>
      <c r="EER134" s="105"/>
      <c r="EES134" s="105"/>
      <c r="EET134" s="105"/>
      <c r="EEU134" s="105"/>
      <c r="EEV134" s="105"/>
      <c r="EEW134" s="105"/>
      <c r="EEX134" s="105"/>
      <c r="EEY134" s="105"/>
      <c r="EEZ134" s="105"/>
      <c r="EFA134" s="105"/>
      <c r="EFB134" s="105"/>
      <c r="EFC134" s="105"/>
      <c r="EFD134" s="105"/>
      <c r="EFE134" s="105"/>
      <c r="EFF134" s="105"/>
      <c r="EFG134" s="105"/>
      <c r="EFH134" s="105"/>
      <c r="EFI134" s="105"/>
      <c r="EFJ134" s="105"/>
      <c r="EFK134" s="105"/>
      <c r="EFL134" s="105"/>
      <c r="EFM134" s="105"/>
      <c r="EFN134" s="105"/>
      <c r="EFO134" s="105"/>
      <c r="EFP134" s="105"/>
      <c r="EFQ134" s="105"/>
      <c r="EFR134" s="105"/>
      <c r="EFS134" s="105"/>
      <c r="EFT134" s="105"/>
      <c r="EFU134" s="105"/>
      <c r="EFV134" s="105"/>
      <c r="EFW134" s="105"/>
      <c r="EFX134" s="105"/>
      <c r="EFY134" s="105"/>
      <c r="EFZ134" s="105"/>
      <c r="EGA134" s="105"/>
      <c r="EGB134" s="105"/>
      <c r="EGC134" s="105"/>
      <c r="EGD134" s="105"/>
      <c r="EGE134" s="105"/>
      <c r="EGF134" s="105"/>
      <c r="EGG134" s="105"/>
      <c r="EGH134" s="105"/>
      <c r="EGI134" s="105"/>
      <c r="EGJ134" s="105"/>
      <c r="EGK134" s="105"/>
      <c r="EGL134" s="105"/>
      <c r="EGM134" s="105"/>
      <c r="EGN134" s="105"/>
      <c r="EGO134" s="105"/>
      <c r="EGP134" s="105"/>
      <c r="EGQ134" s="105"/>
      <c r="EGR134" s="105"/>
      <c r="EGS134" s="105"/>
      <c r="EGT134" s="105"/>
      <c r="EGU134" s="105"/>
      <c r="EGV134" s="105"/>
      <c r="EGW134" s="105"/>
      <c r="EGX134" s="105"/>
      <c r="EGY134" s="105"/>
      <c r="EGZ134" s="105"/>
      <c r="EHA134" s="105"/>
      <c r="EHB134" s="105"/>
      <c r="EHC134" s="105"/>
      <c r="EHD134" s="105"/>
      <c r="EHE134" s="105"/>
      <c r="EHF134" s="105"/>
      <c r="EHG134" s="105"/>
      <c r="EHH134" s="105"/>
      <c r="EHI134" s="105"/>
      <c r="EHJ134" s="105"/>
      <c r="EHK134" s="105"/>
      <c r="EHL134" s="105"/>
      <c r="EHM134" s="105"/>
      <c r="EHN134" s="105"/>
      <c r="EHO134" s="105"/>
      <c r="EHP134" s="105"/>
      <c r="EHQ134" s="105"/>
      <c r="EHR134" s="105"/>
      <c r="EHS134" s="105"/>
      <c r="EHT134" s="105"/>
      <c r="EHU134" s="105"/>
      <c r="EHV134" s="105"/>
      <c r="EHW134" s="105"/>
      <c r="EHX134" s="105"/>
      <c r="EHY134" s="105"/>
      <c r="EHZ134" s="105"/>
      <c r="EIA134" s="105"/>
      <c r="EIB134" s="105"/>
      <c r="EIC134" s="105"/>
      <c r="EID134" s="105"/>
      <c r="EIE134" s="105"/>
      <c r="EIF134" s="105"/>
      <c r="EIG134" s="105"/>
      <c r="EIH134" s="105"/>
      <c r="EII134" s="105"/>
      <c r="EIJ134" s="105"/>
      <c r="EIK134" s="105"/>
      <c r="EIL134" s="105"/>
      <c r="EIM134" s="105"/>
      <c r="EIN134" s="105"/>
      <c r="EIO134" s="105"/>
      <c r="EIP134" s="105"/>
      <c r="EIQ134" s="105"/>
      <c r="EIR134" s="105"/>
      <c r="EIS134" s="105"/>
      <c r="EIT134" s="105"/>
      <c r="EIU134" s="105"/>
      <c r="EIV134" s="105"/>
      <c r="EIW134" s="105"/>
      <c r="EIX134" s="105"/>
      <c r="EIY134" s="105"/>
      <c r="EIZ134" s="105"/>
      <c r="EJA134" s="105"/>
      <c r="EJB134" s="105"/>
      <c r="EJC134" s="105"/>
      <c r="EJD134" s="105"/>
      <c r="EJE134" s="105"/>
      <c r="EJF134" s="105"/>
      <c r="EJG134" s="105"/>
      <c r="EJH134" s="105"/>
      <c r="EJI134" s="105"/>
      <c r="EJJ134" s="105"/>
      <c r="EJK134" s="105"/>
      <c r="EJL134" s="105"/>
      <c r="EJM134" s="105"/>
      <c r="EJN134" s="105"/>
      <c r="EJO134" s="105"/>
      <c r="EJP134" s="105"/>
      <c r="EJQ134" s="105"/>
      <c r="EJR134" s="105"/>
      <c r="EJS134" s="105"/>
      <c r="EJT134" s="105"/>
      <c r="EJU134" s="105"/>
      <c r="EJV134" s="105"/>
      <c r="EJW134" s="105"/>
      <c r="EJX134" s="105"/>
      <c r="EJY134" s="105"/>
      <c r="EJZ134" s="105"/>
      <c r="EKA134" s="105"/>
      <c r="EKB134" s="105"/>
      <c r="EKC134" s="105"/>
      <c r="EKD134" s="105"/>
      <c r="EKE134" s="105"/>
      <c r="EKF134" s="105"/>
      <c r="EKG134" s="105"/>
      <c r="EKH134" s="105"/>
      <c r="EKI134" s="105"/>
      <c r="EKJ134" s="105"/>
      <c r="EKK134" s="105"/>
      <c r="EKL134" s="105"/>
      <c r="EKM134" s="105"/>
      <c r="EKN134" s="105"/>
      <c r="EKO134" s="105"/>
      <c r="EKP134" s="105"/>
      <c r="EKQ134" s="105"/>
      <c r="EKR134" s="105"/>
      <c r="EKS134" s="105"/>
      <c r="EKT134" s="105"/>
      <c r="EKU134" s="105"/>
      <c r="EKV134" s="105"/>
      <c r="EKW134" s="105"/>
      <c r="EKX134" s="105"/>
      <c r="EKY134" s="105"/>
      <c r="EKZ134" s="105"/>
      <c r="ELA134" s="105"/>
      <c r="ELB134" s="105"/>
      <c r="ELC134" s="105"/>
      <c r="ELD134" s="105"/>
      <c r="ELE134" s="105"/>
      <c r="ELF134" s="105"/>
      <c r="ELG134" s="105"/>
      <c r="ELH134" s="105"/>
      <c r="ELI134" s="105"/>
      <c r="ELJ134" s="105"/>
      <c r="ELK134" s="105"/>
      <c r="ELL134" s="105"/>
      <c r="ELM134" s="105"/>
      <c r="ELN134" s="105"/>
      <c r="ELO134" s="105"/>
      <c r="ELP134" s="105"/>
      <c r="ELQ134" s="105"/>
      <c r="ELR134" s="105"/>
      <c r="ELS134" s="105"/>
      <c r="ELT134" s="105"/>
      <c r="ELU134" s="105"/>
      <c r="ELV134" s="105"/>
      <c r="ELW134" s="105"/>
      <c r="ELX134" s="105"/>
      <c r="ELY134" s="105"/>
      <c r="ELZ134" s="105"/>
      <c r="EMA134" s="105"/>
      <c r="EMB134" s="105"/>
      <c r="EMC134" s="105"/>
      <c r="EMD134" s="105"/>
      <c r="EME134" s="105"/>
      <c r="EMF134" s="105"/>
      <c r="EMG134" s="105"/>
      <c r="EMH134" s="105"/>
      <c r="EMI134" s="105"/>
      <c r="EMJ134" s="105"/>
      <c r="EMK134" s="105"/>
      <c r="EML134" s="105"/>
      <c r="EMM134" s="105"/>
      <c r="EMN134" s="105"/>
      <c r="EMO134" s="105"/>
      <c r="EMP134" s="105"/>
      <c r="EMQ134" s="105"/>
      <c r="EMR134" s="105"/>
      <c r="EMS134" s="105"/>
      <c r="EMT134" s="105"/>
      <c r="EMU134" s="105"/>
      <c r="EMV134" s="105"/>
      <c r="EMW134" s="105"/>
      <c r="EMX134" s="105"/>
      <c r="EMY134" s="105"/>
      <c r="EMZ134" s="105"/>
      <c r="ENA134" s="105"/>
      <c r="ENB134" s="105"/>
      <c r="ENC134" s="105"/>
      <c r="END134" s="105"/>
      <c r="ENE134" s="105"/>
      <c r="ENF134" s="105"/>
      <c r="ENG134" s="105"/>
      <c r="ENH134" s="105"/>
      <c r="ENI134" s="105"/>
      <c r="ENJ134" s="105"/>
      <c r="ENK134" s="105"/>
      <c r="ENL134" s="105"/>
      <c r="ENM134" s="105"/>
      <c r="ENN134" s="105"/>
      <c r="ENO134" s="105"/>
      <c r="ENP134" s="105"/>
      <c r="ENQ134" s="105"/>
      <c r="ENR134" s="105"/>
      <c r="ENS134" s="105"/>
      <c r="ENT134" s="105"/>
      <c r="ENU134" s="105"/>
      <c r="ENV134" s="105"/>
      <c r="ENW134" s="105"/>
      <c r="ENX134" s="105"/>
      <c r="ENY134" s="105"/>
      <c r="ENZ134" s="105"/>
      <c r="EOA134" s="105"/>
      <c r="EOB134" s="105"/>
      <c r="EOC134" s="105"/>
      <c r="EOD134" s="105"/>
      <c r="EOE134" s="105"/>
      <c r="EOF134" s="105"/>
      <c r="EOG134" s="105"/>
      <c r="EOH134" s="105"/>
      <c r="EOI134" s="105"/>
      <c r="EOJ134" s="105"/>
      <c r="EOK134" s="105"/>
      <c r="EOL134" s="105"/>
      <c r="EOM134" s="105"/>
      <c r="EON134" s="105"/>
      <c r="EOO134" s="105"/>
      <c r="EOP134" s="105"/>
      <c r="EOQ134" s="105"/>
      <c r="EOR134" s="105"/>
      <c r="EOS134" s="105"/>
      <c r="EOT134" s="105"/>
      <c r="EOU134" s="105"/>
      <c r="EOV134" s="105"/>
      <c r="EOW134" s="105"/>
      <c r="EOX134" s="105"/>
      <c r="EOY134" s="105"/>
      <c r="EOZ134" s="105"/>
      <c r="EPA134" s="105"/>
      <c r="EPB134" s="105"/>
      <c r="EPC134" s="105"/>
      <c r="EPD134" s="105"/>
      <c r="EPE134" s="105"/>
      <c r="EPF134" s="105"/>
      <c r="EPG134" s="105"/>
      <c r="EPH134" s="105"/>
      <c r="EPI134" s="105"/>
      <c r="EPJ134" s="105"/>
      <c r="EPK134" s="105"/>
      <c r="EPL134" s="105"/>
      <c r="EPM134" s="105"/>
      <c r="EPN134" s="105"/>
      <c r="EPO134" s="105"/>
      <c r="EPP134" s="105"/>
      <c r="EPQ134" s="105"/>
      <c r="EPR134" s="105"/>
      <c r="EPS134" s="105"/>
      <c r="EPT134" s="105"/>
      <c r="EPU134" s="105"/>
      <c r="EPV134" s="105"/>
      <c r="EPW134" s="105"/>
      <c r="EPX134" s="105"/>
      <c r="EPY134" s="105"/>
      <c r="EPZ134" s="105"/>
      <c r="EQA134" s="105"/>
      <c r="EQB134" s="105"/>
      <c r="EQC134" s="105"/>
      <c r="EQD134" s="105"/>
      <c r="EQE134" s="105"/>
      <c r="EQF134" s="105"/>
      <c r="EQG134" s="105"/>
      <c r="EQH134" s="105"/>
      <c r="EQI134" s="105"/>
      <c r="EQJ134" s="105"/>
      <c r="EQK134" s="105"/>
      <c r="EQL134" s="105"/>
      <c r="EQM134" s="105"/>
      <c r="EQN134" s="105"/>
      <c r="EQO134" s="105"/>
      <c r="EQP134" s="105"/>
      <c r="EQQ134" s="105"/>
      <c r="EQR134" s="105"/>
      <c r="EQS134" s="105"/>
      <c r="EQT134" s="105"/>
      <c r="EQU134" s="105"/>
      <c r="EQV134" s="105"/>
      <c r="EQW134" s="105"/>
      <c r="EQX134" s="105"/>
      <c r="EQY134" s="105"/>
      <c r="EQZ134" s="105"/>
      <c r="ERA134" s="105"/>
      <c r="ERB134" s="105"/>
      <c r="ERC134" s="105"/>
      <c r="ERD134" s="105"/>
      <c r="ERE134" s="105"/>
      <c r="ERF134" s="105"/>
      <c r="ERG134" s="105"/>
      <c r="ERH134" s="105"/>
      <c r="ERI134" s="105"/>
      <c r="ERJ134" s="105"/>
      <c r="ERK134" s="105"/>
      <c r="ERL134" s="105"/>
      <c r="ERM134" s="105"/>
      <c r="ERN134" s="105"/>
      <c r="ERO134" s="105"/>
      <c r="ERP134" s="105"/>
      <c r="ERQ134" s="105"/>
      <c r="ERR134" s="105"/>
      <c r="ERS134" s="105"/>
      <c r="ERT134" s="105"/>
      <c r="ERU134" s="105"/>
      <c r="ERV134" s="105"/>
      <c r="ERW134" s="105"/>
      <c r="ERX134" s="105"/>
      <c r="ERY134" s="105"/>
      <c r="ERZ134" s="105"/>
      <c r="ESA134" s="105"/>
      <c r="ESB134" s="105"/>
      <c r="ESC134" s="105"/>
      <c r="ESD134" s="105"/>
      <c r="ESE134" s="105"/>
      <c r="ESF134" s="105"/>
      <c r="ESG134" s="105"/>
      <c r="ESH134" s="105"/>
      <c r="ESI134" s="105"/>
      <c r="ESJ134" s="105"/>
      <c r="ESK134" s="105"/>
      <c r="ESL134" s="105"/>
      <c r="ESM134" s="105"/>
      <c r="ESN134" s="105"/>
      <c r="ESO134" s="105"/>
      <c r="ESP134" s="105"/>
      <c r="ESQ134" s="105"/>
      <c r="ESR134" s="105"/>
      <c r="ESS134" s="105"/>
      <c r="EST134" s="105"/>
      <c r="ESU134" s="105"/>
      <c r="ESV134" s="105"/>
      <c r="ESW134" s="105"/>
      <c r="ESX134" s="105"/>
      <c r="ESY134" s="105"/>
      <c r="ESZ134" s="105"/>
      <c r="ETA134" s="105"/>
      <c r="ETB134" s="105"/>
      <c r="ETC134" s="105"/>
      <c r="ETD134" s="105"/>
      <c r="ETE134" s="105"/>
      <c r="ETF134" s="105"/>
      <c r="ETG134" s="105"/>
      <c r="ETH134" s="105"/>
      <c r="ETI134" s="105"/>
      <c r="ETJ134" s="105"/>
      <c r="ETK134" s="105"/>
      <c r="ETL134" s="105"/>
      <c r="ETM134" s="105"/>
      <c r="ETN134" s="105"/>
      <c r="ETO134" s="105"/>
      <c r="ETP134" s="105"/>
      <c r="ETQ134" s="105"/>
      <c r="ETR134" s="105"/>
      <c r="ETS134" s="105"/>
      <c r="ETT134" s="105"/>
      <c r="ETU134" s="105"/>
      <c r="ETV134" s="105"/>
      <c r="ETW134" s="105"/>
      <c r="ETX134" s="105"/>
      <c r="ETY134" s="105"/>
      <c r="ETZ134" s="105"/>
      <c r="EUA134" s="105"/>
      <c r="EUB134" s="105"/>
      <c r="EUC134" s="105"/>
      <c r="EUD134" s="105"/>
      <c r="EUE134" s="105"/>
      <c r="EUF134" s="105"/>
      <c r="EUG134" s="105"/>
      <c r="EUH134" s="105"/>
      <c r="EUI134" s="105"/>
      <c r="EUJ134" s="105"/>
      <c r="EUK134" s="105"/>
      <c r="EUL134" s="105"/>
      <c r="EUM134" s="105"/>
      <c r="EUN134" s="105"/>
      <c r="EUO134" s="105"/>
      <c r="EUP134" s="105"/>
      <c r="EUQ134" s="105"/>
      <c r="EUR134" s="105"/>
      <c r="EUS134" s="105"/>
      <c r="EUT134" s="105"/>
      <c r="EUU134" s="105"/>
      <c r="EUV134" s="105"/>
      <c r="EUW134" s="105"/>
      <c r="EUX134" s="105"/>
      <c r="EUY134" s="105"/>
      <c r="EUZ134" s="105"/>
      <c r="EVA134" s="105"/>
      <c r="EVB134" s="105"/>
      <c r="EVC134" s="105"/>
      <c r="EVD134" s="105"/>
      <c r="EVE134" s="105"/>
      <c r="EVF134" s="105"/>
      <c r="EVG134" s="105"/>
      <c r="EVH134" s="105"/>
      <c r="EVI134" s="105"/>
      <c r="EVJ134" s="105"/>
      <c r="EVK134" s="105"/>
      <c r="EVL134" s="105"/>
      <c r="EVM134" s="105"/>
      <c r="EVN134" s="105"/>
      <c r="EVO134" s="105"/>
      <c r="EVP134" s="105"/>
      <c r="EVQ134" s="105"/>
      <c r="EVR134" s="105"/>
      <c r="EVS134" s="105"/>
      <c r="EVT134" s="105"/>
      <c r="EVU134" s="105"/>
      <c r="EVV134" s="105"/>
      <c r="EVW134" s="105"/>
      <c r="EVX134" s="105"/>
      <c r="EVY134" s="105"/>
      <c r="EVZ134" s="105"/>
      <c r="EWA134" s="105"/>
      <c r="EWB134" s="105"/>
      <c r="EWC134" s="105"/>
      <c r="EWD134" s="105"/>
      <c r="EWE134" s="105"/>
      <c r="EWF134" s="105"/>
      <c r="EWG134" s="105"/>
      <c r="EWH134" s="105"/>
      <c r="EWI134" s="105"/>
      <c r="EWJ134" s="105"/>
      <c r="EWK134" s="105"/>
      <c r="EWL134" s="105"/>
      <c r="EWM134" s="105"/>
      <c r="EWN134" s="105"/>
      <c r="EWO134" s="105"/>
      <c r="EWP134" s="105"/>
      <c r="EWQ134" s="105"/>
      <c r="EWR134" s="105"/>
      <c r="EWS134" s="105"/>
      <c r="EWT134" s="105"/>
      <c r="EWU134" s="105"/>
      <c r="EWV134" s="105"/>
      <c r="EWW134" s="105"/>
      <c r="EWX134" s="105"/>
      <c r="EWY134" s="105"/>
      <c r="EWZ134" s="105"/>
      <c r="EXA134" s="105"/>
      <c r="EXB134" s="105"/>
      <c r="EXC134" s="105"/>
      <c r="EXD134" s="105"/>
      <c r="EXE134" s="105"/>
      <c r="EXF134" s="105"/>
      <c r="EXG134" s="105"/>
      <c r="EXH134" s="105"/>
      <c r="EXI134" s="105"/>
      <c r="EXJ134" s="105"/>
      <c r="EXK134" s="105"/>
      <c r="EXL134" s="105"/>
      <c r="EXM134" s="105"/>
      <c r="EXN134" s="105"/>
      <c r="EXO134" s="105"/>
      <c r="EXP134" s="105"/>
      <c r="EXQ134" s="105"/>
      <c r="EXR134" s="105"/>
      <c r="EXS134" s="105"/>
      <c r="EXT134" s="105"/>
      <c r="EXU134" s="105"/>
      <c r="EXV134" s="105"/>
      <c r="EXW134" s="105"/>
      <c r="EXX134" s="105"/>
      <c r="EXY134" s="105"/>
      <c r="EXZ134" s="105"/>
      <c r="EYA134" s="105"/>
      <c r="EYB134" s="105"/>
      <c r="EYC134" s="105"/>
      <c r="EYD134" s="105"/>
      <c r="EYE134" s="105"/>
      <c r="EYF134" s="105"/>
      <c r="EYG134" s="105"/>
      <c r="EYH134" s="105"/>
      <c r="EYI134" s="105"/>
      <c r="EYJ134" s="105"/>
      <c r="EYK134" s="105"/>
      <c r="EYL134" s="105"/>
      <c r="EYM134" s="105"/>
      <c r="EYN134" s="105"/>
      <c r="EYO134" s="105"/>
      <c r="EYP134" s="105"/>
      <c r="EYQ134" s="105"/>
      <c r="EYR134" s="105"/>
      <c r="EYS134" s="105"/>
      <c r="EYT134" s="105"/>
      <c r="EYU134" s="105"/>
      <c r="EYV134" s="105"/>
      <c r="EYW134" s="105"/>
      <c r="EYX134" s="105"/>
      <c r="EYY134" s="105"/>
      <c r="EYZ134" s="105"/>
      <c r="EZA134" s="105"/>
      <c r="EZB134" s="105"/>
      <c r="EZC134" s="105"/>
      <c r="EZD134" s="105"/>
      <c r="EZE134" s="105"/>
      <c r="EZF134" s="105"/>
      <c r="EZG134" s="105"/>
      <c r="EZH134" s="105"/>
      <c r="EZI134" s="105"/>
      <c r="EZJ134" s="105"/>
      <c r="EZK134" s="105"/>
      <c r="EZL134" s="105"/>
      <c r="EZM134" s="105"/>
      <c r="EZN134" s="105"/>
      <c r="EZO134" s="105"/>
      <c r="EZP134" s="105"/>
      <c r="EZQ134" s="105"/>
      <c r="EZR134" s="105"/>
      <c r="EZS134" s="105"/>
      <c r="EZT134" s="105"/>
      <c r="EZU134" s="105"/>
      <c r="EZV134" s="105"/>
      <c r="EZW134" s="105"/>
      <c r="EZX134" s="105"/>
      <c r="EZY134" s="105"/>
      <c r="EZZ134" s="105"/>
      <c r="FAA134" s="105"/>
      <c r="FAB134" s="105"/>
      <c r="FAC134" s="105"/>
      <c r="FAD134" s="105"/>
      <c r="FAE134" s="105"/>
      <c r="FAF134" s="105"/>
      <c r="FAG134" s="105"/>
      <c r="FAH134" s="105"/>
      <c r="FAI134" s="105"/>
      <c r="FAJ134" s="105"/>
      <c r="FAK134" s="105"/>
      <c r="FAL134" s="105"/>
      <c r="FAM134" s="105"/>
      <c r="FAN134" s="105"/>
      <c r="FAO134" s="105"/>
      <c r="FAP134" s="105"/>
      <c r="FAQ134" s="105"/>
      <c r="FAR134" s="105"/>
      <c r="FAS134" s="105"/>
      <c r="FAT134" s="105"/>
      <c r="FAU134" s="105"/>
      <c r="FAV134" s="105"/>
      <c r="FAW134" s="105"/>
      <c r="FAX134" s="105"/>
      <c r="FAY134" s="105"/>
      <c r="FAZ134" s="105"/>
      <c r="FBA134" s="105"/>
      <c r="FBB134" s="105"/>
      <c r="FBC134" s="105"/>
      <c r="FBD134" s="105"/>
      <c r="FBE134" s="105"/>
      <c r="FBF134" s="105"/>
      <c r="FBG134" s="105"/>
      <c r="FBH134" s="105"/>
      <c r="FBI134" s="105"/>
      <c r="FBJ134" s="105"/>
      <c r="FBK134" s="105"/>
      <c r="FBL134" s="105"/>
      <c r="FBM134" s="105"/>
      <c r="FBN134" s="105"/>
      <c r="FBO134" s="105"/>
      <c r="FBP134" s="105"/>
      <c r="FBQ134" s="105"/>
      <c r="FBR134" s="105"/>
      <c r="FBS134" s="105"/>
      <c r="FBT134" s="105"/>
      <c r="FBU134" s="105"/>
      <c r="FBV134" s="105"/>
      <c r="FBW134" s="105"/>
      <c r="FBX134" s="105"/>
      <c r="FBY134" s="105"/>
      <c r="FBZ134" s="105"/>
      <c r="FCA134" s="105"/>
      <c r="FCB134" s="105"/>
      <c r="FCC134" s="105"/>
      <c r="FCD134" s="105"/>
      <c r="FCE134" s="105"/>
      <c r="FCF134" s="105"/>
      <c r="FCG134" s="105"/>
      <c r="FCH134" s="105"/>
      <c r="FCI134" s="105"/>
      <c r="FCJ134" s="105"/>
      <c r="FCK134" s="105"/>
      <c r="FCL134" s="105"/>
      <c r="FCM134" s="105"/>
      <c r="FCN134" s="105"/>
      <c r="FCO134" s="105"/>
      <c r="FCP134" s="105"/>
      <c r="FCQ134" s="105"/>
      <c r="FCR134" s="105"/>
      <c r="FCS134" s="105"/>
      <c r="FCT134" s="105"/>
      <c r="FCU134" s="105"/>
      <c r="FCV134" s="105"/>
      <c r="FCW134" s="105"/>
      <c r="FCX134" s="105"/>
      <c r="FCY134" s="105"/>
      <c r="FCZ134" s="105"/>
      <c r="FDA134" s="105"/>
      <c r="FDB134" s="105"/>
      <c r="FDC134" s="105"/>
      <c r="FDD134" s="105"/>
      <c r="FDE134" s="105"/>
      <c r="FDF134" s="105"/>
      <c r="FDG134" s="105"/>
      <c r="FDH134" s="105"/>
      <c r="FDI134" s="105"/>
      <c r="FDJ134" s="105"/>
      <c r="FDK134" s="105"/>
      <c r="FDL134" s="105"/>
      <c r="FDM134" s="105"/>
      <c r="FDN134" s="105"/>
      <c r="FDO134" s="105"/>
      <c r="FDP134" s="105"/>
      <c r="FDQ134" s="105"/>
      <c r="FDR134" s="105"/>
      <c r="FDS134" s="105"/>
      <c r="FDT134" s="105"/>
      <c r="FDU134" s="105"/>
      <c r="FDV134" s="105"/>
      <c r="FDW134" s="105"/>
      <c r="FDX134" s="105"/>
      <c r="FDY134" s="105"/>
      <c r="FDZ134" s="105"/>
      <c r="FEA134" s="105"/>
      <c r="FEB134" s="105"/>
      <c r="FEC134" s="105"/>
      <c r="FED134" s="105"/>
      <c r="FEE134" s="105"/>
      <c r="FEF134" s="105"/>
      <c r="FEG134" s="105"/>
      <c r="FEH134" s="105"/>
      <c r="FEI134" s="105"/>
      <c r="FEJ134" s="105"/>
      <c r="FEK134" s="105"/>
      <c r="FEL134" s="105"/>
      <c r="FEM134" s="105"/>
      <c r="FEN134" s="105"/>
      <c r="FEO134" s="105"/>
      <c r="FEP134" s="105"/>
      <c r="FEQ134" s="105"/>
      <c r="FER134" s="105"/>
      <c r="FES134" s="105"/>
      <c r="FET134" s="105"/>
      <c r="FEU134" s="105"/>
      <c r="FEV134" s="105"/>
      <c r="FEW134" s="105"/>
      <c r="FEX134" s="105"/>
      <c r="FEY134" s="105"/>
      <c r="FEZ134" s="105"/>
      <c r="FFA134" s="105"/>
      <c r="FFB134" s="105"/>
      <c r="FFC134" s="105"/>
      <c r="FFD134" s="105"/>
      <c r="FFE134" s="105"/>
      <c r="FFF134" s="105"/>
      <c r="FFG134" s="105"/>
      <c r="FFH134" s="105"/>
      <c r="FFI134" s="105"/>
      <c r="FFJ134" s="105"/>
      <c r="FFK134" s="105"/>
      <c r="FFL134" s="105"/>
      <c r="FFM134" s="105"/>
      <c r="FFN134" s="105"/>
      <c r="FFO134" s="105"/>
      <c r="FFP134" s="105"/>
      <c r="FFQ134" s="105"/>
      <c r="FFR134" s="105"/>
      <c r="FFS134" s="105"/>
      <c r="FFT134" s="105"/>
      <c r="FFU134" s="105"/>
      <c r="FFV134" s="105"/>
      <c r="FFW134" s="105"/>
      <c r="FFX134" s="105"/>
      <c r="FFY134" s="105"/>
      <c r="FFZ134" s="105"/>
      <c r="FGA134" s="105"/>
      <c r="FGB134" s="105"/>
      <c r="FGC134" s="105"/>
      <c r="FGD134" s="105"/>
      <c r="FGE134" s="105"/>
      <c r="FGF134" s="105"/>
      <c r="FGG134" s="105"/>
      <c r="FGH134" s="105"/>
      <c r="FGI134" s="105"/>
      <c r="FGJ134" s="105"/>
      <c r="FGK134" s="105"/>
      <c r="FGL134" s="105"/>
      <c r="FGM134" s="105"/>
      <c r="FGN134" s="105"/>
      <c r="FGO134" s="105"/>
      <c r="FGP134" s="105"/>
      <c r="FGQ134" s="105"/>
      <c r="FGR134" s="105"/>
      <c r="FGS134" s="105"/>
      <c r="FGT134" s="105"/>
      <c r="FGU134" s="105"/>
      <c r="FGV134" s="105"/>
      <c r="FGW134" s="105"/>
      <c r="FGX134" s="105"/>
      <c r="FGY134" s="105"/>
      <c r="FGZ134" s="105"/>
      <c r="FHA134" s="105"/>
      <c r="FHB134" s="105"/>
      <c r="FHC134" s="105"/>
      <c r="FHD134" s="105"/>
      <c r="FHE134" s="105"/>
      <c r="FHF134" s="105"/>
      <c r="FHG134" s="105"/>
      <c r="FHH134" s="105"/>
      <c r="FHI134" s="105"/>
      <c r="FHJ134" s="105"/>
      <c r="FHK134" s="105"/>
      <c r="FHL134" s="105"/>
      <c r="FHM134" s="105"/>
      <c r="FHN134" s="105"/>
      <c r="FHO134" s="105"/>
      <c r="FHP134" s="105"/>
      <c r="FHQ134" s="105"/>
      <c r="FHR134" s="105"/>
      <c r="FHS134" s="105"/>
      <c r="FHT134" s="105"/>
      <c r="FHU134" s="105"/>
      <c r="FHV134" s="105"/>
      <c r="FHW134" s="105"/>
      <c r="FHX134" s="105"/>
      <c r="FHY134" s="105"/>
      <c r="FHZ134" s="105"/>
      <c r="FIA134" s="105"/>
      <c r="FIB134" s="105"/>
      <c r="FIC134" s="105"/>
      <c r="FID134" s="105"/>
      <c r="FIE134" s="105"/>
      <c r="FIF134" s="105"/>
      <c r="FIG134" s="105"/>
      <c r="FIH134" s="105"/>
      <c r="FII134" s="105"/>
      <c r="FIJ134" s="105"/>
      <c r="FIK134" s="105"/>
      <c r="FIL134" s="105"/>
      <c r="FIM134" s="105"/>
      <c r="FIN134" s="105"/>
      <c r="FIO134" s="105"/>
      <c r="FIP134" s="105"/>
      <c r="FIQ134" s="105"/>
      <c r="FIR134" s="105"/>
      <c r="FIS134" s="105"/>
      <c r="FIT134" s="105"/>
      <c r="FIU134" s="105"/>
      <c r="FIV134" s="105"/>
      <c r="FIW134" s="105"/>
      <c r="FIX134" s="105"/>
      <c r="FIY134" s="105"/>
      <c r="FIZ134" s="105"/>
      <c r="FJA134" s="105"/>
      <c r="FJB134" s="105"/>
      <c r="FJC134" s="105"/>
      <c r="FJD134" s="105"/>
      <c r="FJE134" s="105"/>
      <c r="FJF134" s="105"/>
      <c r="FJG134" s="105"/>
      <c r="FJH134" s="105"/>
      <c r="FJI134" s="105"/>
      <c r="FJJ134" s="105"/>
      <c r="FJK134" s="105"/>
      <c r="FJL134" s="105"/>
      <c r="FJM134" s="105"/>
      <c r="FJN134" s="105"/>
      <c r="FJO134" s="105"/>
      <c r="FJP134" s="105"/>
      <c r="FJQ134" s="105"/>
      <c r="FJR134" s="105"/>
      <c r="FJS134" s="105"/>
      <c r="FJT134" s="105"/>
      <c r="FJU134" s="105"/>
      <c r="FJV134" s="105"/>
      <c r="FJW134" s="105"/>
      <c r="FJX134" s="105"/>
      <c r="FJY134" s="105"/>
      <c r="FJZ134" s="105"/>
      <c r="FKA134" s="105"/>
      <c r="FKB134" s="105"/>
      <c r="FKC134" s="105"/>
      <c r="FKD134" s="105"/>
      <c r="FKE134" s="105"/>
      <c r="FKF134" s="105"/>
      <c r="FKG134" s="105"/>
      <c r="FKH134" s="105"/>
      <c r="FKI134" s="105"/>
      <c r="FKJ134" s="105"/>
      <c r="FKK134" s="105"/>
      <c r="FKL134" s="105"/>
      <c r="FKM134" s="105"/>
      <c r="FKN134" s="105"/>
      <c r="FKO134" s="105"/>
      <c r="FKP134" s="105"/>
      <c r="FKQ134" s="105"/>
      <c r="FKR134" s="105"/>
      <c r="FKS134" s="105"/>
      <c r="FKT134" s="105"/>
      <c r="FKU134" s="105"/>
      <c r="FKV134" s="105"/>
      <c r="FKW134" s="105"/>
      <c r="FKX134" s="105"/>
      <c r="FKY134" s="105"/>
      <c r="FKZ134" s="105"/>
      <c r="FLA134" s="105"/>
      <c r="FLB134" s="105"/>
      <c r="FLC134" s="105"/>
      <c r="FLD134" s="105"/>
      <c r="FLE134" s="105"/>
      <c r="FLF134" s="105"/>
      <c r="FLG134" s="105"/>
      <c r="FLH134" s="105"/>
      <c r="FLI134" s="105"/>
      <c r="FLJ134" s="105"/>
      <c r="FLK134" s="105"/>
      <c r="FLL134" s="105"/>
      <c r="FLM134" s="105"/>
      <c r="FLN134" s="105"/>
      <c r="FLO134" s="105"/>
      <c r="FLP134" s="105"/>
      <c r="FLQ134" s="105"/>
      <c r="FLR134" s="105"/>
      <c r="FLS134" s="105"/>
      <c r="FLT134" s="105"/>
      <c r="FLU134" s="105"/>
      <c r="FLV134" s="105"/>
      <c r="FLW134" s="105"/>
      <c r="FLX134" s="105"/>
      <c r="FLY134" s="105"/>
      <c r="FLZ134" s="105"/>
      <c r="FMA134" s="105"/>
      <c r="FMB134" s="105"/>
      <c r="FMC134" s="105"/>
      <c r="FMD134" s="105"/>
      <c r="FME134" s="105"/>
      <c r="FMF134" s="105"/>
      <c r="FMG134" s="105"/>
      <c r="FMH134" s="105"/>
      <c r="FMI134" s="105"/>
      <c r="FMJ134" s="105"/>
      <c r="FMK134" s="105"/>
      <c r="FML134" s="105"/>
      <c r="FMM134" s="105"/>
      <c r="FMN134" s="105"/>
      <c r="FMO134" s="105"/>
      <c r="FMP134" s="105"/>
      <c r="FMQ134" s="105"/>
      <c r="FMR134" s="105"/>
      <c r="FMS134" s="105"/>
      <c r="FMT134" s="105"/>
      <c r="FMU134" s="105"/>
      <c r="FMV134" s="105"/>
      <c r="FMW134" s="105"/>
      <c r="FMX134" s="105"/>
      <c r="FMY134" s="105"/>
      <c r="FMZ134" s="105"/>
      <c r="FNA134" s="105"/>
      <c r="FNB134" s="105"/>
      <c r="FNC134" s="105"/>
      <c r="FND134" s="105"/>
      <c r="FNE134" s="105"/>
      <c r="FNF134" s="105"/>
      <c r="FNG134" s="105"/>
      <c r="FNH134" s="105"/>
      <c r="FNI134" s="105"/>
      <c r="FNJ134" s="105"/>
      <c r="FNK134" s="105"/>
      <c r="FNL134" s="105"/>
      <c r="FNM134" s="105"/>
      <c r="FNN134" s="105"/>
      <c r="FNO134" s="105"/>
      <c r="FNP134" s="105"/>
      <c r="FNQ134" s="105"/>
      <c r="FNR134" s="105"/>
      <c r="FNS134" s="105"/>
      <c r="FNT134" s="105"/>
      <c r="FNU134" s="105"/>
      <c r="FNV134" s="105"/>
      <c r="FNW134" s="105"/>
      <c r="FNX134" s="105"/>
      <c r="FNY134" s="105"/>
      <c r="FNZ134" s="105"/>
      <c r="FOA134" s="105"/>
      <c r="FOB134" s="105"/>
      <c r="FOC134" s="105"/>
      <c r="FOD134" s="105"/>
      <c r="FOE134" s="105"/>
      <c r="FOF134" s="105"/>
      <c r="FOG134" s="105"/>
      <c r="FOH134" s="105"/>
      <c r="FOI134" s="105"/>
      <c r="FOJ134" s="105"/>
      <c r="FOK134" s="105"/>
      <c r="FOL134" s="105"/>
      <c r="FOM134" s="105"/>
      <c r="FON134" s="105"/>
      <c r="FOO134" s="105"/>
      <c r="FOP134" s="105"/>
      <c r="FOQ134" s="105"/>
      <c r="FOR134" s="105"/>
      <c r="FOS134" s="105"/>
      <c r="FOT134" s="105"/>
      <c r="FOU134" s="105"/>
      <c r="FOV134" s="105"/>
      <c r="FOW134" s="105"/>
      <c r="FOX134" s="105"/>
      <c r="FOY134" s="105"/>
      <c r="FOZ134" s="105"/>
      <c r="FPA134" s="105"/>
      <c r="FPB134" s="105"/>
      <c r="FPC134" s="105"/>
      <c r="FPD134" s="105"/>
      <c r="FPE134" s="105"/>
      <c r="FPF134" s="105"/>
      <c r="FPG134" s="105"/>
      <c r="FPH134" s="105"/>
      <c r="FPI134" s="105"/>
      <c r="FPJ134" s="105"/>
      <c r="FPK134" s="105"/>
      <c r="FPL134" s="105"/>
      <c r="FPM134" s="105"/>
      <c r="FPN134" s="105"/>
      <c r="FPO134" s="105"/>
      <c r="FPP134" s="105"/>
      <c r="FPQ134" s="105"/>
      <c r="FPR134" s="105"/>
      <c r="FPS134" s="105"/>
      <c r="FPT134" s="105"/>
      <c r="FPU134" s="105"/>
      <c r="FPV134" s="105"/>
      <c r="FPW134" s="105"/>
      <c r="FPX134" s="105"/>
      <c r="FPY134" s="105"/>
      <c r="FPZ134" s="105"/>
      <c r="FQA134" s="105"/>
      <c r="FQB134" s="105"/>
      <c r="FQC134" s="105"/>
      <c r="FQD134" s="105"/>
      <c r="FQE134" s="105"/>
      <c r="FQF134" s="105"/>
      <c r="FQG134" s="105"/>
      <c r="FQH134" s="105"/>
      <c r="FQI134" s="105"/>
      <c r="FQJ134" s="105"/>
      <c r="FQK134" s="105"/>
      <c r="FQL134" s="105"/>
      <c r="FQM134" s="105"/>
      <c r="FQN134" s="105"/>
      <c r="FQO134" s="105"/>
      <c r="FQP134" s="105"/>
      <c r="FQQ134" s="105"/>
      <c r="FQR134" s="105"/>
      <c r="FQS134" s="105"/>
      <c r="FQT134" s="105"/>
      <c r="FQU134" s="105"/>
      <c r="FQV134" s="105"/>
      <c r="FQW134" s="105"/>
      <c r="FQX134" s="105"/>
      <c r="FQY134" s="105"/>
      <c r="FQZ134" s="105"/>
      <c r="FRA134" s="105"/>
      <c r="FRB134" s="105"/>
      <c r="FRC134" s="105"/>
      <c r="FRD134" s="105"/>
      <c r="FRE134" s="105"/>
      <c r="FRF134" s="105"/>
      <c r="FRG134" s="105"/>
      <c r="FRH134" s="105"/>
      <c r="FRI134" s="105"/>
      <c r="FRJ134" s="105"/>
      <c r="FRK134" s="105"/>
      <c r="FRL134" s="105"/>
      <c r="FRM134" s="105"/>
      <c r="FRN134" s="105"/>
      <c r="FRO134" s="105"/>
      <c r="FRP134" s="105"/>
      <c r="FRQ134" s="105"/>
      <c r="FRR134" s="105"/>
      <c r="FRS134" s="105"/>
      <c r="FRT134" s="105"/>
      <c r="FRU134" s="105"/>
      <c r="FRV134" s="105"/>
      <c r="FRW134" s="105"/>
      <c r="FRX134" s="105"/>
      <c r="FRY134" s="105"/>
      <c r="FRZ134" s="105"/>
      <c r="FSA134" s="105"/>
      <c r="FSB134" s="105"/>
      <c r="FSC134" s="105"/>
      <c r="FSD134" s="105"/>
      <c r="FSE134" s="105"/>
      <c r="FSF134" s="105"/>
      <c r="FSG134" s="105"/>
      <c r="FSH134" s="105"/>
      <c r="FSI134" s="105"/>
      <c r="FSJ134" s="105"/>
      <c r="FSK134" s="105"/>
      <c r="FSL134" s="105"/>
      <c r="FSM134" s="105"/>
      <c r="FSN134" s="105"/>
      <c r="FSO134" s="105"/>
      <c r="FSP134" s="105"/>
      <c r="FSQ134" s="105"/>
      <c r="FSR134" s="105"/>
      <c r="FSS134" s="105"/>
      <c r="FST134" s="105"/>
      <c r="FSU134" s="105"/>
      <c r="FSV134" s="105"/>
      <c r="FSW134" s="105"/>
      <c r="FSX134" s="105"/>
      <c r="FSY134" s="105"/>
      <c r="FSZ134" s="105"/>
      <c r="FTA134" s="105"/>
      <c r="FTB134" s="105"/>
      <c r="FTC134" s="105"/>
      <c r="FTD134" s="105"/>
      <c r="FTE134" s="105"/>
      <c r="FTF134" s="105"/>
      <c r="FTG134" s="105"/>
      <c r="FTH134" s="105"/>
      <c r="FTI134" s="105"/>
      <c r="FTJ134" s="105"/>
      <c r="FTK134" s="105"/>
      <c r="FTL134" s="105"/>
      <c r="FTM134" s="105"/>
      <c r="FTN134" s="105"/>
      <c r="FTO134" s="105"/>
      <c r="FTP134" s="105"/>
      <c r="FTQ134" s="105"/>
      <c r="FTR134" s="105"/>
      <c r="FTS134" s="105"/>
      <c r="FTT134" s="105"/>
      <c r="FTU134" s="105"/>
      <c r="FTV134" s="105"/>
      <c r="FTW134" s="105"/>
      <c r="FTX134" s="105"/>
      <c r="FTY134" s="105"/>
      <c r="FTZ134" s="105"/>
      <c r="FUA134" s="105"/>
      <c r="FUB134" s="105"/>
      <c r="FUC134" s="105"/>
      <c r="FUD134" s="105"/>
      <c r="FUE134" s="105"/>
      <c r="FUF134" s="105"/>
      <c r="FUG134" s="105"/>
      <c r="FUH134" s="105"/>
      <c r="FUI134" s="105"/>
      <c r="FUJ134" s="105"/>
      <c r="FUK134" s="105"/>
      <c r="FUL134" s="105"/>
      <c r="FUM134" s="105"/>
      <c r="FUN134" s="105"/>
      <c r="FUO134" s="105"/>
      <c r="FUP134" s="105"/>
      <c r="FUQ134" s="105"/>
      <c r="FUR134" s="105"/>
      <c r="FUS134" s="105"/>
      <c r="FUT134" s="105"/>
      <c r="FUU134" s="105"/>
      <c r="FUV134" s="105"/>
      <c r="FUW134" s="105"/>
      <c r="FUX134" s="105"/>
      <c r="FUY134" s="105"/>
      <c r="FUZ134" s="105"/>
      <c r="FVA134" s="105"/>
      <c r="FVB134" s="105"/>
      <c r="FVC134" s="105"/>
      <c r="FVD134" s="105"/>
      <c r="FVE134" s="105"/>
      <c r="FVF134" s="105"/>
      <c r="FVG134" s="105"/>
      <c r="FVH134" s="105"/>
      <c r="FVI134" s="105"/>
      <c r="FVJ134" s="105"/>
      <c r="FVK134" s="105"/>
      <c r="FVL134" s="105"/>
      <c r="FVM134" s="105"/>
      <c r="FVN134" s="105"/>
      <c r="FVO134" s="105"/>
      <c r="FVP134" s="105"/>
      <c r="FVQ134" s="105"/>
      <c r="FVR134" s="105"/>
      <c r="FVS134" s="105"/>
      <c r="FVT134" s="105"/>
      <c r="FVU134" s="105"/>
      <c r="FVV134" s="105"/>
      <c r="FVW134" s="105"/>
      <c r="FVX134" s="105"/>
      <c r="FVY134" s="105"/>
      <c r="FVZ134" s="105"/>
      <c r="FWA134" s="105"/>
      <c r="FWB134" s="105"/>
      <c r="FWC134" s="105"/>
      <c r="FWD134" s="105"/>
      <c r="FWE134" s="105"/>
      <c r="FWF134" s="105"/>
      <c r="FWG134" s="105"/>
      <c r="FWH134" s="105"/>
      <c r="FWI134" s="105"/>
      <c r="FWJ134" s="105"/>
      <c r="FWK134" s="105"/>
      <c r="FWL134" s="105"/>
      <c r="FWM134" s="105"/>
      <c r="FWN134" s="105"/>
      <c r="FWO134" s="105"/>
      <c r="FWP134" s="105"/>
      <c r="FWQ134" s="105"/>
      <c r="FWR134" s="105"/>
      <c r="FWS134" s="105"/>
      <c r="FWT134" s="105"/>
      <c r="FWU134" s="105"/>
      <c r="FWV134" s="105"/>
      <c r="FWW134" s="105"/>
      <c r="FWX134" s="105"/>
      <c r="FWY134" s="105"/>
      <c r="FWZ134" s="105"/>
      <c r="FXA134" s="105"/>
      <c r="FXB134" s="105"/>
      <c r="FXC134" s="105"/>
      <c r="FXD134" s="105"/>
      <c r="FXE134" s="105"/>
      <c r="FXF134" s="105"/>
      <c r="FXG134" s="105"/>
      <c r="FXH134" s="105"/>
      <c r="FXI134" s="105"/>
      <c r="FXJ134" s="105"/>
      <c r="FXK134" s="105"/>
      <c r="FXL134" s="105"/>
      <c r="FXM134" s="105"/>
      <c r="FXN134" s="105"/>
      <c r="FXO134" s="105"/>
      <c r="FXP134" s="105"/>
      <c r="FXQ134" s="105"/>
      <c r="FXR134" s="105"/>
      <c r="FXS134" s="105"/>
      <c r="FXT134" s="105"/>
      <c r="FXU134" s="105"/>
      <c r="FXV134" s="105"/>
      <c r="FXW134" s="105"/>
      <c r="FXX134" s="105"/>
      <c r="FXY134" s="105"/>
      <c r="FXZ134" s="105"/>
      <c r="FYA134" s="105"/>
      <c r="FYB134" s="105"/>
      <c r="FYC134" s="105"/>
      <c r="FYD134" s="105"/>
      <c r="FYE134" s="105"/>
      <c r="FYF134" s="105"/>
      <c r="FYG134" s="105"/>
      <c r="FYH134" s="105"/>
      <c r="FYI134" s="105"/>
      <c r="FYJ134" s="105"/>
      <c r="FYK134" s="105"/>
      <c r="FYL134" s="105"/>
      <c r="FYM134" s="105"/>
      <c r="FYN134" s="105"/>
      <c r="FYO134" s="105"/>
      <c r="FYP134" s="105"/>
      <c r="FYQ134" s="105"/>
      <c r="FYR134" s="105"/>
      <c r="FYS134" s="105"/>
      <c r="FYT134" s="105"/>
      <c r="FYU134" s="105"/>
      <c r="FYV134" s="105"/>
      <c r="FYW134" s="105"/>
      <c r="FYX134" s="105"/>
      <c r="FYY134" s="105"/>
      <c r="FYZ134" s="105"/>
      <c r="FZA134" s="105"/>
      <c r="FZB134" s="105"/>
      <c r="FZC134" s="105"/>
      <c r="FZD134" s="105"/>
      <c r="FZE134" s="105"/>
      <c r="FZF134" s="105"/>
      <c r="FZG134" s="105"/>
      <c r="FZH134" s="105"/>
      <c r="FZI134" s="105"/>
      <c r="FZJ134" s="105"/>
      <c r="FZK134" s="105"/>
      <c r="FZL134" s="105"/>
      <c r="FZM134" s="105"/>
      <c r="FZN134" s="105"/>
      <c r="FZO134" s="105"/>
      <c r="FZP134" s="105"/>
      <c r="FZQ134" s="105"/>
      <c r="FZR134" s="105"/>
      <c r="FZS134" s="105"/>
      <c r="FZT134" s="105"/>
      <c r="FZU134" s="105"/>
      <c r="FZV134" s="105"/>
      <c r="FZW134" s="105"/>
      <c r="FZX134" s="105"/>
      <c r="FZY134" s="105"/>
      <c r="FZZ134" s="105"/>
      <c r="GAA134" s="105"/>
      <c r="GAB134" s="105"/>
      <c r="GAC134" s="105"/>
      <c r="GAD134" s="105"/>
      <c r="GAE134" s="105"/>
      <c r="GAF134" s="105"/>
      <c r="GAG134" s="105"/>
      <c r="GAH134" s="105"/>
      <c r="GAI134" s="105"/>
      <c r="GAJ134" s="105"/>
      <c r="GAK134" s="105"/>
      <c r="GAL134" s="105"/>
      <c r="GAM134" s="105"/>
      <c r="GAN134" s="105"/>
      <c r="GAO134" s="105"/>
      <c r="GAP134" s="105"/>
      <c r="GAQ134" s="105"/>
      <c r="GAR134" s="105"/>
      <c r="GAS134" s="105"/>
      <c r="GAT134" s="105"/>
      <c r="GAU134" s="105"/>
      <c r="GAV134" s="105"/>
      <c r="GAW134" s="105"/>
      <c r="GAX134" s="105"/>
      <c r="GAY134" s="105"/>
      <c r="GAZ134" s="105"/>
      <c r="GBA134" s="105"/>
      <c r="GBB134" s="105"/>
      <c r="GBC134" s="105"/>
      <c r="GBD134" s="105"/>
      <c r="GBE134" s="105"/>
      <c r="GBF134" s="105"/>
      <c r="GBG134" s="105"/>
      <c r="GBH134" s="105"/>
      <c r="GBI134" s="105"/>
      <c r="GBJ134" s="105"/>
      <c r="GBK134" s="105"/>
      <c r="GBL134" s="105"/>
      <c r="GBM134" s="105"/>
      <c r="GBN134" s="105"/>
      <c r="GBO134" s="105"/>
      <c r="GBP134" s="105"/>
      <c r="GBQ134" s="105"/>
      <c r="GBR134" s="105"/>
      <c r="GBS134" s="105"/>
      <c r="GBT134" s="105"/>
      <c r="GBU134" s="105"/>
      <c r="GBV134" s="105"/>
      <c r="GBW134" s="105"/>
      <c r="GBX134" s="105"/>
      <c r="GBY134" s="105"/>
      <c r="GBZ134" s="105"/>
      <c r="GCA134" s="105"/>
      <c r="GCB134" s="105"/>
      <c r="GCC134" s="105"/>
      <c r="GCD134" s="105"/>
      <c r="GCE134" s="105"/>
      <c r="GCF134" s="105"/>
      <c r="GCG134" s="105"/>
      <c r="GCH134" s="105"/>
      <c r="GCI134" s="105"/>
      <c r="GCJ134" s="105"/>
      <c r="GCK134" s="105"/>
      <c r="GCL134" s="105"/>
      <c r="GCM134" s="105"/>
      <c r="GCN134" s="105"/>
      <c r="GCO134" s="105"/>
      <c r="GCP134" s="105"/>
      <c r="GCQ134" s="105"/>
      <c r="GCR134" s="105"/>
      <c r="GCS134" s="105"/>
      <c r="GCT134" s="105"/>
      <c r="GCU134" s="105"/>
      <c r="GCV134" s="105"/>
      <c r="GCW134" s="105"/>
      <c r="GCX134" s="105"/>
      <c r="GCY134" s="105"/>
      <c r="GCZ134" s="105"/>
      <c r="GDA134" s="105"/>
      <c r="GDB134" s="105"/>
      <c r="GDC134" s="105"/>
      <c r="GDD134" s="105"/>
      <c r="GDE134" s="105"/>
      <c r="GDF134" s="105"/>
      <c r="GDG134" s="105"/>
      <c r="GDH134" s="105"/>
      <c r="GDI134" s="105"/>
      <c r="GDJ134" s="105"/>
      <c r="GDK134" s="105"/>
      <c r="GDL134" s="105"/>
      <c r="GDM134" s="105"/>
      <c r="GDN134" s="105"/>
      <c r="GDO134" s="105"/>
      <c r="GDP134" s="105"/>
      <c r="GDQ134" s="105"/>
      <c r="GDR134" s="105"/>
      <c r="GDS134" s="105"/>
      <c r="GDT134" s="105"/>
      <c r="GDU134" s="105"/>
      <c r="GDV134" s="105"/>
      <c r="GDW134" s="105"/>
      <c r="GDX134" s="105"/>
      <c r="GDY134" s="105"/>
      <c r="GDZ134" s="105"/>
      <c r="GEA134" s="105"/>
      <c r="GEB134" s="105"/>
      <c r="GEC134" s="105"/>
      <c r="GED134" s="105"/>
      <c r="GEE134" s="105"/>
      <c r="GEF134" s="105"/>
      <c r="GEG134" s="105"/>
      <c r="GEH134" s="105"/>
      <c r="GEI134" s="105"/>
      <c r="GEJ134" s="105"/>
      <c r="GEK134" s="105"/>
      <c r="GEL134" s="105"/>
      <c r="GEM134" s="105"/>
      <c r="GEN134" s="105"/>
      <c r="GEO134" s="105"/>
      <c r="GEP134" s="105"/>
      <c r="GEQ134" s="105"/>
      <c r="GER134" s="105"/>
      <c r="GES134" s="105"/>
      <c r="GET134" s="105"/>
      <c r="GEU134" s="105"/>
      <c r="GEV134" s="105"/>
      <c r="GEW134" s="105"/>
      <c r="GEX134" s="105"/>
      <c r="GEY134" s="105"/>
      <c r="GEZ134" s="105"/>
      <c r="GFA134" s="105"/>
      <c r="GFB134" s="105"/>
      <c r="GFC134" s="105"/>
      <c r="GFD134" s="105"/>
      <c r="GFE134" s="105"/>
      <c r="GFF134" s="105"/>
      <c r="GFG134" s="105"/>
      <c r="GFH134" s="105"/>
      <c r="GFI134" s="105"/>
      <c r="GFJ134" s="105"/>
      <c r="GFK134" s="105"/>
      <c r="GFL134" s="105"/>
      <c r="GFM134" s="105"/>
      <c r="GFN134" s="105"/>
      <c r="GFO134" s="105"/>
      <c r="GFP134" s="105"/>
      <c r="GFQ134" s="105"/>
      <c r="GFR134" s="105"/>
      <c r="GFS134" s="105"/>
      <c r="GFT134" s="105"/>
      <c r="GFU134" s="105"/>
      <c r="GFV134" s="105"/>
      <c r="GFW134" s="105"/>
      <c r="GFX134" s="105"/>
      <c r="GFY134" s="105"/>
      <c r="GFZ134" s="105"/>
      <c r="GGA134" s="105"/>
      <c r="GGB134" s="105"/>
      <c r="GGC134" s="105"/>
      <c r="GGD134" s="105"/>
      <c r="GGE134" s="105"/>
      <c r="GGF134" s="105"/>
      <c r="GGG134" s="105"/>
      <c r="GGH134" s="105"/>
      <c r="GGI134" s="105"/>
      <c r="GGJ134" s="105"/>
      <c r="GGK134" s="105"/>
      <c r="GGL134" s="105"/>
      <c r="GGM134" s="105"/>
      <c r="GGN134" s="105"/>
      <c r="GGO134" s="105"/>
      <c r="GGP134" s="105"/>
      <c r="GGQ134" s="105"/>
      <c r="GGR134" s="105"/>
      <c r="GGS134" s="105"/>
      <c r="GGT134" s="105"/>
      <c r="GGU134" s="105"/>
      <c r="GGV134" s="105"/>
      <c r="GGW134" s="105"/>
      <c r="GGX134" s="105"/>
      <c r="GGY134" s="105"/>
      <c r="GGZ134" s="105"/>
      <c r="GHA134" s="105"/>
      <c r="GHB134" s="105"/>
      <c r="GHC134" s="105"/>
      <c r="GHD134" s="105"/>
      <c r="GHE134" s="105"/>
      <c r="GHF134" s="105"/>
      <c r="GHG134" s="105"/>
      <c r="GHH134" s="105"/>
      <c r="GHI134" s="105"/>
      <c r="GHJ134" s="105"/>
      <c r="GHK134" s="105"/>
      <c r="GHL134" s="105"/>
      <c r="GHM134" s="105"/>
      <c r="GHN134" s="105"/>
      <c r="GHO134" s="105"/>
      <c r="GHP134" s="105"/>
      <c r="GHQ134" s="105"/>
      <c r="GHR134" s="105"/>
      <c r="GHS134" s="105"/>
      <c r="GHT134" s="105"/>
      <c r="GHU134" s="105"/>
      <c r="GHV134" s="105"/>
      <c r="GHW134" s="105"/>
      <c r="GHX134" s="105"/>
      <c r="GHY134" s="105"/>
      <c r="GHZ134" s="105"/>
      <c r="GIA134" s="105"/>
      <c r="GIB134" s="105"/>
      <c r="GIC134" s="105"/>
      <c r="GID134" s="105"/>
      <c r="GIE134" s="105"/>
      <c r="GIF134" s="105"/>
      <c r="GIG134" s="105"/>
      <c r="GIH134" s="105"/>
      <c r="GII134" s="105"/>
      <c r="GIJ134" s="105"/>
      <c r="GIK134" s="105"/>
      <c r="GIL134" s="105"/>
      <c r="GIM134" s="105"/>
      <c r="GIN134" s="105"/>
      <c r="GIO134" s="105"/>
      <c r="GIP134" s="105"/>
      <c r="GIQ134" s="105"/>
      <c r="GIR134" s="105"/>
      <c r="GIS134" s="105"/>
      <c r="GIT134" s="105"/>
      <c r="GIU134" s="105"/>
      <c r="GIV134" s="105"/>
      <c r="GIW134" s="105"/>
      <c r="GIX134" s="105"/>
      <c r="GIY134" s="105"/>
      <c r="GIZ134" s="105"/>
      <c r="GJA134" s="105"/>
      <c r="GJB134" s="105"/>
      <c r="GJC134" s="105"/>
      <c r="GJD134" s="105"/>
      <c r="GJE134" s="105"/>
      <c r="GJF134" s="105"/>
      <c r="GJG134" s="105"/>
      <c r="GJH134" s="105"/>
      <c r="GJI134" s="105"/>
      <c r="GJJ134" s="105"/>
      <c r="GJK134" s="105"/>
      <c r="GJL134" s="105"/>
      <c r="GJM134" s="105"/>
      <c r="GJN134" s="105"/>
      <c r="GJO134" s="105"/>
      <c r="GJP134" s="105"/>
      <c r="GJQ134" s="105"/>
      <c r="GJR134" s="105"/>
      <c r="GJS134" s="105"/>
      <c r="GJT134" s="105"/>
      <c r="GJU134" s="105"/>
      <c r="GJV134" s="105"/>
      <c r="GJW134" s="105"/>
      <c r="GJX134" s="105"/>
      <c r="GJY134" s="105"/>
      <c r="GJZ134" s="105"/>
      <c r="GKA134" s="105"/>
      <c r="GKB134" s="105"/>
      <c r="GKC134" s="105"/>
      <c r="GKD134" s="105"/>
      <c r="GKE134" s="105"/>
      <c r="GKF134" s="105"/>
      <c r="GKG134" s="105"/>
      <c r="GKH134" s="105"/>
      <c r="GKI134" s="105"/>
      <c r="GKJ134" s="105"/>
      <c r="GKK134" s="105"/>
      <c r="GKL134" s="105"/>
      <c r="GKM134" s="105"/>
      <c r="GKN134" s="105"/>
      <c r="GKO134" s="105"/>
      <c r="GKP134" s="105"/>
      <c r="GKQ134" s="105"/>
      <c r="GKR134" s="105"/>
      <c r="GKS134" s="105"/>
      <c r="GKT134" s="105"/>
      <c r="GKU134" s="105"/>
      <c r="GKV134" s="105"/>
      <c r="GKW134" s="105"/>
      <c r="GKX134" s="105"/>
      <c r="GKY134" s="105"/>
      <c r="GKZ134" s="105"/>
      <c r="GLA134" s="105"/>
      <c r="GLB134" s="105"/>
      <c r="GLC134" s="105"/>
      <c r="GLD134" s="105"/>
      <c r="GLE134" s="105"/>
      <c r="GLF134" s="105"/>
      <c r="GLG134" s="105"/>
      <c r="GLH134" s="105"/>
      <c r="GLI134" s="105"/>
      <c r="GLJ134" s="105"/>
      <c r="GLK134" s="105"/>
      <c r="GLL134" s="105"/>
      <c r="GLM134" s="105"/>
      <c r="GLN134" s="105"/>
      <c r="GLO134" s="105"/>
      <c r="GLP134" s="105"/>
      <c r="GLQ134" s="105"/>
      <c r="GLR134" s="105"/>
      <c r="GLS134" s="105"/>
      <c r="GLT134" s="105"/>
      <c r="GLU134" s="105"/>
      <c r="GLV134" s="105"/>
      <c r="GLW134" s="105"/>
      <c r="GLX134" s="105"/>
      <c r="GLY134" s="105"/>
      <c r="GLZ134" s="105"/>
      <c r="GMA134" s="105"/>
      <c r="GMB134" s="105"/>
      <c r="GMC134" s="105"/>
      <c r="GMD134" s="105"/>
      <c r="GME134" s="105"/>
      <c r="GMF134" s="105"/>
      <c r="GMG134" s="105"/>
      <c r="GMH134" s="105"/>
      <c r="GMI134" s="105"/>
      <c r="GMJ134" s="105"/>
      <c r="GMK134" s="105"/>
      <c r="GML134" s="105"/>
      <c r="GMM134" s="105"/>
      <c r="GMN134" s="105"/>
      <c r="GMO134" s="105"/>
      <c r="GMP134" s="105"/>
      <c r="GMQ134" s="105"/>
      <c r="GMR134" s="105"/>
      <c r="GMS134" s="105"/>
      <c r="GMT134" s="105"/>
      <c r="GMU134" s="105"/>
      <c r="GMV134" s="105"/>
      <c r="GMW134" s="105"/>
      <c r="GMX134" s="105"/>
      <c r="GMY134" s="105"/>
      <c r="GMZ134" s="105"/>
      <c r="GNA134" s="105"/>
      <c r="GNB134" s="105"/>
      <c r="GNC134" s="105"/>
      <c r="GND134" s="105"/>
      <c r="GNE134" s="105"/>
      <c r="GNF134" s="105"/>
      <c r="GNG134" s="105"/>
      <c r="GNH134" s="105"/>
      <c r="GNI134" s="105"/>
      <c r="GNJ134" s="105"/>
      <c r="GNK134" s="105"/>
      <c r="GNL134" s="105"/>
      <c r="GNM134" s="105"/>
      <c r="GNN134" s="105"/>
      <c r="GNO134" s="105"/>
      <c r="GNP134" s="105"/>
      <c r="GNQ134" s="105"/>
      <c r="GNR134" s="105"/>
      <c r="GNS134" s="105"/>
      <c r="GNT134" s="105"/>
      <c r="GNU134" s="105"/>
      <c r="GNV134" s="105"/>
      <c r="GNW134" s="105"/>
      <c r="GNX134" s="105"/>
      <c r="GNY134" s="105"/>
      <c r="GNZ134" s="105"/>
      <c r="GOA134" s="105"/>
      <c r="GOB134" s="105"/>
      <c r="GOC134" s="105"/>
      <c r="GOD134" s="105"/>
      <c r="GOE134" s="105"/>
      <c r="GOF134" s="105"/>
      <c r="GOG134" s="105"/>
      <c r="GOH134" s="105"/>
      <c r="GOI134" s="105"/>
      <c r="GOJ134" s="105"/>
      <c r="GOK134" s="105"/>
      <c r="GOL134" s="105"/>
      <c r="GOM134" s="105"/>
      <c r="GON134" s="105"/>
      <c r="GOO134" s="105"/>
      <c r="GOP134" s="105"/>
      <c r="GOQ134" s="105"/>
      <c r="GOR134" s="105"/>
      <c r="GOS134" s="105"/>
      <c r="GOT134" s="105"/>
      <c r="GOU134" s="105"/>
      <c r="GOV134" s="105"/>
      <c r="GOW134" s="105"/>
      <c r="GOX134" s="105"/>
      <c r="GOY134" s="105"/>
      <c r="GOZ134" s="105"/>
      <c r="GPA134" s="105"/>
      <c r="GPB134" s="105"/>
      <c r="GPC134" s="105"/>
      <c r="GPD134" s="105"/>
      <c r="GPE134" s="105"/>
      <c r="GPF134" s="105"/>
      <c r="GPG134" s="105"/>
      <c r="GPH134" s="105"/>
      <c r="GPI134" s="105"/>
      <c r="GPJ134" s="105"/>
      <c r="GPK134" s="105"/>
      <c r="GPL134" s="105"/>
      <c r="GPM134" s="105"/>
      <c r="GPN134" s="105"/>
      <c r="GPO134" s="105"/>
      <c r="GPP134" s="105"/>
      <c r="GPQ134" s="105"/>
      <c r="GPR134" s="105"/>
      <c r="GPS134" s="105"/>
      <c r="GPT134" s="105"/>
      <c r="GPU134" s="105"/>
      <c r="GPV134" s="105"/>
      <c r="GPW134" s="105"/>
      <c r="GPX134" s="105"/>
      <c r="GPY134" s="105"/>
      <c r="GPZ134" s="105"/>
      <c r="GQA134" s="105"/>
      <c r="GQB134" s="105"/>
      <c r="GQC134" s="105"/>
      <c r="GQD134" s="105"/>
      <c r="GQE134" s="105"/>
      <c r="GQF134" s="105"/>
      <c r="GQG134" s="105"/>
      <c r="GQH134" s="105"/>
      <c r="GQI134" s="105"/>
      <c r="GQJ134" s="105"/>
      <c r="GQK134" s="105"/>
      <c r="GQL134" s="105"/>
      <c r="GQM134" s="105"/>
      <c r="GQN134" s="105"/>
      <c r="GQO134" s="105"/>
      <c r="GQP134" s="105"/>
      <c r="GQQ134" s="105"/>
      <c r="GQR134" s="105"/>
      <c r="GQS134" s="105"/>
      <c r="GQT134" s="105"/>
      <c r="GQU134" s="105"/>
      <c r="GQV134" s="105"/>
      <c r="GQW134" s="105"/>
      <c r="GQX134" s="105"/>
      <c r="GQY134" s="105"/>
      <c r="GQZ134" s="105"/>
      <c r="GRA134" s="105"/>
      <c r="GRB134" s="105"/>
      <c r="GRC134" s="105"/>
      <c r="GRD134" s="105"/>
      <c r="GRE134" s="105"/>
      <c r="GRF134" s="105"/>
      <c r="GRG134" s="105"/>
      <c r="GRH134" s="105"/>
      <c r="GRI134" s="105"/>
      <c r="GRJ134" s="105"/>
      <c r="GRK134" s="105"/>
      <c r="GRL134" s="105"/>
      <c r="GRM134" s="105"/>
      <c r="GRN134" s="105"/>
      <c r="GRO134" s="105"/>
      <c r="GRP134" s="105"/>
      <c r="GRQ134" s="105"/>
      <c r="GRR134" s="105"/>
      <c r="GRS134" s="105"/>
      <c r="GRT134" s="105"/>
      <c r="GRU134" s="105"/>
      <c r="GRV134" s="105"/>
      <c r="GRW134" s="105"/>
      <c r="GRX134" s="105"/>
      <c r="GRY134" s="105"/>
      <c r="GRZ134" s="105"/>
      <c r="GSA134" s="105"/>
      <c r="GSB134" s="105"/>
      <c r="GSC134" s="105"/>
      <c r="GSD134" s="105"/>
      <c r="GSE134" s="105"/>
      <c r="GSF134" s="105"/>
      <c r="GSG134" s="105"/>
      <c r="GSH134" s="105"/>
      <c r="GSI134" s="105"/>
      <c r="GSJ134" s="105"/>
      <c r="GSK134" s="105"/>
      <c r="GSL134" s="105"/>
      <c r="GSM134" s="105"/>
      <c r="GSN134" s="105"/>
      <c r="GSO134" s="105"/>
      <c r="GSP134" s="105"/>
      <c r="GSQ134" s="105"/>
      <c r="GSR134" s="105"/>
      <c r="GSS134" s="105"/>
      <c r="GST134" s="105"/>
      <c r="GSU134" s="105"/>
      <c r="GSV134" s="105"/>
      <c r="GSW134" s="105"/>
      <c r="GSX134" s="105"/>
      <c r="GSY134" s="105"/>
      <c r="GSZ134" s="105"/>
      <c r="GTA134" s="105"/>
      <c r="GTB134" s="105"/>
      <c r="GTC134" s="105"/>
      <c r="GTD134" s="105"/>
      <c r="GTE134" s="105"/>
      <c r="GTF134" s="105"/>
      <c r="GTG134" s="105"/>
      <c r="GTH134" s="105"/>
      <c r="GTI134" s="105"/>
      <c r="GTJ134" s="105"/>
      <c r="GTK134" s="105"/>
      <c r="GTL134" s="105"/>
      <c r="GTM134" s="105"/>
      <c r="GTN134" s="105"/>
      <c r="GTO134" s="105"/>
      <c r="GTP134" s="105"/>
      <c r="GTQ134" s="105"/>
      <c r="GTR134" s="105"/>
      <c r="GTS134" s="105"/>
      <c r="GTT134" s="105"/>
      <c r="GTU134" s="105"/>
      <c r="GTV134" s="105"/>
      <c r="GTW134" s="105"/>
      <c r="GTX134" s="105"/>
      <c r="GTY134" s="105"/>
      <c r="GTZ134" s="105"/>
      <c r="GUA134" s="105"/>
      <c r="GUB134" s="105"/>
      <c r="GUC134" s="105"/>
      <c r="GUD134" s="105"/>
      <c r="GUE134" s="105"/>
      <c r="GUF134" s="105"/>
      <c r="GUG134" s="105"/>
      <c r="GUH134" s="105"/>
      <c r="GUI134" s="105"/>
      <c r="GUJ134" s="105"/>
      <c r="GUK134" s="105"/>
      <c r="GUL134" s="105"/>
      <c r="GUM134" s="105"/>
      <c r="GUN134" s="105"/>
      <c r="GUO134" s="105"/>
      <c r="GUP134" s="105"/>
      <c r="GUQ134" s="105"/>
      <c r="GUR134" s="105"/>
      <c r="GUS134" s="105"/>
      <c r="GUT134" s="105"/>
      <c r="GUU134" s="105"/>
      <c r="GUV134" s="105"/>
      <c r="GUW134" s="105"/>
      <c r="GUX134" s="105"/>
      <c r="GUY134" s="105"/>
      <c r="GUZ134" s="105"/>
      <c r="GVA134" s="105"/>
      <c r="GVB134" s="105"/>
      <c r="GVC134" s="105"/>
      <c r="GVD134" s="105"/>
      <c r="GVE134" s="105"/>
      <c r="GVF134" s="105"/>
      <c r="GVG134" s="105"/>
      <c r="GVH134" s="105"/>
      <c r="GVI134" s="105"/>
      <c r="GVJ134" s="105"/>
      <c r="GVK134" s="105"/>
      <c r="GVL134" s="105"/>
      <c r="GVM134" s="105"/>
      <c r="GVN134" s="105"/>
      <c r="GVO134" s="105"/>
      <c r="GVP134" s="105"/>
      <c r="GVQ134" s="105"/>
      <c r="GVR134" s="105"/>
      <c r="GVS134" s="105"/>
      <c r="GVT134" s="105"/>
      <c r="GVU134" s="105"/>
      <c r="GVV134" s="105"/>
      <c r="GVW134" s="105"/>
      <c r="GVX134" s="105"/>
      <c r="GVY134" s="105"/>
      <c r="GVZ134" s="105"/>
      <c r="GWA134" s="105"/>
      <c r="GWB134" s="105"/>
      <c r="GWC134" s="105"/>
      <c r="GWD134" s="105"/>
      <c r="GWE134" s="105"/>
      <c r="GWF134" s="105"/>
      <c r="GWG134" s="105"/>
      <c r="GWH134" s="105"/>
      <c r="GWI134" s="105"/>
      <c r="GWJ134" s="105"/>
      <c r="GWK134" s="105"/>
      <c r="GWL134" s="105"/>
      <c r="GWM134" s="105"/>
      <c r="GWN134" s="105"/>
      <c r="GWO134" s="105"/>
      <c r="GWP134" s="105"/>
      <c r="GWQ134" s="105"/>
      <c r="GWR134" s="105"/>
      <c r="GWS134" s="105"/>
      <c r="GWT134" s="105"/>
      <c r="GWU134" s="105"/>
      <c r="GWV134" s="105"/>
      <c r="GWW134" s="105"/>
      <c r="GWX134" s="105"/>
      <c r="GWY134" s="105"/>
      <c r="GWZ134" s="105"/>
      <c r="GXA134" s="105"/>
      <c r="GXB134" s="105"/>
      <c r="GXC134" s="105"/>
      <c r="GXD134" s="105"/>
      <c r="GXE134" s="105"/>
      <c r="GXF134" s="105"/>
      <c r="GXG134" s="105"/>
      <c r="GXH134" s="105"/>
      <c r="GXI134" s="105"/>
      <c r="GXJ134" s="105"/>
      <c r="GXK134" s="105"/>
      <c r="GXL134" s="105"/>
      <c r="GXM134" s="105"/>
      <c r="GXN134" s="105"/>
      <c r="GXO134" s="105"/>
      <c r="GXP134" s="105"/>
      <c r="GXQ134" s="105"/>
      <c r="GXR134" s="105"/>
      <c r="GXS134" s="105"/>
      <c r="GXT134" s="105"/>
      <c r="GXU134" s="105"/>
      <c r="GXV134" s="105"/>
      <c r="GXW134" s="105"/>
      <c r="GXX134" s="105"/>
      <c r="GXY134" s="105"/>
      <c r="GXZ134" s="105"/>
      <c r="GYA134" s="105"/>
      <c r="GYB134" s="105"/>
      <c r="GYC134" s="105"/>
      <c r="GYD134" s="105"/>
      <c r="GYE134" s="105"/>
      <c r="GYF134" s="105"/>
      <c r="GYG134" s="105"/>
      <c r="GYH134" s="105"/>
      <c r="GYI134" s="105"/>
      <c r="GYJ134" s="105"/>
      <c r="GYK134" s="105"/>
      <c r="GYL134" s="105"/>
      <c r="GYM134" s="105"/>
      <c r="GYN134" s="105"/>
      <c r="GYO134" s="105"/>
      <c r="GYP134" s="105"/>
      <c r="GYQ134" s="105"/>
      <c r="GYR134" s="105"/>
      <c r="GYS134" s="105"/>
      <c r="GYT134" s="105"/>
      <c r="GYU134" s="105"/>
      <c r="GYV134" s="105"/>
      <c r="GYW134" s="105"/>
      <c r="GYX134" s="105"/>
      <c r="GYY134" s="105"/>
      <c r="GYZ134" s="105"/>
      <c r="GZA134" s="105"/>
      <c r="GZB134" s="105"/>
      <c r="GZC134" s="105"/>
      <c r="GZD134" s="105"/>
      <c r="GZE134" s="105"/>
      <c r="GZF134" s="105"/>
      <c r="GZG134" s="105"/>
      <c r="GZH134" s="105"/>
      <c r="GZI134" s="105"/>
      <c r="GZJ134" s="105"/>
      <c r="GZK134" s="105"/>
      <c r="GZL134" s="105"/>
      <c r="GZM134" s="105"/>
      <c r="GZN134" s="105"/>
      <c r="GZO134" s="105"/>
      <c r="GZP134" s="105"/>
      <c r="GZQ134" s="105"/>
      <c r="GZR134" s="105"/>
      <c r="GZS134" s="105"/>
      <c r="GZT134" s="105"/>
      <c r="GZU134" s="105"/>
      <c r="GZV134" s="105"/>
      <c r="GZW134" s="105"/>
      <c r="GZX134" s="105"/>
      <c r="GZY134" s="105"/>
      <c r="GZZ134" s="105"/>
      <c r="HAA134" s="105"/>
      <c r="HAB134" s="105"/>
      <c r="HAC134" s="105"/>
      <c r="HAD134" s="105"/>
      <c r="HAE134" s="105"/>
      <c r="HAF134" s="105"/>
      <c r="HAG134" s="105"/>
      <c r="HAH134" s="105"/>
      <c r="HAI134" s="105"/>
      <c r="HAJ134" s="105"/>
      <c r="HAK134" s="105"/>
      <c r="HAL134" s="105"/>
      <c r="HAM134" s="105"/>
      <c r="HAN134" s="105"/>
      <c r="HAO134" s="105"/>
      <c r="HAP134" s="105"/>
      <c r="HAQ134" s="105"/>
      <c r="HAR134" s="105"/>
      <c r="HAS134" s="105"/>
      <c r="HAT134" s="105"/>
      <c r="HAU134" s="105"/>
      <c r="HAV134" s="105"/>
      <c r="HAW134" s="105"/>
      <c r="HAX134" s="105"/>
      <c r="HAY134" s="105"/>
      <c r="HAZ134" s="105"/>
      <c r="HBA134" s="105"/>
      <c r="HBB134" s="105"/>
      <c r="HBC134" s="105"/>
      <c r="HBD134" s="105"/>
      <c r="HBE134" s="105"/>
      <c r="HBF134" s="105"/>
      <c r="HBG134" s="105"/>
      <c r="HBH134" s="105"/>
      <c r="HBI134" s="105"/>
      <c r="HBJ134" s="105"/>
      <c r="HBK134" s="105"/>
      <c r="HBL134" s="105"/>
      <c r="HBM134" s="105"/>
      <c r="HBN134" s="105"/>
      <c r="HBO134" s="105"/>
      <c r="HBP134" s="105"/>
      <c r="HBQ134" s="105"/>
      <c r="HBR134" s="105"/>
      <c r="HBS134" s="105"/>
      <c r="HBT134" s="105"/>
      <c r="HBU134" s="105"/>
      <c r="HBV134" s="105"/>
      <c r="HBW134" s="105"/>
      <c r="HBX134" s="105"/>
      <c r="HBY134" s="105"/>
      <c r="HBZ134" s="105"/>
      <c r="HCA134" s="105"/>
      <c r="HCB134" s="105"/>
      <c r="HCC134" s="105"/>
      <c r="HCD134" s="105"/>
      <c r="HCE134" s="105"/>
      <c r="HCF134" s="105"/>
      <c r="HCG134" s="105"/>
      <c r="HCH134" s="105"/>
      <c r="HCI134" s="105"/>
      <c r="HCJ134" s="105"/>
      <c r="HCK134" s="105"/>
      <c r="HCL134" s="105"/>
      <c r="HCM134" s="105"/>
      <c r="HCN134" s="105"/>
      <c r="HCO134" s="105"/>
      <c r="HCP134" s="105"/>
      <c r="HCQ134" s="105"/>
      <c r="HCR134" s="105"/>
      <c r="HCS134" s="105"/>
      <c r="HCT134" s="105"/>
      <c r="HCU134" s="105"/>
      <c r="HCV134" s="105"/>
      <c r="HCW134" s="105"/>
      <c r="HCX134" s="105"/>
      <c r="HCY134" s="105"/>
      <c r="HCZ134" s="105"/>
      <c r="HDA134" s="105"/>
      <c r="HDB134" s="105"/>
      <c r="HDC134" s="105"/>
      <c r="HDD134" s="105"/>
      <c r="HDE134" s="105"/>
      <c r="HDF134" s="105"/>
      <c r="HDG134" s="105"/>
      <c r="HDH134" s="105"/>
      <c r="HDI134" s="105"/>
      <c r="HDJ134" s="105"/>
      <c r="HDK134" s="105"/>
      <c r="HDL134" s="105"/>
      <c r="HDM134" s="105"/>
      <c r="HDN134" s="105"/>
      <c r="HDO134" s="105"/>
      <c r="HDP134" s="105"/>
      <c r="HDQ134" s="105"/>
      <c r="HDR134" s="105"/>
      <c r="HDS134" s="105"/>
      <c r="HDT134" s="105"/>
      <c r="HDU134" s="105"/>
      <c r="HDV134" s="105"/>
      <c r="HDW134" s="105"/>
      <c r="HDX134" s="105"/>
      <c r="HDY134" s="105"/>
      <c r="HDZ134" s="105"/>
      <c r="HEA134" s="105"/>
      <c r="HEB134" s="105"/>
      <c r="HEC134" s="105"/>
      <c r="HED134" s="105"/>
      <c r="HEE134" s="105"/>
      <c r="HEF134" s="105"/>
      <c r="HEG134" s="105"/>
      <c r="HEH134" s="105"/>
      <c r="HEI134" s="105"/>
      <c r="HEJ134" s="105"/>
      <c r="HEK134" s="105"/>
      <c r="HEL134" s="105"/>
      <c r="HEM134" s="105"/>
      <c r="HEN134" s="105"/>
      <c r="HEO134" s="105"/>
      <c r="HEP134" s="105"/>
      <c r="HEQ134" s="105"/>
      <c r="HER134" s="105"/>
      <c r="HES134" s="105"/>
      <c r="HET134" s="105"/>
      <c r="HEU134" s="105"/>
      <c r="HEV134" s="105"/>
      <c r="HEW134" s="105"/>
      <c r="HEX134" s="105"/>
      <c r="HEY134" s="105"/>
      <c r="HEZ134" s="105"/>
      <c r="HFA134" s="105"/>
      <c r="HFB134" s="105"/>
      <c r="HFC134" s="105"/>
      <c r="HFD134" s="105"/>
      <c r="HFE134" s="105"/>
      <c r="HFF134" s="105"/>
      <c r="HFG134" s="105"/>
      <c r="HFH134" s="105"/>
      <c r="HFI134" s="105"/>
      <c r="HFJ134" s="105"/>
      <c r="HFK134" s="105"/>
      <c r="HFL134" s="105"/>
      <c r="HFM134" s="105"/>
      <c r="HFN134" s="105"/>
      <c r="HFO134" s="105"/>
      <c r="HFP134" s="105"/>
      <c r="HFQ134" s="105"/>
      <c r="HFR134" s="105"/>
      <c r="HFS134" s="105"/>
      <c r="HFT134" s="105"/>
      <c r="HFU134" s="105"/>
      <c r="HFV134" s="105"/>
      <c r="HFW134" s="105"/>
      <c r="HFX134" s="105"/>
      <c r="HFY134" s="105"/>
      <c r="HFZ134" s="105"/>
      <c r="HGA134" s="105"/>
      <c r="HGB134" s="105"/>
      <c r="HGC134" s="105"/>
      <c r="HGD134" s="105"/>
      <c r="HGE134" s="105"/>
      <c r="HGF134" s="105"/>
      <c r="HGG134" s="105"/>
      <c r="HGH134" s="105"/>
      <c r="HGI134" s="105"/>
      <c r="HGJ134" s="105"/>
      <c r="HGK134" s="105"/>
      <c r="HGL134" s="105"/>
      <c r="HGM134" s="105"/>
      <c r="HGN134" s="105"/>
      <c r="HGO134" s="105"/>
      <c r="HGP134" s="105"/>
      <c r="HGQ134" s="105"/>
      <c r="HGR134" s="105"/>
      <c r="HGS134" s="105"/>
      <c r="HGT134" s="105"/>
      <c r="HGU134" s="105"/>
      <c r="HGV134" s="105"/>
      <c r="HGW134" s="105"/>
      <c r="HGX134" s="105"/>
      <c r="HGY134" s="105"/>
      <c r="HGZ134" s="105"/>
      <c r="HHA134" s="105"/>
      <c r="HHB134" s="105"/>
      <c r="HHC134" s="105"/>
      <c r="HHD134" s="105"/>
      <c r="HHE134" s="105"/>
      <c r="HHF134" s="105"/>
      <c r="HHG134" s="105"/>
      <c r="HHH134" s="105"/>
      <c r="HHI134" s="105"/>
      <c r="HHJ134" s="105"/>
      <c r="HHK134" s="105"/>
      <c r="HHL134" s="105"/>
      <c r="HHM134" s="105"/>
      <c r="HHN134" s="105"/>
      <c r="HHO134" s="105"/>
      <c r="HHP134" s="105"/>
      <c r="HHQ134" s="105"/>
      <c r="HHR134" s="105"/>
      <c r="HHS134" s="105"/>
      <c r="HHT134" s="105"/>
      <c r="HHU134" s="105"/>
      <c r="HHV134" s="105"/>
      <c r="HHW134" s="105"/>
      <c r="HHX134" s="105"/>
      <c r="HHY134" s="105"/>
      <c r="HHZ134" s="105"/>
      <c r="HIA134" s="105"/>
      <c r="HIB134" s="105"/>
      <c r="HIC134" s="105"/>
      <c r="HID134" s="105"/>
      <c r="HIE134" s="105"/>
      <c r="HIF134" s="105"/>
      <c r="HIG134" s="105"/>
      <c r="HIH134" s="105"/>
      <c r="HII134" s="105"/>
      <c r="HIJ134" s="105"/>
      <c r="HIK134" s="105"/>
      <c r="HIL134" s="105"/>
      <c r="HIM134" s="105"/>
      <c r="HIN134" s="105"/>
      <c r="HIO134" s="105"/>
      <c r="HIP134" s="105"/>
      <c r="HIQ134" s="105"/>
      <c r="HIR134" s="105"/>
      <c r="HIS134" s="105"/>
      <c r="HIT134" s="105"/>
      <c r="HIU134" s="105"/>
      <c r="HIV134" s="105"/>
      <c r="HIW134" s="105"/>
      <c r="HIX134" s="105"/>
      <c r="HIY134" s="105"/>
      <c r="HIZ134" s="105"/>
      <c r="HJA134" s="105"/>
      <c r="HJB134" s="105"/>
      <c r="HJC134" s="105"/>
      <c r="HJD134" s="105"/>
      <c r="HJE134" s="105"/>
      <c r="HJF134" s="105"/>
      <c r="HJG134" s="105"/>
      <c r="HJH134" s="105"/>
      <c r="HJI134" s="105"/>
      <c r="HJJ134" s="105"/>
      <c r="HJK134" s="105"/>
      <c r="HJL134" s="105"/>
      <c r="HJM134" s="105"/>
      <c r="HJN134" s="105"/>
      <c r="HJO134" s="105"/>
      <c r="HJP134" s="105"/>
      <c r="HJQ134" s="105"/>
      <c r="HJR134" s="105"/>
      <c r="HJS134" s="105"/>
      <c r="HJT134" s="105"/>
      <c r="HJU134" s="105"/>
      <c r="HJV134" s="105"/>
      <c r="HJW134" s="105"/>
      <c r="HJX134" s="105"/>
      <c r="HJY134" s="105"/>
      <c r="HJZ134" s="105"/>
      <c r="HKA134" s="105"/>
      <c r="HKB134" s="105"/>
      <c r="HKC134" s="105"/>
      <c r="HKD134" s="105"/>
      <c r="HKE134" s="105"/>
      <c r="HKF134" s="105"/>
      <c r="HKG134" s="105"/>
      <c r="HKH134" s="105"/>
      <c r="HKI134" s="105"/>
      <c r="HKJ134" s="105"/>
      <c r="HKK134" s="105"/>
      <c r="HKL134" s="105"/>
      <c r="HKM134" s="105"/>
      <c r="HKN134" s="105"/>
      <c r="HKO134" s="105"/>
      <c r="HKP134" s="105"/>
      <c r="HKQ134" s="105"/>
      <c r="HKR134" s="105"/>
      <c r="HKS134" s="105"/>
      <c r="HKT134" s="105"/>
      <c r="HKU134" s="105"/>
      <c r="HKV134" s="105"/>
      <c r="HKW134" s="105"/>
      <c r="HKX134" s="105"/>
      <c r="HKY134" s="105"/>
      <c r="HKZ134" s="105"/>
      <c r="HLA134" s="105"/>
      <c r="HLB134" s="105"/>
      <c r="HLC134" s="105"/>
      <c r="HLD134" s="105"/>
      <c r="HLE134" s="105"/>
      <c r="HLF134" s="105"/>
      <c r="HLG134" s="105"/>
      <c r="HLH134" s="105"/>
      <c r="HLI134" s="105"/>
      <c r="HLJ134" s="105"/>
      <c r="HLK134" s="105"/>
      <c r="HLL134" s="105"/>
      <c r="HLM134" s="105"/>
      <c r="HLN134" s="105"/>
      <c r="HLO134" s="105"/>
      <c r="HLP134" s="105"/>
      <c r="HLQ134" s="105"/>
      <c r="HLR134" s="105"/>
      <c r="HLS134" s="105"/>
      <c r="HLT134" s="105"/>
      <c r="HLU134" s="105"/>
      <c r="HLV134" s="105"/>
      <c r="HLW134" s="105"/>
      <c r="HLX134" s="105"/>
      <c r="HLY134" s="105"/>
      <c r="HLZ134" s="105"/>
      <c r="HMA134" s="105"/>
      <c r="HMB134" s="105"/>
      <c r="HMC134" s="105"/>
      <c r="HMD134" s="105"/>
      <c r="HME134" s="105"/>
      <c r="HMF134" s="105"/>
      <c r="HMG134" s="105"/>
      <c r="HMH134" s="105"/>
      <c r="HMI134" s="105"/>
      <c r="HMJ134" s="105"/>
      <c r="HMK134" s="105"/>
      <c r="HML134" s="105"/>
      <c r="HMM134" s="105"/>
      <c r="HMN134" s="105"/>
      <c r="HMO134" s="105"/>
      <c r="HMP134" s="105"/>
      <c r="HMQ134" s="105"/>
      <c r="HMR134" s="105"/>
      <c r="HMS134" s="105"/>
      <c r="HMT134" s="105"/>
      <c r="HMU134" s="105"/>
      <c r="HMV134" s="105"/>
      <c r="HMW134" s="105"/>
      <c r="HMX134" s="105"/>
      <c r="HMY134" s="105"/>
      <c r="HMZ134" s="105"/>
      <c r="HNA134" s="105"/>
      <c r="HNB134" s="105"/>
      <c r="HNC134" s="105"/>
      <c r="HND134" s="105"/>
      <c r="HNE134" s="105"/>
      <c r="HNF134" s="105"/>
      <c r="HNG134" s="105"/>
      <c r="HNH134" s="105"/>
      <c r="HNI134" s="105"/>
      <c r="HNJ134" s="105"/>
      <c r="HNK134" s="105"/>
      <c r="HNL134" s="105"/>
      <c r="HNM134" s="105"/>
      <c r="HNN134" s="105"/>
      <c r="HNO134" s="105"/>
      <c r="HNP134" s="105"/>
      <c r="HNQ134" s="105"/>
      <c r="HNR134" s="105"/>
      <c r="HNS134" s="105"/>
      <c r="HNT134" s="105"/>
      <c r="HNU134" s="105"/>
      <c r="HNV134" s="105"/>
      <c r="HNW134" s="105"/>
      <c r="HNX134" s="105"/>
      <c r="HNY134" s="105"/>
      <c r="HNZ134" s="105"/>
      <c r="HOA134" s="105"/>
      <c r="HOB134" s="105"/>
      <c r="HOC134" s="105"/>
      <c r="HOD134" s="105"/>
      <c r="HOE134" s="105"/>
      <c r="HOF134" s="105"/>
      <c r="HOG134" s="105"/>
      <c r="HOH134" s="105"/>
      <c r="HOI134" s="105"/>
      <c r="HOJ134" s="105"/>
      <c r="HOK134" s="105"/>
      <c r="HOL134" s="105"/>
      <c r="HOM134" s="105"/>
      <c r="HON134" s="105"/>
      <c r="HOO134" s="105"/>
      <c r="HOP134" s="105"/>
      <c r="HOQ134" s="105"/>
      <c r="HOR134" s="105"/>
      <c r="HOS134" s="105"/>
      <c r="HOT134" s="105"/>
      <c r="HOU134" s="105"/>
      <c r="HOV134" s="105"/>
      <c r="HOW134" s="105"/>
      <c r="HOX134" s="105"/>
      <c r="HOY134" s="105"/>
      <c r="HOZ134" s="105"/>
      <c r="HPA134" s="105"/>
      <c r="HPB134" s="105"/>
      <c r="HPC134" s="105"/>
      <c r="HPD134" s="105"/>
      <c r="HPE134" s="105"/>
      <c r="HPF134" s="105"/>
      <c r="HPG134" s="105"/>
      <c r="HPH134" s="105"/>
      <c r="HPI134" s="105"/>
      <c r="HPJ134" s="105"/>
      <c r="HPK134" s="105"/>
      <c r="HPL134" s="105"/>
      <c r="HPM134" s="105"/>
      <c r="HPN134" s="105"/>
      <c r="HPO134" s="105"/>
      <c r="HPP134" s="105"/>
      <c r="HPQ134" s="105"/>
      <c r="HPR134" s="105"/>
      <c r="HPS134" s="105"/>
      <c r="HPT134" s="105"/>
      <c r="HPU134" s="105"/>
      <c r="HPV134" s="105"/>
      <c r="HPW134" s="105"/>
      <c r="HPX134" s="105"/>
      <c r="HPY134" s="105"/>
      <c r="HPZ134" s="105"/>
      <c r="HQA134" s="105"/>
      <c r="HQB134" s="105"/>
      <c r="HQC134" s="105"/>
      <c r="HQD134" s="105"/>
      <c r="HQE134" s="105"/>
      <c r="HQF134" s="105"/>
      <c r="HQG134" s="105"/>
      <c r="HQH134" s="105"/>
      <c r="HQI134" s="105"/>
      <c r="HQJ134" s="105"/>
      <c r="HQK134" s="105"/>
      <c r="HQL134" s="105"/>
      <c r="HQM134" s="105"/>
      <c r="HQN134" s="105"/>
      <c r="HQO134" s="105"/>
      <c r="HQP134" s="105"/>
      <c r="HQQ134" s="105"/>
      <c r="HQR134" s="105"/>
      <c r="HQS134" s="105"/>
      <c r="HQT134" s="105"/>
      <c r="HQU134" s="105"/>
      <c r="HQV134" s="105"/>
      <c r="HQW134" s="105"/>
      <c r="HQX134" s="105"/>
      <c r="HQY134" s="105"/>
      <c r="HQZ134" s="105"/>
      <c r="HRA134" s="105"/>
      <c r="HRB134" s="105"/>
      <c r="HRC134" s="105"/>
      <c r="HRD134" s="105"/>
      <c r="HRE134" s="105"/>
      <c r="HRF134" s="105"/>
      <c r="HRG134" s="105"/>
      <c r="HRH134" s="105"/>
      <c r="HRI134" s="105"/>
      <c r="HRJ134" s="105"/>
      <c r="HRK134" s="105"/>
      <c r="HRL134" s="105"/>
      <c r="HRM134" s="105"/>
      <c r="HRN134" s="105"/>
      <c r="HRO134" s="105"/>
      <c r="HRP134" s="105"/>
      <c r="HRQ134" s="105"/>
      <c r="HRR134" s="105"/>
      <c r="HRS134" s="105"/>
      <c r="HRT134" s="105"/>
      <c r="HRU134" s="105"/>
      <c r="HRV134" s="105"/>
      <c r="HRW134" s="105"/>
      <c r="HRX134" s="105"/>
      <c r="HRY134" s="105"/>
      <c r="HRZ134" s="105"/>
      <c r="HSA134" s="105"/>
      <c r="HSB134" s="105"/>
      <c r="HSC134" s="105"/>
      <c r="HSD134" s="105"/>
      <c r="HSE134" s="105"/>
      <c r="HSF134" s="105"/>
      <c r="HSG134" s="105"/>
      <c r="HSH134" s="105"/>
      <c r="HSI134" s="105"/>
      <c r="HSJ134" s="105"/>
      <c r="HSK134" s="105"/>
      <c r="HSL134" s="105"/>
      <c r="HSM134" s="105"/>
      <c r="HSN134" s="105"/>
      <c r="HSO134" s="105"/>
      <c r="HSP134" s="105"/>
      <c r="HSQ134" s="105"/>
      <c r="HSR134" s="105"/>
      <c r="HSS134" s="105"/>
      <c r="HST134" s="105"/>
      <c r="HSU134" s="105"/>
      <c r="HSV134" s="105"/>
      <c r="HSW134" s="105"/>
      <c r="HSX134" s="105"/>
      <c r="HSY134" s="105"/>
      <c r="HSZ134" s="105"/>
      <c r="HTA134" s="105"/>
      <c r="HTB134" s="105"/>
      <c r="HTC134" s="105"/>
      <c r="HTD134" s="105"/>
      <c r="HTE134" s="105"/>
      <c r="HTF134" s="105"/>
      <c r="HTG134" s="105"/>
      <c r="HTH134" s="105"/>
      <c r="HTI134" s="105"/>
      <c r="HTJ134" s="105"/>
      <c r="HTK134" s="105"/>
      <c r="HTL134" s="105"/>
      <c r="HTM134" s="105"/>
      <c r="HTN134" s="105"/>
      <c r="HTO134" s="105"/>
      <c r="HTP134" s="105"/>
      <c r="HTQ134" s="105"/>
      <c r="HTR134" s="105"/>
      <c r="HTS134" s="105"/>
      <c r="HTT134" s="105"/>
      <c r="HTU134" s="105"/>
      <c r="HTV134" s="105"/>
      <c r="HTW134" s="105"/>
      <c r="HTX134" s="105"/>
      <c r="HTY134" s="105"/>
      <c r="HTZ134" s="105"/>
      <c r="HUA134" s="105"/>
      <c r="HUB134" s="105"/>
      <c r="HUC134" s="105"/>
      <c r="HUD134" s="105"/>
      <c r="HUE134" s="105"/>
      <c r="HUF134" s="105"/>
      <c r="HUG134" s="105"/>
      <c r="HUH134" s="105"/>
      <c r="HUI134" s="105"/>
      <c r="HUJ134" s="105"/>
      <c r="HUK134" s="105"/>
      <c r="HUL134" s="105"/>
      <c r="HUM134" s="105"/>
      <c r="HUN134" s="105"/>
      <c r="HUO134" s="105"/>
      <c r="HUP134" s="105"/>
      <c r="HUQ134" s="105"/>
      <c r="HUR134" s="105"/>
      <c r="HUS134" s="105"/>
      <c r="HUT134" s="105"/>
      <c r="HUU134" s="105"/>
      <c r="HUV134" s="105"/>
      <c r="HUW134" s="105"/>
      <c r="HUX134" s="105"/>
      <c r="HUY134" s="105"/>
      <c r="HUZ134" s="105"/>
      <c r="HVA134" s="105"/>
      <c r="HVB134" s="105"/>
      <c r="HVC134" s="105"/>
      <c r="HVD134" s="105"/>
      <c r="HVE134" s="105"/>
      <c r="HVF134" s="105"/>
      <c r="HVG134" s="105"/>
      <c r="HVH134" s="105"/>
      <c r="HVI134" s="105"/>
      <c r="HVJ134" s="105"/>
      <c r="HVK134" s="105"/>
      <c r="HVL134" s="105"/>
      <c r="HVM134" s="105"/>
      <c r="HVN134" s="105"/>
      <c r="HVO134" s="105"/>
      <c r="HVP134" s="105"/>
      <c r="HVQ134" s="105"/>
      <c r="HVR134" s="105"/>
      <c r="HVS134" s="105"/>
      <c r="HVT134" s="105"/>
      <c r="HVU134" s="105"/>
      <c r="HVV134" s="105"/>
      <c r="HVW134" s="105"/>
      <c r="HVX134" s="105"/>
      <c r="HVY134" s="105"/>
      <c r="HVZ134" s="105"/>
      <c r="HWA134" s="105"/>
      <c r="HWB134" s="105"/>
      <c r="HWC134" s="105"/>
      <c r="HWD134" s="105"/>
      <c r="HWE134" s="105"/>
      <c r="HWF134" s="105"/>
      <c r="HWG134" s="105"/>
      <c r="HWH134" s="105"/>
      <c r="HWI134" s="105"/>
      <c r="HWJ134" s="105"/>
      <c r="HWK134" s="105"/>
      <c r="HWL134" s="105"/>
      <c r="HWM134" s="105"/>
      <c r="HWN134" s="105"/>
      <c r="HWO134" s="105"/>
      <c r="HWP134" s="105"/>
      <c r="HWQ134" s="105"/>
      <c r="HWR134" s="105"/>
      <c r="HWS134" s="105"/>
      <c r="HWT134" s="105"/>
      <c r="HWU134" s="105"/>
      <c r="HWV134" s="105"/>
      <c r="HWW134" s="105"/>
      <c r="HWX134" s="105"/>
      <c r="HWY134" s="105"/>
      <c r="HWZ134" s="105"/>
      <c r="HXA134" s="105"/>
      <c r="HXB134" s="105"/>
      <c r="HXC134" s="105"/>
      <c r="HXD134" s="105"/>
      <c r="HXE134" s="105"/>
      <c r="HXF134" s="105"/>
      <c r="HXG134" s="105"/>
      <c r="HXH134" s="105"/>
      <c r="HXI134" s="105"/>
      <c r="HXJ134" s="105"/>
      <c r="HXK134" s="105"/>
      <c r="HXL134" s="105"/>
      <c r="HXM134" s="105"/>
      <c r="HXN134" s="105"/>
      <c r="HXO134" s="105"/>
      <c r="HXP134" s="105"/>
      <c r="HXQ134" s="105"/>
      <c r="HXR134" s="105"/>
      <c r="HXS134" s="105"/>
      <c r="HXT134" s="105"/>
      <c r="HXU134" s="105"/>
      <c r="HXV134" s="105"/>
      <c r="HXW134" s="105"/>
      <c r="HXX134" s="105"/>
      <c r="HXY134" s="105"/>
      <c r="HXZ134" s="105"/>
      <c r="HYA134" s="105"/>
      <c r="HYB134" s="105"/>
      <c r="HYC134" s="105"/>
      <c r="HYD134" s="105"/>
      <c r="HYE134" s="105"/>
      <c r="HYF134" s="105"/>
      <c r="HYG134" s="105"/>
      <c r="HYH134" s="105"/>
      <c r="HYI134" s="105"/>
      <c r="HYJ134" s="105"/>
      <c r="HYK134" s="105"/>
      <c r="HYL134" s="105"/>
      <c r="HYM134" s="105"/>
      <c r="HYN134" s="105"/>
      <c r="HYO134" s="105"/>
      <c r="HYP134" s="105"/>
      <c r="HYQ134" s="105"/>
      <c r="HYR134" s="105"/>
      <c r="HYS134" s="105"/>
      <c r="HYT134" s="105"/>
      <c r="HYU134" s="105"/>
      <c r="HYV134" s="105"/>
      <c r="HYW134" s="105"/>
      <c r="HYX134" s="105"/>
      <c r="HYY134" s="105"/>
      <c r="HYZ134" s="105"/>
      <c r="HZA134" s="105"/>
      <c r="HZB134" s="105"/>
      <c r="HZC134" s="105"/>
      <c r="HZD134" s="105"/>
      <c r="HZE134" s="105"/>
      <c r="HZF134" s="105"/>
      <c r="HZG134" s="105"/>
      <c r="HZH134" s="105"/>
      <c r="HZI134" s="105"/>
      <c r="HZJ134" s="105"/>
      <c r="HZK134" s="105"/>
      <c r="HZL134" s="105"/>
      <c r="HZM134" s="105"/>
      <c r="HZN134" s="105"/>
      <c r="HZO134" s="105"/>
      <c r="HZP134" s="105"/>
      <c r="HZQ134" s="105"/>
      <c r="HZR134" s="105"/>
      <c r="HZS134" s="105"/>
      <c r="HZT134" s="105"/>
      <c r="HZU134" s="105"/>
      <c r="HZV134" s="105"/>
      <c r="HZW134" s="105"/>
      <c r="HZX134" s="105"/>
      <c r="HZY134" s="105"/>
      <c r="HZZ134" s="105"/>
      <c r="IAA134" s="105"/>
      <c r="IAB134" s="105"/>
      <c r="IAC134" s="105"/>
      <c r="IAD134" s="105"/>
      <c r="IAE134" s="105"/>
      <c r="IAF134" s="105"/>
      <c r="IAG134" s="105"/>
      <c r="IAH134" s="105"/>
      <c r="IAI134" s="105"/>
      <c r="IAJ134" s="105"/>
      <c r="IAK134" s="105"/>
      <c r="IAL134" s="105"/>
      <c r="IAM134" s="105"/>
      <c r="IAN134" s="105"/>
      <c r="IAO134" s="105"/>
      <c r="IAP134" s="105"/>
      <c r="IAQ134" s="105"/>
      <c r="IAR134" s="105"/>
      <c r="IAS134" s="105"/>
      <c r="IAT134" s="105"/>
      <c r="IAU134" s="105"/>
      <c r="IAV134" s="105"/>
      <c r="IAW134" s="105"/>
      <c r="IAX134" s="105"/>
      <c r="IAY134" s="105"/>
      <c r="IAZ134" s="105"/>
      <c r="IBA134" s="105"/>
      <c r="IBB134" s="105"/>
      <c r="IBC134" s="105"/>
      <c r="IBD134" s="105"/>
      <c r="IBE134" s="105"/>
      <c r="IBF134" s="105"/>
      <c r="IBG134" s="105"/>
      <c r="IBH134" s="105"/>
      <c r="IBI134" s="105"/>
      <c r="IBJ134" s="105"/>
      <c r="IBK134" s="105"/>
      <c r="IBL134" s="105"/>
      <c r="IBM134" s="105"/>
      <c r="IBN134" s="105"/>
      <c r="IBO134" s="105"/>
      <c r="IBP134" s="105"/>
      <c r="IBQ134" s="105"/>
      <c r="IBR134" s="105"/>
      <c r="IBS134" s="105"/>
      <c r="IBT134" s="105"/>
      <c r="IBU134" s="105"/>
      <c r="IBV134" s="105"/>
      <c r="IBW134" s="105"/>
      <c r="IBX134" s="105"/>
      <c r="IBY134" s="105"/>
      <c r="IBZ134" s="105"/>
      <c r="ICA134" s="105"/>
      <c r="ICB134" s="105"/>
      <c r="ICC134" s="105"/>
      <c r="ICD134" s="105"/>
      <c r="ICE134" s="105"/>
      <c r="ICF134" s="105"/>
      <c r="ICG134" s="105"/>
      <c r="ICH134" s="105"/>
      <c r="ICI134" s="105"/>
      <c r="ICJ134" s="105"/>
      <c r="ICK134" s="105"/>
      <c r="ICL134" s="105"/>
      <c r="ICM134" s="105"/>
      <c r="ICN134" s="105"/>
      <c r="ICO134" s="105"/>
      <c r="ICP134" s="105"/>
      <c r="ICQ134" s="105"/>
      <c r="ICR134" s="105"/>
      <c r="ICS134" s="105"/>
      <c r="ICT134" s="105"/>
      <c r="ICU134" s="105"/>
      <c r="ICV134" s="105"/>
      <c r="ICW134" s="105"/>
      <c r="ICX134" s="105"/>
      <c r="ICY134" s="105"/>
      <c r="ICZ134" s="105"/>
      <c r="IDA134" s="105"/>
      <c r="IDB134" s="105"/>
      <c r="IDC134" s="105"/>
      <c r="IDD134" s="105"/>
      <c r="IDE134" s="105"/>
      <c r="IDF134" s="105"/>
      <c r="IDG134" s="105"/>
      <c r="IDH134" s="105"/>
      <c r="IDI134" s="105"/>
      <c r="IDJ134" s="105"/>
      <c r="IDK134" s="105"/>
      <c r="IDL134" s="105"/>
      <c r="IDM134" s="105"/>
      <c r="IDN134" s="105"/>
      <c r="IDO134" s="105"/>
      <c r="IDP134" s="105"/>
      <c r="IDQ134" s="105"/>
      <c r="IDR134" s="105"/>
      <c r="IDS134" s="105"/>
      <c r="IDT134" s="105"/>
      <c r="IDU134" s="105"/>
      <c r="IDV134" s="105"/>
      <c r="IDW134" s="105"/>
      <c r="IDX134" s="105"/>
      <c r="IDY134" s="105"/>
      <c r="IDZ134" s="105"/>
      <c r="IEA134" s="105"/>
      <c r="IEB134" s="105"/>
      <c r="IEC134" s="105"/>
      <c r="IED134" s="105"/>
      <c r="IEE134" s="105"/>
      <c r="IEF134" s="105"/>
      <c r="IEG134" s="105"/>
      <c r="IEH134" s="105"/>
      <c r="IEI134" s="105"/>
      <c r="IEJ134" s="105"/>
      <c r="IEK134" s="105"/>
      <c r="IEL134" s="105"/>
      <c r="IEM134" s="105"/>
      <c r="IEN134" s="105"/>
      <c r="IEO134" s="105"/>
      <c r="IEP134" s="105"/>
      <c r="IEQ134" s="105"/>
      <c r="IER134" s="105"/>
      <c r="IES134" s="105"/>
      <c r="IET134" s="105"/>
      <c r="IEU134" s="105"/>
      <c r="IEV134" s="105"/>
      <c r="IEW134" s="105"/>
      <c r="IEX134" s="105"/>
      <c r="IEY134" s="105"/>
      <c r="IEZ134" s="105"/>
      <c r="IFA134" s="105"/>
      <c r="IFB134" s="105"/>
      <c r="IFC134" s="105"/>
      <c r="IFD134" s="105"/>
      <c r="IFE134" s="105"/>
      <c r="IFF134" s="105"/>
      <c r="IFG134" s="105"/>
      <c r="IFH134" s="105"/>
      <c r="IFI134" s="105"/>
      <c r="IFJ134" s="105"/>
      <c r="IFK134" s="105"/>
      <c r="IFL134" s="105"/>
      <c r="IFM134" s="105"/>
      <c r="IFN134" s="105"/>
      <c r="IFO134" s="105"/>
      <c r="IFP134" s="105"/>
      <c r="IFQ134" s="105"/>
      <c r="IFR134" s="105"/>
      <c r="IFS134" s="105"/>
      <c r="IFT134" s="105"/>
      <c r="IFU134" s="105"/>
      <c r="IFV134" s="105"/>
      <c r="IFW134" s="105"/>
      <c r="IFX134" s="105"/>
      <c r="IFY134" s="105"/>
      <c r="IFZ134" s="105"/>
      <c r="IGA134" s="105"/>
      <c r="IGB134" s="105"/>
      <c r="IGC134" s="105"/>
      <c r="IGD134" s="105"/>
      <c r="IGE134" s="105"/>
      <c r="IGF134" s="105"/>
      <c r="IGG134" s="105"/>
      <c r="IGH134" s="105"/>
      <c r="IGI134" s="105"/>
      <c r="IGJ134" s="105"/>
      <c r="IGK134" s="105"/>
      <c r="IGL134" s="105"/>
      <c r="IGM134" s="105"/>
      <c r="IGN134" s="105"/>
      <c r="IGO134" s="105"/>
      <c r="IGP134" s="105"/>
      <c r="IGQ134" s="105"/>
      <c r="IGR134" s="105"/>
      <c r="IGS134" s="105"/>
      <c r="IGT134" s="105"/>
      <c r="IGU134" s="105"/>
      <c r="IGV134" s="105"/>
      <c r="IGW134" s="105"/>
      <c r="IGX134" s="105"/>
      <c r="IGY134" s="105"/>
      <c r="IGZ134" s="105"/>
      <c r="IHA134" s="105"/>
      <c r="IHB134" s="105"/>
      <c r="IHC134" s="105"/>
      <c r="IHD134" s="105"/>
      <c r="IHE134" s="105"/>
      <c r="IHF134" s="105"/>
      <c r="IHG134" s="105"/>
      <c r="IHH134" s="105"/>
      <c r="IHI134" s="105"/>
      <c r="IHJ134" s="105"/>
      <c r="IHK134" s="105"/>
      <c r="IHL134" s="105"/>
      <c r="IHM134" s="105"/>
      <c r="IHN134" s="105"/>
      <c r="IHO134" s="105"/>
      <c r="IHP134" s="105"/>
      <c r="IHQ134" s="105"/>
      <c r="IHR134" s="105"/>
      <c r="IHS134" s="105"/>
      <c r="IHT134" s="105"/>
      <c r="IHU134" s="105"/>
      <c r="IHV134" s="105"/>
      <c r="IHW134" s="105"/>
      <c r="IHX134" s="105"/>
      <c r="IHY134" s="105"/>
      <c r="IHZ134" s="105"/>
      <c r="IIA134" s="105"/>
      <c r="IIB134" s="105"/>
      <c r="IIC134" s="105"/>
      <c r="IID134" s="105"/>
      <c r="IIE134" s="105"/>
      <c r="IIF134" s="105"/>
      <c r="IIG134" s="105"/>
      <c r="IIH134" s="105"/>
      <c r="III134" s="105"/>
      <c r="IIJ134" s="105"/>
      <c r="IIK134" s="105"/>
      <c r="IIL134" s="105"/>
      <c r="IIM134" s="105"/>
      <c r="IIN134" s="105"/>
      <c r="IIO134" s="105"/>
      <c r="IIP134" s="105"/>
      <c r="IIQ134" s="105"/>
      <c r="IIR134" s="105"/>
      <c r="IIS134" s="105"/>
      <c r="IIT134" s="105"/>
      <c r="IIU134" s="105"/>
      <c r="IIV134" s="105"/>
      <c r="IIW134" s="105"/>
      <c r="IIX134" s="105"/>
      <c r="IIY134" s="105"/>
      <c r="IIZ134" s="105"/>
      <c r="IJA134" s="105"/>
      <c r="IJB134" s="105"/>
      <c r="IJC134" s="105"/>
      <c r="IJD134" s="105"/>
      <c r="IJE134" s="105"/>
      <c r="IJF134" s="105"/>
      <c r="IJG134" s="105"/>
      <c r="IJH134" s="105"/>
      <c r="IJI134" s="105"/>
      <c r="IJJ134" s="105"/>
      <c r="IJK134" s="105"/>
      <c r="IJL134" s="105"/>
      <c r="IJM134" s="105"/>
      <c r="IJN134" s="105"/>
      <c r="IJO134" s="105"/>
      <c r="IJP134" s="105"/>
      <c r="IJQ134" s="105"/>
      <c r="IJR134" s="105"/>
      <c r="IJS134" s="105"/>
      <c r="IJT134" s="105"/>
      <c r="IJU134" s="105"/>
      <c r="IJV134" s="105"/>
      <c r="IJW134" s="105"/>
      <c r="IJX134" s="105"/>
      <c r="IJY134" s="105"/>
      <c r="IJZ134" s="105"/>
      <c r="IKA134" s="105"/>
      <c r="IKB134" s="105"/>
      <c r="IKC134" s="105"/>
      <c r="IKD134" s="105"/>
      <c r="IKE134" s="105"/>
      <c r="IKF134" s="105"/>
      <c r="IKG134" s="105"/>
      <c r="IKH134" s="105"/>
      <c r="IKI134" s="105"/>
      <c r="IKJ134" s="105"/>
      <c r="IKK134" s="105"/>
      <c r="IKL134" s="105"/>
      <c r="IKM134" s="105"/>
      <c r="IKN134" s="105"/>
      <c r="IKO134" s="105"/>
      <c r="IKP134" s="105"/>
      <c r="IKQ134" s="105"/>
      <c r="IKR134" s="105"/>
      <c r="IKS134" s="105"/>
      <c r="IKT134" s="105"/>
      <c r="IKU134" s="105"/>
      <c r="IKV134" s="105"/>
      <c r="IKW134" s="105"/>
      <c r="IKX134" s="105"/>
      <c r="IKY134" s="105"/>
      <c r="IKZ134" s="105"/>
      <c r="ILA134" s="105"/>
      <c r="ILB134" s="105"/>
      <c r="ILC134" s="105"/>
      <c r="ILD134" s="105"/>
      <c r="ILE134" s="105"/>
      <c r="ILF134" s="105"/>
      <c r="ILG134" s="105"/>
      <c r="ILH134" s="105"/>
      <c r="ILI134" s="105"/>
      <c r="ILJ134" s="105"/>
      <c r="ILK134" s="105"/>
      <c r="ILL134" s="105"/>
      <c r="ILM134" s="105"/>
      <c r="ILN134" s="105"/>
      <c r="ILO134" s="105"/>
      <c r="ILP134" s="105"/>
      <c r="ILQ134" s="105"/>
      <c r="ILR134" s="105"/>
      <c r="ILS134" s="105"/>
      <c r="ILT134" s="105"/>
      <c r="ILU134" s="105"/>
      <c r="ILV134" s="105"/>
      <c r="ILW134" s="105"/>
      <c r="ILX134" s="105"/>
      <c r="ILY134" s="105"/>
      <c r="ILZ134" s="105"/>
      <c r="IMA134" s="105"/>
      <c r="IMB134" s="105"/>
      <c r="IMC134" s="105"/>
      <c r="IMD134" s="105"/>
      <c r="IME134" s="105"/>
      <c r="IMF134" s="105"/>
      <c r="IMG134" s="105"/>
      <c r="IMH134" s="105"/>
      <c r="IMI134" s="105"/>
      <c r="IMJ134" s="105"/>
      <c r="IMK134" s="105"/>
      <c r="IML134" s="105"/>
      <c r="IMM134" s="105"/>
      <c r="IMN134" s="105"/>
      <c r="IMO134" s="105"/>
      <c r="IMP134" s="105"/>
      <c r="IMQ134" s="105"/>
      <c r="IMR134" s="105"/>
      <c r="IMS134" s="105"/>
      <c r="IMT134" s="105"/>
      <c r="IMU134" s="105"/>
      <c r="IMV134" s="105"/>
      <c r="IMW134" s="105"/>
      <c r="IMX134" s="105"/>
      <c r="IMY134" s="105"/>
      <c r="IMZ134" s="105"/>
      <c r="INA134" s="105"/>
      <c r="INB134" s="105"/>
      <c r="INC134" s="105"/>
      <c r="IND134" s="105"/>
      <c r="INE134" s="105"/>
      <c r="INF134" s="105"/>
      <c r="ING134" s="105"/>
      <c r="INH134" s="105"/>
      <c r="INI134" s="105"/>
      <c r="INJ134" s="105"/>
      <c r="INK134" s="105"/>
      <c r="INL134" s="105"/>
      <c r="INM134" s="105"/>
      <c r="INN134" s="105"/>
      <c r="INO134" s="105"/>
      <c r="INP134" s="105"/>
      <c r="INQ134" s="105"/>
      <c r="INR134" s="105"/>
      <c r="INS134" s="105"/>
      <c r="INT134" s="105"/>
      <c r="INU134" s="105"/>
      <c r="INV134" s="105"/>
      <c r="INW134" s="105"/>
      <c r="INX134" s="105"/>
      <c r="INY134" s="105"/>
      <c r="INZ134" s="105"/>
      <c r="IOA134" s="105"/>
      <c r="IOB134" s="105"/>
      <c r="IOC134" s="105"/>
      <c r="IOD134" s="105"/>
      <c r="IOE134" s="105"/>
      <c r="IOF134" s="105"/>
      <c r="IOG134" s="105"/>
      <c r="IOH134" s="105"/>
      <c r="IOI134" s="105"/>
      <c r="IOJ134" s="105"/>
      <c r="IOK134" s="105"/>
      <c r="IOL134" s="105"/>
      <c r="IOM134" s="105"/>
      <c r="ION134" s="105"/>
      <c r="IOO134" s="105"/>
      <c r="IOP134" s="105"/>
      <c r="IOQ134" s="105"/>
      <c r="IOR134" s="105"/>
      <c r="IOS134" s="105"/>
      <c r="IOT134" s="105"/>
      <c r="IOU134" s="105"/>
      <c r="IOV134" s="105"/>
      <c r="IOW134" s="105"/>
      <c r="IOX134" s="105"/>
      <c r="IOY134" s="105"/>
      <c r="IOZ134" s="105"/>
      <c r="IPA134" s="105"/>
      <c r="IPB134" s="105"/>
      <c r="IPC134" s="105"/>
      <c r="IPD134" s="105"/>
      <c r="IPE134" s="105"/>
      <c r="IPF134" s="105"/>
      <c r="IPG134" s="105"/>
      <c r="IPH134" s="105"/>
      <c r="IPI134" s="105"/>
      <c r="IPJ134" s="105"/>
      <c r="IPK134" s="105"/>
      <c r="IPL134" s="105"/>
      <c r="IPM134" s="105"/>
      <c r="IPN134" s="105"/>
      <c r="IPO134" s="105"/>
      <c r="IPP134" s="105"/>
      <c r="IPQ134" s="105"/>
      <c r="IPR134" s="105"/>
      <c r="IPS134" s="105"/>
      <c r="IPT134" s="105"/>
      <c r="IPU134" s="105"/>
      <c r="IPV134" s="105"/>
      <c r="IPW134" s="105"/>
      <c r="IPX134" s="105"/>
      <c r="IPY134" s="105"/>
      <c r="IPZ134" s="105"/>
      <c r="IQA134" s="105"/>
      <c r="IQB134" s="105"/>
      <c r="IQC134" s="105"/>
      <c r="IQD134" s="105"/>
      <c r="IQE134" s="105"/>
      <c r="IQF134" s="105"/>
      <c r="IQG134" s="105"/>
      <c r="IQH134" s="105"/>
      <c r="IQI134" s="105"/>
      <c r="IQJ134" s="105"/>
      <c r="IQK134" s="105"/>
      <c r="IQL134" s="105"/>
      <c r="IQM134" s="105"/>
      <c r="IQN134" s="105"/>
      <c r="IQO134" s="105"/>
      <c r="IQP134" s="105"/>
      <c r="IQQ134" s="105"/>
      <c r="IQR134" s="105"/>
      <c r="IQS134" s="105"/>
      <c r="IQT134" s="105"/>
      <c r="IQU134" s="105"/>
      <c r="IQV134" s="105"/>
      <c r="IQW134" s="105"/>
      <c r="IQX134" s="105"/>
      <c r="IQY134" s="105"/>
      <c r="IQZ134" s="105"/>
      <c r="IRA134" s="105"/>
      <c r="IRB134" s="105"/>
      <c r="IRC134" s="105"/>
      <c r="IRD134" s="105"/>
      <c r="IRE134" s="105"/>
      <c r="IRF134" s="105"/>
      <c r="IRG134" s="105"/>
      <c r="IRH134" s="105"/>
      <c r="IRI134" s="105"/>
      <c r="IRJ134" s="105"/>
      <c r="IRK134" s="105"/>
      <c r="IRL134" s="105"/>
      <c r="IRM134" s="105"/>
      <c r="IRN134" s="105"/>
      <c r="IRO134" s="105"/>
      <c r="IRP134" s="105"/>
      <c r="IRQ134" s="105"/>
      <c r="IRR134" s="105"/>
      <c r="IRS134" s="105"/>
      <c r="IRT134" s="105"/>
      <c r="IRU134" s="105"/>
      <c r="IRV134" s="105"/>
      <c r="IRW134" s="105"/>
      <c r="IRX134" s="105"/>
      <c r="IRY134" s="105"/>
      <c r="IRZ134" s="105"/>
      <c r="ISA134" s="105"/>
      <c r="ISB134" s="105"/>
      <c r="ISC134" s="105"/>
      <c r="ISD134" s="105"/>
      <c r="ISE134" s="105"/>
      <c r="ISF134" s="105"/>
      <c r="ISG134" s="105"/>
      <c r="ISH134" s="105"/>
      <c r="ISI134" s="105"/>
      <c r="ISJ134" s="105"/>
      <c r="ISK134" s="105"/>
      <c r="ISL134" s="105"/>
      <c r="ISM134" s="105"/>
      <c r="ISN134" s="105"/>
      <c r="ISO134" s="105"/>
      <c r="ISP134" s="105"/>
      <c r="ISQ134" s="105"/>
      <c r="ISR134" s="105"/>
      <c r="ISS134" s="105"/>
      <c r="IST134" s="105"/>
      <c r="ISU134" s="105"/>
      <c r="ISV134" s="105"/>
      <c r="ISW134" s="105"/>
      <c r="ISX134" s="105"/>
      <c r="ISY134" s="105"/>
      <c r="ISZ134" s="105"/>
      <c r="ITA134" s="105"/>
      <c r="ITB134" s="105"/>
      <c r="ITC134" s="105"/>
      <c r="ITD134" s="105"/>
      <c r="ITE134" s="105"/>
      <c r="ITF134" s="105"/>
      <c r="ITG134" s="105"/>
      <c r="ITH134" s="105"/>
      <c r="ITI134" s="105"/>
      <c r="ITJ134" s="105"/>
      <c r="ITK134" s="105"/>
      <c r="ITL134" s="105"/>
      <c r="ITM134" s="105"/>
      <c r="ITN134" s="105"/>
      <c r="ITO134" s="105"/>
      <c r="ITP134" s="105"/>
      <c r="ITQ134" s="105"/>
      <c r="ITR134" s="105"/>
      <c r="ITS134" s="105"/>
      <c r="ITT134" s="105"/>
      <c r="ITU134" s="105"/>
      <c r="ITV134" s="105"/>
      <c r="ITW134" s="105"/>
      <c r="ITX134" s="105"/>
      <c r="ITY134" s="105"/>
      <c r="ITZ134" s="105"/>
      <c r="IUA134" s="105"/>
      <c r="IUB134" s="105"/>
      <c r="IUC134" s="105"/>
      <c r="IUD134" s="105"/>
      <c r="IUE134" s="105"/>
      <c r="IUF134" s="105"/>
      <c r="IUG134" s="105"/>
      <c r="IUH134" s="105"/>
      <c r="IUI134" s="105"/>
      <c r="IUJ134" s="105"/>
      <c r="IUK134" s="105"/>
      <c r="IUL134" s="105"/>
      <c r="IUM134" s="105"/>
      <c r="IUN134" s="105"/>
      <c r="IUO134" s="105"/>
      <c r="IUP134" s="105"/>
      <c r="IUQ134" s="105"/>
      <c r="IUR134" s="105"/>
      <c r="IUS134" s="105"/>
      <c r="IUT134" s="105"/>
      <c r="IUU134" s="105"/>
      <c r="IUV134" s="105"/>
      <c r="IUW134" s="105"/>
      <c r="IUX134" s="105"/>
      <c r="IUY134" s="105"/>
      <c r="IUZ134" s="105"/>
      <c r="IVA134" s="105"/>
      <c r="IVB134" s="105"/>
      <c r="IVC134" s="105"/>
      <c r="IVD134" s="105"/>
      <c r="IVE134" s="105"/>
      <c r="IVF134" s="105"/>
      <c r="IVG134" s="105"/>
      <c r="IVH134" s="105"/>
      <c r="IVI134" s="105"/>
      <c r="IVJ134" s="105"/>
      <c r="IVK134" s="105"/>
      <c r="IVL134" s="105"/>
      <c r="IVM134" s="105"/>
      <c r="IVN134" s="105"/>
      <c r="IVO134" s="105"/>
      <c r="IVP134" s="105"/>
      <c r="IVQ134" s="105"/>
      <c r="IVR134" s="105"/>
      <c r="IVS134" s="105"/>
      <c r="IVT134" s="105"/>
      <c r="IVU134" s="105"/>
      <c r="IVV134" s="105"/>
      <c r="IVW134" s="105"/>
      <c r="IVX134" s="105"/>
      <c r="IVY134" s="105"/>
      <c r="IVZ134" s="105"/>
      <c r="IWA134" s="105"/>
      <c r="IWB134" s="105"/>
      <c r="IWC134" s="105"/>
      <c r="IWD134" s="105"/>
      <c r="IWE134" s="105"/>
      <c r="IWF134" s="105"/>
      <c r="IWG134" s="105"/>
      <c r="IWH134" s="105"/>
      <c r="IWI134" s="105"/>
      <c r="IWJ134" s="105"/>
      <c r="IWK134" s="105"/>
      <c r="IWL134" s="105"/>
      <c r="IWM134" s="105"/>
      <c r="IWN134" s="105"/>
      <c r="IWO134" s="105"/>
      <c r="IWP134" s="105"/>
      <c r="IWQ134" s="105"/>
      <c r="IWR134" s="105"/>
      <c r="IWS134" s="105"/>
      <c r="IWT134" s="105"/>
      <c r="IWU134" s="105"/>
      <c r="IWV134" s="105"/>
      <c r="IWW134" s="105"/>
      <c r="IWX134" s="105"/>
      <c r="IWY134" s="105"/>
      <c r="IWZ134" s="105"/>
      <c r="IXA134" s="105"/>
      <c r="IXB134" s="105"/>
      <c r="IXC134" s="105"/>
      <c r="IXD134" s="105"/>
      <c r="IXE134" s="105"/>
      <c r="IXF134" s="105"/>
      <c r="IXG134" s="105"/>
      <c r="IXH134" s="105"/>
      <c r="IXI134" s="105"/>
      <c r="IXJ134" s="105"/>
      <c r="IXK134" s="105"/>
      <c r="IXL134" s="105"/>
      <c r="IXM134" s="105"/>
      <c r="IXN134" s="105"/>
      <c r="IXO134" s="105"/>
      <c r="IXP134" s="105"/>
      <c r="IXQ134" s="105"/>
      <c r="IXR134" s="105"/>
      <c r="IXS134" s="105"/>
      <c r="IXT134" s="105"/>
      <c r="IXU134" s="105"/>
      <c r="IXV134" s="105"/>
      <c r="IXW134" s="105"/>
      <c r="IXX134" s="105"/>
      <c r="IXY134" s="105"/>
      <c r="IXZ134" s="105"/>
      <c r="IYA134" s="105"/>
      <c r="IYB134" s="105"/>
      <c r="IYC134" s="105"/>
      <c r="IYD134" s="105"/>
      <c r="IYE134" s="105"/>
      <c r="IYF134" s="105"/>
      <c r="IYG134" s="105"/>
      <c r="IYH134" s="105"/>
      <c r="IYI134" s="105"/>
      <c r="IYJ134" s="105"/>
      <c r="IYK134" s="105"/>
      <c r="IYL134" s="105"/>
      <c r="IYM134" s="105"/>
      <c r="IYN134" s="105"/>
      <c r="IYO134" s="105"/>
      <c r="IYP134" s="105"/>
      <c r="IYQ134" s="105"/>
      <c r="IYR134" s="105"/>
      <c r="IYS134" s="105"/>
      <c r="IYT134" s="105"/>
      <c r="IYU134" s="105"/>
      <c r="IYV134" s="105"/>
      <c r="IYW134" s="105"/>
      <c r="IYX134" s="105"/>
      <c r="IYY134" s="105"/>
      <c r="IYZ134" s="105"/>
      <c r="IZA134" s="105"/>
      <c r="IZB134" s="105"/>
      <c r="IZC134" s="105"/>
      <c r="IZD134" s="105"/>
      <c r="IZE134" s="105"/>
      <c r="IZF134" s="105"/>
      <c r="IZG134" s="105"/>
      <c r="IZH134" s="105"/>
      <c r="IZI134" s="105"/>
      <c r="IZJ134" s="105"/>
      <c r="IZK134" s="105"/>
      <c r="IZL134" s="105"/>
      <c r="IZM134" s="105"/>
      <c r="IZN134" s="105"/>
      <c r="IZO134" s="105"/>
      <c r="IZP134" s="105"/>
      <c r="IZQ134" s="105"/>
      <c r="IZR134" s="105"/>
      <c r="IZS134" s="105"/>
      <c r="IZT134" s="105"/>
      <c r="IZU134" s="105"/>
      <c r="IZV134" s="105"/>
      <c r="IZW134" s="105"/>
      <c r="IZX134" s="105"/>
      <c r="IZY134" s="105"/>
      <c r="IZZ134" s="105"/>
      <c r="JAA134" s="105"/>
      <c r="JAB134" s="105"/>
      <c r="JAC134" s="105"/>
      <c r="JAD134" s="105"/>
      <c r="JAE134" s="105"/>
      <c r="JAF134" s="105"/>
      <c r="JAG134" s="105"/>
      <c r="JAH134" s="105"/>
      <c r="JAI134" s="105"/>
      <c r="JAJ134" s="105"/>
      <c r="JAK134" s="105"/>
      <c r="JAL134" s="105"/>
      <c r="JAM134" s="105"/>
      <c r="JAN134" s="105"/>
      <c r="JAO134" s="105"/>
      <c r="JAP134" s="105"/>
      <c r="JAQ134" s="105"/>
      <c r="JAR134" s="105"/>
      <c r="JAS134" s="105"/>
      <c r="JAT134" s="105"/>
      <c r="JAU134" s="105"/>
      <c r="JAV134" s="105"/>
      <c r="JAW134" s="105"/>
      <c r="JAX134" s="105"/>
      <c r="JAY134" s="105"/>
      <c r="JAZ134" s="105"/>
      <c r="JBA134" s="105"/>
      <c r="JBB134" s="105"/>
      <c r="JBC134" s="105"/>
      <c r="JBD134" s="105"/>
      <c r="JBE134" s="105"/>
      <c r="JBF134" s="105"/>
      <c r="JBG134" s="105"/>
      <c r="JBH134" s="105"/>
      <c r="JBI134" s="105"/>
      <c r="JBJ134" s="105"/>
      <c r="JBK134" s="105"/>
      <c r="JBL134" s="105"/>
      <c r="JBM134" s="105"/>
      <c r="JBN134" s="105"/>
      <c r="JBO134" s="105"/>
      <c r="JBP134" s="105"/>
      <c r="JBQ134" s="105"/>
      <c r="JBR134" s="105"/>
      <c r="JBS134" s="105"/>
      <c r="JBT134" s="105"/>
      <c r="JBU134" s="105"/>
      <c r="JBV134" s="105"/>
      <c r="JBW134" s="105"/>
      <c r="JBX134" s="105"/>
      <c r="JBY134" s="105"/>
      <c r="JBZ134" s="105"/>
      <c r="JCA134" s="105"/>
      <c r="JCB134" s="105"/>
      <c r="JCC134" s="105"/>
      <c r="JCD134" s="105"/>
      <c r="JCE134" s="105"/>
      <c r="JCF134" s="105"/>
      <c r="JCG134" s="105"/>
      <c r="JCH134" s="105"/>
      <c r="JCI134" s="105"/>
      <c r="JCJ134" s="105"/>
      <c r="JCK134" s="105"/>
      <c r="JCL134" s="105"/>
      <c r="JCM134" s="105"/>
      <c r="JCN134" s="105"/>
      <c r="JCO134" s="105"/>
      <c r="JCP134" s="105"/>
      <c r="JCQ134" s="105"/>
      <c r="JCR134" s="105"/>
      <c r="JCS134" s="105"/>
      <c r="JCT134" s="105"/>
      <c r="JCU134" s="105"/>
      <c r="JCV134" s="105"/>
      <c r="JCW134" s="105"/>
      <c r="JCX134" s="105"/>
      <c r="JCY134" s="105"/>
      <c r="JCZ134" s="105"/>
      <c r="JDA134" s="105"/>
      <c r="JDB134" s="105"/>
      <c r="JDC134" s="105"/>
      <c r="JDD134" s="105"/>
      <c r="JDE134" s="105"/>
      <c r="JDF134" s="105"/>
      <c r="JDG134" s="105"/>
      <c r="JDH134" s="105"/>
      <c r="JDI134" s="105"/>
      <c r="JDJ134" s="105"/>
      <c r="JDK134" s="105"/>
      <c r="JDL134" s="105"/>
      <c r="JDM134" s="105"/>
      <c r="JDN134" s="105"/>
      <c r="JDO134" s="105"/>
      <c r="JDP134" s="105"/>
      <c r="JDQ134" s="105"/>
      <c r="JDR134" s="105"/>
      <c r="JDS134" s="105"/>
      <c r="JDT134" s="105"/>
      <c r="JDU134" s="105"/>
      <c r="JDV134" s="105"/>
      <c r="JDW134" s="105"/>
      <c r="JDX134" s="105"/>
      <c r="JDY134" s="105"/>
      <c r="JDZ134" s="105"/>
      <c r="JEA134" s="105"/>
      <c r="JEB134" s="105"/>
      <c r="JEC134" s="105"/>
      <c r="JED134" s="105"/>
      <c r="JEE134" s="105"/>
      <c r="JEF134" s="105"/>
      <c r="JEG134" s="105"/>
      <c r="JEH134" s="105"/>
      <c r="JEI134" s="105"/>
      <c r="JEJ134" s="105"/>
      <c r="JEK134" s="105"/>
      <c r="JEL134" s="105"/>
      <c r="JEM134" s="105"/>
      <c r="JEN134" s="105"/>
      <c r="JEO134" s="105"/>
      <c r="JEP134" s="105"/>
      <c r="JEQ134" s="105"/>
      <c r="JER134" s="105"/>
      <c r="JES134" s="105"/>
      <c r="JET134" s="105"/>
      <c r="JEU134" s="105"/>
      <c r="JEV134" s="105"/>
      <c r="JEW134" s="105"/>
      <c r="JEX134" s="105"/>
      <c r="JEY134" s="105"/>
      <c r="JEZ134" s="105"/>
      <c r="JFA134" s="105"/>
      <c r="JFB134" s="105"/>
      <c r="JFC134" s="105"/>
      <c r="JFD134" s="105"/>
      <c r="JFE134" s="105"/>
      <c r="JFF134" s="105"/>
      <c r="JFG134" s="105"/>
      <c r="JFH134" s="105"/>
      <c r="JFI134" s="105"/>
      <c r="JFJ134" s="105"/>
      <c r="JFK134" s="105"/>
      <c r="JFL134" s="105"/>
      <c r="JFM134" s="105"/>
      <c r="JFN134" s="105"/>
      <c r="JFO134" s="105"/>
      <c r="JFP134" s="105"/>
      <c r="JFQ134" s="105"/>
      <c r="JFR134" s="105"/>
      <c r="JFS134" s="105"/>
      <c r="JFT134" s="105"/>
      <c r="JFU134" s="105"/>
      <c r="JFV134" s="105"/>
      <c r="JFW134" s="105"/>
      <c r="JFX134" s="105"/>
      <c r="JFY134" s="105"/>
      <c r="JFZ134" s="105"/>
      <c r="JGA134" s="105"/>
      <c r="JGB134" s="105"/>
      <c r="JGC134" s="105"/>
      <c r="JGD134" s="105"/>
      <c r="JGE134" s="105"/>
      <c r="JGF134" s="105"/>
      <c r="JGG134" s="105"/>
      <c r="JGH134" s="105"/>
      <c r="JGI134" s="105"/>
      <c r="JGJ134" s="105"/>
      <c r="JGK134" s="105"/>
      <c r="JGL134" s="105"/>
      <c r="JGM134" s="105"/>
      <c r="JGN134" s="105"/>
      <c r="JGO134" s="105"/>
      <c r="JGP134" s="105"/>
      <c r="JGQ134" s="105"/>
      <c r="JGR134" s="105"/>
      <c r="JGS134" s="105"/>
      <c r="JGT134" s="105"/>
      <c r="JGU134" s="105"/>
      <c r="JGV134" s="105"/>
      <c r="JGW134" s="105"/>
      <c r="JGX134" s="105"/>
      <c r="JGY134" s="105"/>
      <c r="JGZ134" s="105"/>
      <c r="JHA134" s="105"/>
      <c r="JHB134" s="105"/>
      <c r="JHC134" s="105"/>
      <c r="JHD134" s="105"/>
      <c r="JHE134" s="105"/>
      <c r="JHF134" s="105"/>
      <c r="JHG134" s="105"/>
      <c r="JHH134" s="105"/>
      <c r="JHI134" s="105"/>
      <c r="JHJ134" s="105"/>
      <c r="JHK134" s="105"/>
      <c r="JHL134" s="105"/>
      <c r="JHM134" s="105"/>
      <c r="JHN134" s="105"/>
      <c r="JHO134" s="105"/>
      <c r="JHP134" s="105"/>
      <c r="JHQ134" s="105"/>
      <c r="JHR134" s="105"/>
      <c r="JHS134" s="105"/>
      <c r="JHT134" s="105"/>
      <c r="JHU134" s="105"/>
      <c r="JHV134" s="105"/>
      <c r="JHW134" s="105"/>
      <c r="JHX134" s="105"/>
      <c r="JHY134" s="105"/>
      <c r="JHZ134" s="105"/>
      <c r="JIA134" s="105"/>
      <c r="JIB134" s="105"/>
      <c r="JIC134" s="105"/>
      <c r="JID134" s="105"/>
      <c r="JIE134" s="105"/>
      <c r="JIF134" s="105"/>
      <c r="JIG134" s="105"/>
      <c r="JIH134" s="105"/>
      <c r="JII134" s="105"/>
      <c r="JIJ134" s="105"/>
      <c r="JIK134" s="105"/>
      <c r="JIL134" s="105"/>
      <c r="JIM134" s="105"/>
      <c r="JIN134" s="105"/>
      <c r="JIO134" s="105"/>
      <c r="JIP134" s="105"/>
      <c r="JIQ134" s="105"/>
      <c r="JIR134" s="105"/>
      <c r="JIS134" s="105"/>
      <c r="JIT134" s="105"/>
      <c r="JIU134" s="105"/>
      <c r="JIV134" s="105"/>
      <c r="JIW134" s="105"/>
      <c r="JIX134" s="105"/>
      <c r="JIY134" s="105"/>
      <c r="JIZ134" s="105"/>
      <c r="JJA134" s="105"/>
      <c r="JJB134" s="105"/>
      <c r="JJC134" s="105"/>
      <c r="JJD134" s="105"/>
      <c r="JJE134" s="105"/>
      <c r="JJF134" s="105"/>
      <c r="JJG134" s="105"/>
      <c r="JJH134" s="105"/>
      <c r="JJI134" s="105"/>
      <c r="JJJ134" s="105"/>
      <c r="JJK134" s="105"/>
      <c r="JJL134" s="105"/>
      <c r="JJM134" s="105"/>
      <c r="JJN134" s="105"/>
      <c r="JJO134" s="105"/>
      <c r="JJP134" s="105"/>
      <c r="JJQ134" s="105"/>
      <c r="JJR134" s="105"/>
      <c r="JJS134" s="105"/>
      <c r="JJT134" s="105"/>
      <c r="JJU134" s="105"/>
      <c r="JJV134" s="105"/>
      <c r="JJW134" s="105"/>
      <c r="JJX134" s="105"/>
      <c r="JJY134" s="105"/>
      <c r="JJZ134" s="105"/>
      <c r="JKA134" s="105"/>
      <c r="JKB134" s="105"/>
      <c r="JKC134" s="105"/>
      <c r="JKD134" s="105"/>
      <c r="JKE134" s="105"/>
      <c r="JKF134" s="105"/>
      <c r="JKG134" s="105"/>
      <c r="JKH134" s="105"/>
      <c r="JKI134" s="105"/>
      <c r="JKJ134" s="105"/>
      <c r="JKK134" s="105"/>
      <c r="JKL134" s="105"/>
      <c r="JKM134" s="105"/>
      <c r="JKN134" s="105"/>
      <c r="JKO134" s="105"/>
      <c r="JKP134" s="105"/>
      <c r="JKQ134" s="105"/>
      <c r="JKR134" s="105"/>
      <c r="JKS134" s="105"/>
      <c r="JKT134" s="105"/>
      <c r="JKU134" s="105"/>
      <c r="JKV134" s="105"/>
      <c r="JKW134" s="105"/>
      <c r="JKX134" s="105"/>
      <c r="JKY134" s="105"/>
      <c r="JKZ134" s="105"/>
      <c r="JLA134" s="105"/>
      <c r="JLB134" s="105"/>
      <c r="JLC134" s="105"/>
      <c r="JLD134" s="105"/>
      <c r="JLE134" s="105"/>
      <c r="JLF134" s="105"/>
      <c r="JLG134" s="105"/>
      <c r="JLH134" s="105"/>
      <c r="JLI134" s="105"/>
      <c r="JLJ134" s="105"/>
      <c r="JLK134" s="105"/>
      <c r="JLL134" s="105"/>
      <c r="JLM134" s="105"/>
      <c r="JLN134" s="105"/>
      <c r="JLO134" s="105"/>
      <c r="JLP134" s="105"/>
      <c r="JLQ134" s="105"/>
      <c r="JLR134" s="105"/>
      <c r="JLS134" s="105"/>
      <c r="JLT134" s="105"/>
      <c r="JLU134" s="105"/>
      <c r="JLV134" s="105"/>
      <c r="JLW134" s="105"/>
      <c r="JLX134" s="105"/>
      <c r="JLY134" s="105"/>
      <c r="JLZ134" s="105"/>
      <c r="JMA134" s="105"/>
      <c r="JMB134" s="105"/>
      <c r="JMC134" s="105"/>
      <c r="JMD134" s="105"/>
      <c r="JME134" s="105"/>
      <c r="JMF134" s="105"/>
      <c r="JMG134" s="105"/>
      <c r="JMH134" s="105"/>
      <c r="JMI134" s="105"/>
      <c r="JMJ134" s="105"/>
      <c r="JMK134" s="105"/>
      <c r="JML134" s="105"/>
      <c r="JMM134" s="105"/>
      <c r="JMN134" s="105"/>
      <c r="JMO134" s="105"/>
      <c r="JMP134" s="105"/>
      <c r="JMQ134" s="105"/>
      <c r="JMR134" s="105"/>
      <c r="JMS134" s="105"/>
      <c r="JMT134" s="105"/>
      <c r="JMU134" s="105"/>
      <c r="JMV134" s="105"/>
      <c r="JMW134" s="105"/>
      <c r="JMX134" s="105"/>
      <c r="JMY134" s="105"/>
      <c r="JMZ134" s="105"/>
      <c r="JNA134" s="105"/>
      <c r="JNB134" s="105"/>
      <c r="JNC134" s="105"/>
      <c r="JND134" s="105"/>
      <c r="JNE134" s="105"/>
      <c r="JNF134" s="105"/>
      <c r="JNG134" s="105"/>
      <c r="JNH134" s="105"/>
      <c r="JNI134" s="105"/>
      <c r="JNJ134" s="105"/>
      <c r="JNK134" s="105"/>
      <c r="JNL134" s="105"/>
      <c r="JNM134" s="105"/>
      <c r="JNN134" s="105"/>
      <c r="JNO134" s="105"/>
      <c r="JNP134" s="105"/>
      <c r="JNQ134" s="105"/>
      <c r="JNR134" s="105"/>
      <c r="JNS134" s="105"/>
      <c r="JNT134" s="105"/>
      <c r="JNU134" s="105"/>
      <c r="JNV134" s="105"/>
      <c r="JNW134" s="105"/>
      <c r="JNX134" s="105"/>
      <c r="JNY134" s="105"/>
      <c r="JNZ134" s="105"/>
      <c r="JOA134" s="105"/>
      <c r="JOB134" s="105"/>
      <c r="JOC134" s="105"/>
      <c r="JOD134" s="105"/>
      <c r="JOE134" s="105"/>
      <c r="JOF134" s="105"/>
      <c r="JOG134" s="105"/>
      <c r="JOH134" s="105"/>
      <c r="JOI134" s="105"/>
      <c r="JOJ134" s="105"/>
      <c r="JOK134" s="105"/>
      <c r="JOL134" s="105"/>
      <c r="JOM134" s="105"/>
      <c r="JON134" s="105"/>
      <c r="JOO134" s="105"/>
      <c r="JOP134" s="105"/>
      <c r="JOQ134" s="105"/>
      <c r="JOR134" s="105"/>
      <c r="JOS134" s="105"/>
      <c r="JOT134" s="105"/>
      <c r="JOU134" s="105"/>
      <c r="JOV134" s="105"/>
      <c r="JOW134" s="105"/>
      <c r="JOX134" s="105"/>
      <c r="JOY134" s="105"/>
      <c r="JOZ134" s="105"/>
      <c r="JPA134" s="105"/>
      <c r="JPB134" s="105"/>
      <c r="JPC134" s="105"/>
      <c r="JPD134" s="105"/>
      <c r="JPE134" s="105"/>
      <c r="JPF134" s="105"/>
      <c r="JPG134" s="105"/>
      <c r="JPH134" s="105"/>
      <c r="JPI134" s="105"/>
      <c r="JPJ134" s="105"/>
      <c r="JPK134" s="105"/>
      <c r="JPL134" s="105"/>
      <c r="JPM134" s="105"/>
      <c r="JPN134" s="105"/>
      <c r="JPO134" s="105"/>
      <c r="JPP134" s="105"/>
      <c r="JPQ134" s="105"/>
      <c r="JPR134" s="105"/>
      <c r="JPS134" s="105"/>
      <c r="JPT134" s="105"/>
      <c r="JPU134" s="105"/>
      <c r="JPV134" s="105"/>
      <c r="JPW134" s="105"/>
      <c r="JPX134" s="105"/>
      <c r="JPY134" s="105"/>
      <c r="JPZ134" s="105"/>
      <c r="JQA134" s="105"/>
      <c r="JQB134" s="105"/>
      <c r="JQC134" s="105"/>
      <c r="JQD134" s="105"/>
      <c r="JQE134" s="105"/>
      <c r="JQF134" s="105"/>
      <c r="JQG134" s="105"/>
      <c r="JQH134" s="105"/>
      <c r="JQI134" s="105"/>
      <c r="JQJ134" s="105"/>
      <c r="JQK134" s="105"/>
      <c r="JQL134" s="105"/>
      <c r="JQM134" s="105"/>
      <c r="JQN134" s="105"/>
      <c r="JQO134" s="105"/>
      <c r="JQP134" s="105"/>
      <c r="JQQ134" s="105"/>
      <c r="JQR134" s="105"/>
      <c r="JQS134" s="105"/>
      <c r="JQT134" s="105"/>
      <c r="JQU134" s="105"/>
      <c r="JQV134" s="105"/>
      <c r="JQW134" s="105"/>
      <c r="JQX134" s="105"/>
      <c r="JQY134" s="105"/>
      <c r="JQZ134" s="105"/>
      <c r="JRA134" s="105"/>
      <c r="JRB134" s="105"/>
      <c r="JRC134" s="105"/>
      <c r="JRD134" s="105"/>
      <c r="JRE134" s="105"/>
      <c r="JRF134" s="105"/>
      <c r="JRG134" s="105"/>
      <c r="JRH134" s="105"/>
      <c r="JRI134" s="105"/>
      <c r="JRJ134" s="105"/>
      <c r="JRK134" s="105"/>
      <c r="JRL134" s="105"/>
      <c r="JRM134" s="105"/>
      <c r="JRN134" s="105"/>
      <c r="JRO134" s="105"/>
      <c r="JRP134" s="105"/>
      <c r="JRQ134" s="105"/>
      <c r="JRR134" s="105"/>
      <c r="JRS134" s="105"/>
      <c r="JRT134" s="105"/>
      <c r="JRU134" s="105"/>
      <c r="JRV134" s="105"/>
      <c r="JRW134" s="105"/>
      <c r="JRX134" s="105"/>
      <c r="JRY134" s="105"/>
      <c r="JRZ134" s="105"/>
      <c r="JSA134" s="105"/>
      <c r="JSB134" s="105"/>
      <c r="JSC134" s="105"/>
      <c r="JSD134" s="105"/>
      <c r="JSE134" s="105"/>
      <c r="JSF134" s="105"/>
      <c r="JSG134" s="105"/>
      <c r="JSH134" s="105"/>
      <c r="JSI134" s="105"/>
      <c r="JSJ134" s="105"/>
      <c r="JSK134" s="105"/>
      <c r="JSL134" s="105"/>
      <c r="JSM134" s="105"/>
      <c r="JSN134" s="105"/>
      <c r="JSO134" s="105"/>
      <c r="JSP134" s="105"/>
      <c r="JSQ134" s="105"/>
      <c r="JSR134" s="105"/>
      <c r="JSS134" s="105"/>
      <c r="JST134" s="105"/>
      <c r="JSU134" s="105"/>
      <c r="JSV134" s="105"/>
      <c r="JSW134" s="105"/>
      <c r="JSX134" s="105"/>
      <c r="JSY134" s="105"/>
      <c r="JSZ134" s="105"/>
      <c r="JTA134" s="105"/>
      <c r="JTB134" s="105"/>
      <c r="JTC134" s="105"/>
      <c r="JTD134" s="105"/>
      <c r="JTE134" s="105"/>
      <c r="JTF134" s="105"/>
      <c r="JTG134" s="105"/>
      <c r="JTH134" s="105"/>
      <c r="JTI134" s="105"/>
      <c r="JTJ134" s="105"/>
      <c r="JTK134" s="105"/>
      <c r="JTL134" s="105"/>
      <c r="JTM134" s="105"/>
      <c r="JTN134" s="105"/>
      <c r="JTO134" s="105"/>
      <c r="JTP134" s="105"/>
      <c r="JTQ134" s="105"/>
      <c r="JTR134" s="105"/>
      <c r="JTS134" s="105"/>
      <c r="JTT134" s="105"/>
      <c r="JTU134" s="105"/>
      <c r="JTV134" s="105"/>
      <c r="JTW134" s="105"/>
      <c r="JTX134" s="105"/>
      <c r="JTY134" s="105"/>
      <c r="JTZ134" s="105"/>
      <c r="JUA134" s="105"/>
      <c r="JUB134" s="105"/>
      <c r="JUC134" s="105"/>
      <c r="JUD134" s="105"/>
      <c r="JUE134" s="105"/>
      <c r="JUF134" s="105"/>
      <c r="JUG134" s="105"/>
      <c r="JUH134" s="105"/>
      <c r="JUI134" s="105"/>
      <c r="JUJ134" s="105"/>
      <c r="JUK134" s="105"/>
      <c r="JUL134" s="105"/>
      <c r="JUM134" s="105"/>
      <c r="JUN134" s="105"/>
      <c r="JUO134" s="105"/>
      <c r="JUP134" s="105"/>
      <c r="JUQ134" s="105"/>
      <c r="JUR134" s="105"/>
      <c r="JUS134" s="105"/>
      <c r="JUT134" s="105"/>
      <c r="JUU134" s="105"/>
      <c r="JUV134" s="105"/>
      <c r="JUW134" s="105"/>
      <c r="JUX134" s="105"/>
      <c r="JUY134" s="105"/>
      <c r="JUZ134" s="105"/>
      <c r="JVA134" s="105"/>
      <c r="JVB134" s="105"/>
      <c r="JVC134" s="105"/>
      <c r="JVD134" s="105"/>
      <c r="JVE134" s="105"/>
      <c r="JVF134" s="105"/>
      <c r="JVG134" s="105"/>
      <c r="JVH134" s="105"/>
      <c r="JVI134" s="105"/>
      <c r="JVJ134" s="105"/>
      <c r="JVK134" s="105"/>
      <c r="JVL134" s="105"/>
      <c r="JVM134" s="105"/>
      <c r="JVN134" s="105"/>
      <c r="JVO134" s="105"/>
      <c r="JVP134" s="105"/>
      <c r="JVQ134" s="105"/>
      <c r="JVR134" s="105"/>
      <c r="JVS134" s="105"/>
      <c r="JVT134" s="105"/>
      <c r="JVU134" s="105"/>
      <c r="JVV134" s="105"/>
      <c r="JVW134" s="105"/>
      <c r="JVX134" s="105"/>
      <c r="JVY134" s="105"/>
      <c r="JVZ134" s="105"/>
      <c r="JWA134" s="105"/>
      <c r="JWB134" s="105"/>
      <c r="JWC134" s="105"/>
      <c r="JWD134" s="105"/>
      <c r="JWE134" s="105"/>
      <c r="JWF134" s="105"/>
      <c r="JWG134" s="105"/>
      <c r="JWH134" s="105"/>
      <c r="JWI134" s="105"/>
      <c r="JWJ134" s="105"/>
      <c r="JWK134" s="105"/>
      <c r="JWL134" s="105"/>
      <c r="JWM134" s="105"/>
      <c r="JWN134" s="105"/>
      <c r="JWO134" s="105"/>
      <c r="JWP134" s="105"/>
      <c r="JWQ134" s="105"/>
      <c r="JWR134" s="105"/>
      <c r="JWS134" s="105"/>
      <c r="JWT134" s="105"/>
      <c r="JWU134" s="105"/>
      <c r="JWV134" s="105"/>
      <c r="JWW134" s="105"/>
      <c r="JWX134" s="105"/>
      <c r="JWY134" s="105"/>
      <c r="JWZ134" s="105"/>
      <c r="JXA134" s="105"/>
      <c r="JXB134" s="105"/>
      <c r="JXC134" s="105"/>
      <c r="JXD134" s="105"/>
      <c r="JXE134" s="105"/>
      <c r="JXF134" s="105"/>
      <c r="JXG134" s="105"/>
      <c r="JXH134" s="105"/>
      <c r="JXI134" s="105"/>
      <c r="JXJ134" s="105"/>
      <c r="JXK134" s="105"/>
      <c r="JXL134" s="105"/>
      <c r="JXM134" s="105"/>
      <c r="JXN134" s="105"/>
      <c r="JXO134" s="105"/>
      <c r="JXP134" s="105"/>
      <c r="JXQ134" s="105"/>
      <c r="JXR134" s="105"/>
      <c r="JXS134" s="105"/>
      <c r="JXT134" s="105"/>
      <c r="JXU134" s="105"/>
      <c r="JXV134" s="105"/>
      <c r="JXW134" s="105"/>
      <c r="JXX134" s="105"/>
      <c r="JXY134" s="105"/>
      <c r="JXZ134" s="105"/>
      <c r="JYA134" s="105"/>
      <c r="JYB134" s="105"/>
      <c r="JYC134" s="105"/>
      <c r="JYD134" s="105"/>
      <c r="JYE134" s="105"/>
      <c r="JYF134" s="105"/>
      <c r="JYG134" s="105"/>
      <c r="JYH134" s="105"/>
      <c r="JYI134" s="105"/>
      <c r="JYJ134" s="105"/>
      <c r="JYK134" s="105"/>
      <c r="JYL134" s="105"/>
      <c r="JYM134" s="105"/>
      <c r="JYN134" s="105"/>
      <c r="JYO134" s="105"/>
      <c r="JYP134" s="105"/>
      <c r="JYQ134" s="105"/>
      <c r="JYR134" s="105"/>
      <c r="JYS134" s="105"/>
      <c r="JYT134" s="105"/>
      <c r="JYU134" s="105"/>
      <c r="JYV134" s="105"/>
      <c r="JYW134" s="105"/>
      <c r="JYX134" s="105"/>
      <c r="JYY134" s="105"/>
      <c r="JYZ134" s="105"/>
      <c r="JZA134" s="105"/>
      <c r="JZB134" s="105"/>
      <c r="JZC134" s="105"/>
      <c r="JZD134" s="105"/>
      <c r="JZE134" s="105"/>
      <c r="JZF134" s="105"/>
      <c r="JZG134" s="105"/>
      <c r="JZH134" s="105"/>
      <c r="JZI134" s="105"/>
      <c r="JZJ134" s="105"/>
      <c r="JZK134" s="105"/>
      <c r="JZL134" s="105"/>
      <c r="JZM134" s="105"/>
      <c r="JZN134" s="105"/>
      <c r="JZO134" s="105"/>
      <c r="JZP134" s="105"/>
      <c r="JZQ134" s="105"/>
      <c r="JZR134" s="105"/>
      <c r="JZS134" s="105"/>
      <c r="JZT134" s="105"/>
      <c r="JZU134" s="105"/>
      <c r="JZV134" s="105"/>
      <c r="JZW134" s="105"/>
      <c r="JZX134" s="105"/>
      <c r="JZY134" s="105"/>
      <c r="JZZ134" s="105"/>
      <c r="KAA134" s="105"/>
      <c r="KAB134" s="105"/>
      <c r="KAC134" s="105"/>
      <c r="KAD134" s="105"/>
      <c r="KAE134" s="105"/>
      <c r="KAF134" s="105"/>
      <c r="KAG134" s="105"/>
      <c r="KAH134" s="105"/>
      <c r="KAI134" s="105"/>
      <c r="KAJ134" s="105"/>
      <c r="KAK134" s="105"/>
      <c r="KAL134" s="105"/>
      <c r="KAM134" s="105"/>
      <c r="KAN134" s="105"/>
      <c r="KAO134" s="105"/>
      <c r="KAP134" s="105"/>
      <c r="KAQ134" s="105"/>
      <c r="KAR134" s="105"/>
      <c r="KAS134" s="105"/>
      <c r="KAT134" s="105"/>
      <c r="KAU134" s="105"/>
      <c r="KAV134" s="105"/>
      <c r="KAW134" s="105"/>
      <c r="KAX134" s="105"/>
      <c r="KAY134" s="105"/>
      <c r="KAZ134" s="105"/>
      <c r="KBA134" s="105"/>
      <c r="KBB134" s="105"/>
      <c r="KBC134" s="105"/>
      <c r="KBD134" s="105"/>
      <c r="KBE134" s="105"/>
      <c r="KBF134" s="105"/>
      <c r="KBG134" s="105"/>
      <c r="KBH134" s="105"/>
      <c r="KBI134" s="105"/>
      <c r="KBJ134" s="105"/>
      <c r="KBK134" s="105"/>
      <c r="KBL134" s="105"/>
      <c r="KBM134" s="105"/>
      <c r="KBN134" s="105"/>
      <c r="KBO134" s="105"/>
      <c r="KBP134" s="105"/>
      <c r="KBQ134" s="105"/>
      <c r="KBR134" s="105"/>
      <c r="KBS134" s="105"/>
      <c r="KBT134" s="105"/>
      <c r="KBU134" s="105"/>
      <c r="KBV134" s="105"/>
      <c r="KBW134" s="105"/>
      <c r="KBX134" s="105"/>
      <c r="KBY134" s="105"/>
      <c r="KBZ134" s="105"/>
      <c r="KCA134" s="105"/>
      <c r="KCB134" s="105"/>
      <c r="KCC134" s="105"/>
      <c r="KCD134" s="105"/>
      <c r="KCE134" s="105"/>
      <c r="KCF134" s="105"/>
      <c r="KCG134" s="105"/>
      <c r="KCH134" s="105"/>
      <c r="KCI134" s="105"/>
      <c r="KCJ134" s="105"/>
      <c r="KCK134" s="105"/>
      <c r="KCL134" s="105"/>
      <c r="KCM134" s="105"/>
      <c r="KCN134" s="105"/>
      <c r="KCO134" s="105"/>
      <c r="KCP134" s="105"/>
      <c r="KCQ134" s="105"/>
      <c r="KCR134" s="105"/>
      <c r="KCS134" s="105"/>
      <c r="KCT134" s="105"/>
      <c r="KCU134" s="105"/>
      <c r="KCV134" s="105"/>
      <c r="KCW134" s="105"/>
      <c r="KCX134" s="105"/>
      <c r="KCY134" s="105"/>
      <c r="KCZ134" s="105"/>
      <c r="KDA134" s="105"/>
      <c r="KDB134" s="105"/>
      <c r="KDC134" s="105"/>
      <c r="KDD134" s="105"/>
      <c r="KDE134" s="105"/>
      <c r="KDF134" s="105"/>
      <c r="KDG134" s="105"/>
      <c r="KDH134" s="105"/>
      <c r="KDI134" s="105"/>
      <c r="KDJ134" s="105"/>
      <c r="KDK134" s="105"/>
      <c r="KDL134" s="105"/>
      <c r="KDM134" s="105"/>
      <c r="KDN134" s="105"/>
      <c r="KDO134" s="105"/>
      <c r="KDP134" s="105"/>
      <c r="KDQ134" s="105"/>
      <c r="KDR134" s="105"/>
      <c r="KDS134" s="105"/>
      <c r="KDT134" s="105"/>
      <c r="KDU134" s="105"/>
      <c r="KDV134" s="105"/>
      <c r="KDW134" s="105"/>
      <c r="KDX134" s="105"/>
      <c r="KDY134" s="105"/>
      <c r="KDZ134" s="105"/>
      <c r="KEA134" s="105"/>
      <c r="KEB134" s="105"/>
      <c r="KEC134" s="105"/>
      <c r="KED134" s="105"/>
      <c r="KEE134" s="105"/>
      <c r="KEF134" s="105"/>
      <c r="KEG134" s="105"/>
      <c r="KEH134" s="105"/>
      <c r="KEI134" s="105"/>
      <c r="KEJ134" s="105"/>
      <c r="KEK134" s="105"/>
      <c r="KEL134" s="105"/>
      <c r="KEM134" s="105"/>
      <c r="KEN134" s="105"/>
      <c r="KEO134" s="105"/>
      <c r="KEP134" s="105"/>
      <c r="KEQ134" s="105"/>
      <c r="KER134" s="105"/>
      <c r="KES134" s="105"/>
      <c r="KET134" s="105"/>
      <c r="KEU134" s="105"/>
      <c r="KEV134" s="105"/>
      <c r="KEW134" s="105"/>
      <c r="KEX134" s="105"/>
      <c r="KEY134" s="105"/>
      <c r="KEZ134" s="105"/>
      <c r="KFA134" s="105"/>
      <c r="KFB134" s="105"/>
      <c r="KFC134" s="105"/>
      <c r="KFD134" s="105"/>
      <c r="KFE134" s="105"/>
      <c r="KFF134" s="105"/>
      <c r="KFG134" s="105"/>
      <c r="KFH134" s="105"/>
      <c r="KFI134" s="105"/>
      <c r="KFJ134" s="105"/>
      <c r="KFK134" s="105"/>
      <c r="KFL134" s="105"/>
      <c r="KFM134" s="105"/>
      <c r="KFN134" s="105"/>
      <c r="KFO134" s="105"/>
      <c r="KFP134" s="105"/>
      <c r="KFQ134" s="105"/>
      <c r="KFR134" s="105"/>
      <c r="KFS134" s="105"/>
      <c r="KFT134" s="105"/>
      <c r="KFU134" s="105"/>
      <c r="KFV134" s="105"/>
      <c r="KFW134" s="105"/>
      <c r="KFX134" s="105"/>
      <c r="KFY134" s="105"/>
      <c r="KFZ134" s="105"/>
      <c r="KGA134" s="105"/>
      <c r="KGB134" s="105"/>
      <c r="KGC134" s="105"/>
      <c r="KGD134" s="105"/>
      <c r="KGE134" s="105"/>
      <c r="KGF134" s="105"/>
      <c r="KGG134" s="105"/>
      <c r="KGH134" s="105"/>
      <c r="KGI134" s="105"/>
      <c r="KGJ134" s="105"/>
      <c r="KGK134" s="105"/>
      <c r="KGL134" s="105"/>
      <c r="KGM134" s="105"/>
      <c r="KGN134" s="105"/>
      <c r="KGO134" s="105"/>
      <c r="KGP134" s="105"/>
      <c r="KGQ134" s="105"/>
      <c r="KGR134" s="105"/>
      <c r="KGS134" s="105"/>
      <c r="KGT134" s="105"/>
      <c r="KGU134" s="105"/>
      <c r="KGV134" s="105"/>
      <c r="KGW134" s="105"/>
      <c r="KGX134" s="105"/>
      <c r="KGY134" s="105"/>
      <c r="KGZ134" s="105"/>
      <c r="KHA134" s="105"/>
      <c r="KHB134" s="105"/>
      <c r="KHC134" s="105"/>
      <c r="KHD134" s="105"/>
      <c r="KHE134" s="105"/>
      <c r="KHF134" s="105"/>
      <c r="KHG134" s="105"/>
      <c r="KHH134" s="105"/>
      <c r="KHI134" s="105"/>
      <c r="KHJ134" s="105"/>
      <c r="KHK134" s="105"/>
      <c r="KHL134" s="105"/>
      <c r="KHM134" s="105"/>
      <c r="KHN134" s="105"/>
      <c r="KHO134" s="105"/>
      <c r="KHP134" s="105"/>
      <c r="KHQ134" s="105"/>
      <c r="KHR134" s="105"/>
      <c r="KHS134" s="105"/>
      <c r="KHT134" s="105"/>
      <c r="KHU134" s="105"/>
      <c r="KHV134" s="105"/>
      <c r="KHW134" s="105"/>
      <c r="KHX134" s="105"/>
      <c r="KHY134" s="105"/>
      <c r="KHZ134" s="105"/>
      <c r="KIA134" s="105"/>
      <c r="KIB134" s="105"/>
      <c r="KIC134" s="105"/>
      <c r="KID134" s="105"/>
      <c r="KIE134" s="105"/>
      <c r="KIF134" s="105"/>
      <c r="KIG134" s="105"/>
      <c r="KIH134" s="105"/>
      <c r="KII134" s="105"/>
      <c r="KIJ134" s="105"/>
      <c r="KIK134" s="105"/>
      <c r="KIL134" s="105"/>
      <c r="KIM134" s="105"/>
      <c r="KIN134" s="105"/>
      <c r="KIO134" s="105"/>
      <c r="KIP134" s="105"/>
      <c r="KIQ134" s="105"/>
      <c r="KIR134" s="105"/>
      <c r="KIS134" s="105"/>
      <c r="KIT134" s="105"/>
      <c r="KIU134" s="105"/>
      <c r="KIV134" s="105"/>
      <c r="KIW134" s="105"/>
      <c r="KIX134" s="105"/>
      <c r="KIY134" s="105"/>
      <c r="KIZ134" s="105"/>
      <c r="KJA134" s="105"/>
      <c r="KJB134" s="105"/>
      <c r="KJC134" s="105"/>
      <c r="KJD134" s="105"/>
      <c r="KJE134" s="105"/>
      <c r="KJF134" s="105"/>
      <c r="KJG134" s="105"/>
      <c r="KJH134" s="105"/>
      <c r="KJI134" s="105"/>
      <c r="KJJ134" s="105"/>
      <c r="KJK134" s="105"/>
      <c r="KJL134" s="105"/>
      <c r="KJM134" s="105"/>
      <c r="KJN134" s="105"/>
      <c r="KJO134" s="105"/>
      <c r="KJP134" s="105"/>
      <c r="KJQ134" s="105"/>
      <c r="KJR134" s="105"/>
      <c r="KJS134" s="105"/>
      <c r="KJT134" s="105"/>
      <c r="KJU134" s="105"/>
      <c r="KJV134" s="105"/>
      <c r="KJW134" s="105"/>
      <c r="KJX134" s="105"/>
      <c r="KJY134" s="105"/>
      <c r="KJZ134" s="105"/>
      <c r="KKA134" s="105"/>
      <c r="KKB134" s="105"/>
      <c r="KKC134" s="105"/>
      <c r="KKD134" s="105"/>
      <c r="KKE134" s="105"/>
      <c r="KKF134" s="105"/>
      <c r="KKG134" s="105"/>
      <c r="KKH134" s="105"/>
      <c r="KKI134" s="105"/>
      <c r="KKJ134" s="105"/>
      <c r="KKK134" s="105"/>
      <c r="KKL134" s="105"/>
      <c r="KKM134" s="105"/>
      <c r="KKN134" s="105"/>
      <c r="KKO134" s="105"/>
      <c r="KKP134" s="105"/>
      <c r="KKQ134" s="105"/>
      <c r="KKR134" s="105"/>
      <c r="KKS134" s="105"/>
      <c r="KKT134" s="105"/>
      <c r="KKU134" s="105"/>
      <c r="KKV134" s="105"/>
      <c r="KKW134" s="105"/>
      <c r="KKX134" s="105"/>
      <c r="KKY134" s="105"/>
      <c r="KKZ134" s="105"/>
      <c r="KLA134" s="105"/>
      <c r="KLB134" s="105"/>
      <c r="KLC134" s="105"/>
      <c r="KLD134" s="105"/>
      <c r="KLE134" s="105"/>
      <c r="KLF134" s="105"/>
      <c r="KLG134" s="105"/>
      <c r="KLH134" s="105"/>
      <c r="KLI134" s="105"/>
      <c r="KLJ134" s="105"/>
      <c r="KLK134" s="105"/>
      <c r="KLL134" s="105"/>
      <c r="KLM134" s="105"/>
      <c r="KLN134" s="105"/>
      <c r="KLO134" s="105"/>
      <c r="KLP134" s="105"/>
      <c r="KLQ134" s="105"/>
      <c r="KLR134" s="105"/>
      <c r="KLS134" s="105"/>
      <c r="KLT134" s="105"/>
      <c r="KLU134" s="105"/>
      <c r="KLV134" s="105"/>
      <c r="KLW134" s="105"/>
      <c r="KLX134" s="105"/>
      <c r="KLY134" s="105"/>
      <c r="KLZ134" s="105"/>
      <c r="KMA134" s="105"/>
      <c r="KMB134" s="105"/>
      <c r="KMC134" s="105"/>
      <c r="KMD134" s="105"/>
      <c r="KME134" s="105"/>
      <c r="KMF134" s="105"/>
      <c r="KMG134" s="105"/>
      <c r="KMH134" s="105"/>
      <c r="KMI134" s="105"/>
      <c r="KMJ134" s="105"/>
      <c r="KMK134" s="105"/>
      <c r="KML134" s="105"/>
      <c r="KMM134" s="105"/>
      <c r="KMN134" s="105"/>
      <c r="KMO134" s="105"/>
      <c r="KMP134" s="105"/>
      <c r="KMQ134" s="105"/>
      <c r="KMR134" s="105"/>
      <c r="KMS134" s="105"/>
      <c r="KMT134" s="105"/>
      <c r="KMU134" s="105"/>
      <c r="KMV134" s="105"/>
      <c r="KMW134" s="105"/>
      <c r="KMX134" s="105"/>
      <c r="KMY134" s="105"/>
      <c r="KMZ134" s="105"/>
      <c r="KNA134" s="105"/>
      <c r="KNB134" s="105"/>
      <c r="KNC134" s="105"/>
      <c r="KND134" s="105"/>
      <c r="KNE134" s="105"/>
      <c r="KNF134" s="105"/>
      <c r="KNG134" s="105"/>
      <c r="KNH134" s="105"/>
      <c r="KNI134" s="105"/>
      <c r="KNJ134" s="105"/>
      <c r="KNK134" s="105"/>
      <c r="KNL134" s="105"/>
      <c r="KNM134" s="105"/>
      <c r="KNN134" s="105"/>
      <c r="KNO134" s="105"/>
      <c r="KNP134" s="105"/>
      <c r="KNQ134" s="105"/>
      <c r="KNR134" s="105"/>
      <c r="KNS134" s="105"/>
      <c r="KNT134" s="105"/>
      <c r="KNU134" s="105"/>
      <c r="KNV134" s="105"/>
      <c r="KNW134" s="105"/>
      <c r="KNX134" s="105"/>
      <c r="KNY134" s="105"/>
      <c r="KNZ134" s="105"/>
      <c r="KOA134" s="105"/>
      <c r="KOB134" s="105"/>
      <c r="KOC134" s="105"/>
      <c r="KOD134" s="105"/>
      <c r="KOE134" s="105"/>
      <c r="KOF134" s="105"/>
      <c r="KOG134" s="105"/>
      <c r="KOH134" s="105"/>
      <c r="KOI134" s="105"/>
      <c r="KOJ134" s="105"/>
      <c r="KOK134" s="105"/>
      <c r="KOL134" s="105"/>
      <c r="KOM134" s="105"/>
      <c r="KON134" s="105"/>
      <c r="KOO134" s="105"/>
      <c r="KOP134" s="105"/>
      <c r="KOQ134" s="105"/>
      <c r="KOR134" s="105"/>
      <c r="KOS134" s="105"/>
      <c r="KOT134" s="105"/>
      <c r="KOU134" s="105"/>
      <c r="KOV134" s="105"/>
      <c r="KOW134" s="105"/>
      <c r="KOX134" s="105"/>
      <c r="KOY134" s="105"/>
      <c r="KOZ134" s="105"/>
      <c r="KPA134" s="105"/>
      <c r="KPB134" s="105"/>
      <c r="KPC134" s="105"/>
      <c r="KPD134" s="105"/>
      <c r="KPE134" s="105"/>
      <c r="KPF134" s="105"/>
      <c r="KPG134" s="105"/>
      <c r="KPH134" s="105"/>
      <c r="KPI134" s="105"/>
      <c r="KPJ134" s="105"/>
      <c r="KPK134" s="105"/>
      <c r="KPL134" s="105"/>
      <c r="KPM134" s="105"/>
      <c r="KPN134" s="105"/>
      <c r="KPO134" s="105"/>
      <c r="KPP134" s="105"/>
      <c r="KPQ134" s="105"/>
      <c r="KPR134" s="105"/>
      <c r="KPS134" s="105"/>
      <c r="KPT134" s="105"/>
      <c r="KPU134" s="105"/>
      <c r="KPV134" s="105"/>
      <c r="KPW134" s="105"/>
      <c r="KPX134" s="105"/>
      <c r="KPY134" s="105"/>
      <c r="KPZ134" s="105"/>
      <c r="KQA134" s="105"/>
      <c r="KQB134" s="105"/>
      <c r="KQC134" s="105"/>
      <c r="KQD134" s="105"/>
      <c r="KQE134" s="105"/>
      <c r="KQF134" s="105"/>
      <c r="KQG134" s="105"/>
      <c r="KQH134" s="105"/>
      <c r="KQI134" s="105"/>
      <c r="KQJ134" s="105"/>
      <c r="KQK134" s="105"/>
      <c r="KQL134" s="105"/>
      <c r="KQM134" s="105"/>
      <c r="KQN134" s="105"/>
      <c r="KQO134" s="105"/>
      <c r="KQP134" s="105"/>
      <c r="KQQ134" s="105"/>
      <c r="KQR134" s="105"/>
      <c r="KQS134" s="105"/>
      <c r="KQT134" s="105"/>
      <c r="KQU134" s="105"/>
      <c r="KQV134" s="105"/>
      <c r="KQW134" s="105"/>
      <c r="KQX134" s="105"/>
      <c r="KQY134" s="105"/>
      <c r="KQZ134" s="105"/>
      <c r="KRA134" s="105"/>
      <c r="KRB134" s="105"/>
      <c r="KRC134" s="105"/>
      <c r="KRD134" s="105"/>
      <c r="KRE134" s="105"/>
      <c r="KRF134" s="105"/>
      <c r="KRG134" s="105"/>
      <c r="KRH134" s="105"/>
      <c r="KRI134" s="105"/>
      <c r="KRJ134" s="105"/>
      <c r="KRK134" s="105"/>
      <c r="KRL134" s="105"/>
      <c r="KRM134" s="105"/>
      <c r="KRN134" s="105"/>
      <c r="KRO134" s="105"/>
      <c r="KRP134" s="105"/>
      <c r="KRQ134" s="105"/>
      <c r="KRR134" s="105"/>
      <c r="KRS134" s="105"/>
      <c r="KRT134" s="105"/>
      <c r="KRU134" s="105"/>
      <c r="KRV134" s="105"/>
      <c r="KRW134" s="105"/>
      <c r="KRX134" s="105"/>
      <c r="KRY134" s="105"/>
      <c r="KRZ134" s="105"/>
      <c r="KSA134" s="105"/>
      <c r="KSB134" s="105"/>
      <c r="KSC134" s="105"/>
      <c r="KSD134" s="105"/>
      <c r="KSE134" s="105"/>
      <c r="KSF134" s="105"/>
      <c r="KSG134" s="105"/>
      <c r="KSH134" s="105"/>
      <c r="KSI134" s="105"/>
      <c r="KSJ134" s="105"/>
      <c r="KSK134" s="105"/>
      <c r="KSL134" s="105"/>
      <c r="KSM134" s="105"/>
      <c r="KSN134" s="105"/>
      <c r="KSO134" s="105"/>
      <c r="KSP134" s="105"/>
      <c r="KSQ134" s="105"/>
      <c r="KSR134" s="105"/>
      <c r="KSS134" s="105"/>
      <c r="KST134" s="105"/>
      <c r="KSU134" s="105"/>
      <c r="KSV134" s="105"/>
      <c r="KSW134" s="105"/>
      <c r="KSX134" s="105"/>
      <c r="KSY134" s="105"/>
      <c r="KSZ134" s="105"/>
      <c r="KTA134" s="105"/>
      <c r="KTB134" s="105"/>
      <c r="KTC134" s="105"/>
      <c r="KTD134" s="105"/>
      <c r="KTE134" s="105"/>
      <c r="KTF134" s="105"/>
      <c r="KTG134" s="105"/>
      <c r="KTH134" s="105"/>
      <c r="KTI134" s="105"/>
      <c r="KTJ134" s="105"/>
      <c r="KTK134" s="105"/>
      <c r="KTL134" s="105"/>
      <c r="KTM134" s="105"/>
      <c r="KTN134" s="105"/>
      <c r="KTO134" s="105"/>
      <c r="KTP134" s="105"/>
      <c r="KTQ134" s="105"/>
      <c r="KTR134" s="105"/>
      <c r="KTS134" s="105"/>
      <c r="KTT134" s="105"/>
      <c r="KTU134" s="105"/>
      <c r="KTV134" s="105"/>
      <c r="KTW134" s="105"/>
      <c r="KTX134" s="105"/>
      <c r="KTY134" s="105"/>
      <c r="KTZ134" s="105"/>
      <c r="KUA134" s="105"/>
      <c r="KUB134" s="105"/>
      <c r="KUC134" s="105"/>
      <c r="KUD134" s="105"/>
      <c r="KUE134" s="105"/>
      <c r="KUF134" s="105"/>
      <c r="KUG134" s="105"/>
      <c r="KUH134" s="105"/>
      <c r="KUI134" s="105"/>
      <c r="KUJ134" s="105"/>
      <c r="KUK134" s="105"/>
      <c r="KUL134" s="105"/>
      <c r="KUM134" s="105"/>
      <c r="KUN134" s="105"/>
      <c r="KUO134" s="105"/>
      <c r="KUP134" s="105"/>
      <c r="KUQ134" s="105"/>
      <c r="KUR134" s="105"/>
      <c r="KUS134" s="105"/>
      <c r="KUT134" s="105"/>
      <c r="KUU134" s="105"/>
      <c r="KUV134" s="105"/>
      <c r="KUW134" s="105"/>
      <c r="KUX134" s="105"/>
      <c r="KUY134" s="105"/>
      <c r="KUZ134" s="105"/>
      <c r="KVA134" s="105"/>
      <c r="KVB134" s="105"/>
      <c r="KVC134" s="105"/>
      <c r="KVD134" s="105"/>
      <c r="KVE134" s="105"/>
      <c r="KVF134" s="105"/>
      <c r="KVG134" s="105"/>
      <c r="KVH134" s="105"/>
      <c r="KVI134" s="105"/>
      <c r="KVJ134" s="105"/>
      <c r="KVK134" s="105"/>
      <c r="KVL134" s="105"/>
      <c r="KVM134" s="105"/>
      <c r="KVN134" s="105"/>
      <c r="KVO134" s="105"/>
      <c r="KVP134" s="105"/>
      <c r="KVQ134" s="105"/>
      <c r="KVR134" s="105"/>
      <c r="KVS134" s="105"/>
      <c r="KVT134" s="105"/>
      <c r="KVU134" s="105"/>
      <c r="KVV134" s="105"/>
      <c r="KVW134" s="105"/>
      <c r="KVX134" s="105"/>
      <c r="KVY134" s="105"/>
      <c r="KVZ134" s="105"/>
      <c r="KWA134" s="105"/>
      <c r="KWB134" s="105"/>
      <c r="KWC134" s="105"/>
      <c r="KWD134" s="105"/>
      <c r="KWE134" s="105"/>
      <c r="KWF134" s="105"/>
      <c r="KWG134" s="105"/>
      <c r="KWH134" s="105"/>
      <c r="KWI134" s="105"/>
      <c r="KWJ134" s="105"/>
      <c r="KWK134" s="105"/>
      <c r="KWL134" s="105"/>
      <c r="KWM134" s="105"/>
      <c r="KWN134" s="105"/>
      <c r="KWO134" s="105"/>
      <c r="KWP134" s="105"/>
      <c r="KWQ134" s="105"/>
      <c r="KWR134" s="105"/>
      <c r="KWS134" s="105"/>
      <c r="KWT134" s="105"/>
      <c r="KWU134" s="105"/>
      <c r="KWV134" s="105"/>
      <c r="KWW134" s="105"/>
      <c r="KWX134" s="105"/>
      <c r="KWY134" s="105"/>
      <c r="KWZ134" s="105"/>
      <c r="KXA134" s="105"/>
      <c r="KXB134" s="105"/>
      <c r="KXC134" s="105"/>
      <c r="KXD134" s="105"/>
      <c r="KXE134" s="105"/>
      <c r="KXF134" s="105"/>
      <c r="KXG134" s="105"/>
      <c r="KXH134" s="105"/>
      <c r="KXI134" s="105"/>
      <c r="KXJ134" s="105"/>
      <c r="KXK134" s="105"/>
      <c r="KXL134" s="105"/>
      <c r="KXM134" s="105"/>
      <c r="KXN134" s="105"/>
      <c r="KXO134" s="105"/>
      <c r="KXP134" s="105"/>
      <c r="KXQ134" s="105"/>
      <c r="KXR134" s="105"/>
      <c r="KXS134" s="105"/>
      <c r="KXT134" s="105"/>
      <c r="KXU134" s="105"/>
      <c r="KXV134" s="105"/>
      <c r="KXW134" s="105"/>
      <c r="KXX134" s="105"/>
      <c r="KXY134" s="105"/>
      <c r="KXZ134" s="105"/>
      <c r="KYA134" s="105"/>
      <c r="KYB134" s="105"/>
      <c r="KYC134" s="105"/>
      <c r="KYD134" s="105"/>
      <c r="KYE134" s="105"/>
      <c r="KYF134" s="105"/>
      <c r="KYG134" s="105"/>
      <c r="KYH134" s="105"/>
      <c r="KYI134" s="105"/>
      <c r="KYJ134" s="105"/>
      <c r="KYK134" s="105"/>
      <c r="KYL134" s="105"/>
      <c r="KYM134" s="105"/>
      <c r="KYN134" s="105"/>
      <c r="KYO134" s="105"/>
      <c r="KYP134" s="105"/>
      <c r="KYQ134" s="105"/>
      <c r="KYR134" s="105"/>
      <c r="KYS134" s="105"/>
      <c r="KYT134" s="105"/>
      <c r="KYU134" s="105"/>
      <c r="KYV134" s="105"/>
      <c r="KYW134" s="105"/>
      <c r="KYX134" s="105"/>
      <c r="KYY134" s="105"/>
      <c r="KYZ134" s="105"/>
      <c r="KZA134" s="105"/>
      <c r="KZB134" s="105"/>
      <c r="KZC134" s="105"/>
      <c r="KZD134" s="105"/>
      <c r="KZE134" s="105"/>
      <c r="KZF134" s="105"/>
      <c r="KZG134" s="105"/>
      <c r="KZH134" s="105"/>
      <c r="KZI134" s="105"/>
      <c r="KZJ134" s="105"/>
      <c r="KZK134" s="105"/>
      <c r="KZL134" s="105"/>
      <c r="KZM134" s="105"/>
      <c r="KZN134" s="105"/>
      <c r="KZO134" s="105"/>
      <c r="KZP134" s="105"/>
      <c r="KZQ134" s="105"/>
      <c r="KZR134" s="105"/>
      <c r="KZS134" s="105"/>
      <c r="KZT134" s="105"/>
      <c r="KZU134" s="105"/>
      <c r="KZV134" s="105"/>
      <c r="KZW134" s="105"/>
      <c r="KZX134" s="105"/>
      <c r="KZY134" s="105"/>
      <c r="KZZ134" s="105"/>
      <c r="LAA134" s="105"/>
      <c r="LAB134" s="105"/>
      <c r="LAC134" s="105"/>
      <c r="LAD134" s="105"/>
      <c r="LAE134" s="105"/>
      <c r="LAF134" s="105"/>
      <c r="LAG134" s="105"/>
      <c r="LAH134" s="105"/>
      <c r="LAI134" s="105"/>
      <c r="LAJ134" s="105"/>
      <c r="LAK134" s="105"/>
      <c r="LAL134" s="105"/>
      <c r="LAM134" s="105"/>
      <c r="LAN134" s="105"/>
      <c r="LAO134" s="105"/>
      <c r="LAP134" s="105"/>
      <c r="LAQ134" s="105"/>
      <c r="LAR134" s="105"/>
      <c r="LAS134" s="105"/>
      <c r="LAT134" s="105"/>
      <c r="LAU134" s="105"/>
      <c r="LAV134" s="105"/>
      <c r="LAW134" s="105"/>
      <c r="LAX134" s="105"/>
      <c r="LAY134" s="105"/>
      <c r="LAZ134" s="105"/>
      <c r="LBA134" s="105"/>
      <c r="LBB134" s="105"/>
      <c r="LBC134" s="105"/>
      <c r="LBD134" s="105"/>
      <c r="LBE134" s="105"/>
      <c r="LBF134" s="105"/>
      <c r="LBG134" s="105"/>
      <c r="LBH134" s="105"/>
      <c r="LBI134" s="105"/>
      <c r="LBJ134" s="105"/>
      <c r="LBK134" s="105"/>
      <c r="LBL134" s="105"/>
      <c r="LBM134" s="105"/>
      <c r="LBN134" s="105"/>
      <c r="LBO134" s="105"/>
      <c r="LBP134" s="105"/>
      <c r="LBQ134" s="105"/>
      <c r="LBR134" s="105"/>
      <c r="LBS134" s="105"/>
      <c r="LBT134" s="105"/>
      <c r="LBU134" s="105"/>
      <c r="LBV134" s="105"/>
      <c r="LBW134" s="105"/>
      <c r="LBX134" s="105"/>
      <c r="LBY134" s="105"/>
      <c r="LBZ134" s="105"/>
      <c r="LCA134" s="105"/>
      <c r="LCB134" s="105"/>
      <c r="LCC134" s="105"/>
      <c r="LCD134" s="105"/>
      <c r="LCE134" s="105"/>
      <c r="LCF134" s="105"/>
      <c r="LCG134" s="105"/>
      <c r="LCH134" s="105"/>
      <c r="LCI134" s="105"/>
      <c r="LCJ134" s="105"/>
      <c r="LCK134" s="105"/>
      <c r="LCL134" s="105"/>
      <c r="LCM134" s="105"/>
      <c r="LCN134" s="105"/>
      <c r="LCO134" s="105"/>
      <c r="LCP134" s="105"/>
      <c r="LCQ134" s="105"/>
      <c r="LCR134" s="105"/>
      <c r="LCS134" s="105"/>
      <c r="LCT134" s="105"/>
      <c r="LCU134" s="105"/>
      <c r="LCV134" s="105"/>
      <c r="LCW134" s="105"/>
      <c r="LCX134" s="105"/>
      <c r="LCY134" s="105"/>
      <c r="LCZ134" s="105"/>
      <c r="LDA134" s="105"/>
      <c r="LDB134" s="105"/>
      <c r="LDC134" s="105"/>
      <c r="LDD134" s="105"/>
      <c r="LDE134" s="105"/>
      <c r="LDF134" s="105"/>
      <c r="LDG134" s="105"/>
      <c r="LDH134" s="105"/>
      <c r="LDI134" s="105"/>
      <c r="LDJ134" s="105"/>
      <c r="LDK134" s="105"/>
      <c r="LDL134" s="105"/>
      <c r="LDM134" s="105"/>
      <c r="LDN134" s="105"/>
      <c r="LDO134" s="105"/>
      <c r="LDP134" s="105"/>
      <c r="LDQ134" s="105"/>
      <c r="LDR134" s="105"/>
      <c r="LDS134" s="105"/>
      <c r="LDT134" s="105"/>
      <c r="LDU134" s="105"/>
      <c r="LDV134" s="105"/>
      <c r="LDW134" s="105"/>
      <c r="LDX134" s="105"/>
      <c r="LDY134" s="105"/>
      <c r="LDZ134" s="105"/>
      <c r="LEA134" s="105"/>
      <c r="LEB134" s="105"/>
      <c r="LEC134" s="105"/>
      <c r="LED134" s="105"/>
      <c r="LEE134" s="105"/>
      <c r="LEF134" s="105"/>
      <c r="LEG134" s="105"/>
      <c r="LEH134" s="105"/>
      <c r="LEI134" s="105"/>
      <c r="LEJ134" s="105"/>
      <c r="LEK134" s="105"/>
      <c r="LEL134" s="105"/>
      <c r="LEM134" s="105"/>
      <c r="LEN134" s="105"/>
      <c r="LEO134" s="105"/>
      <c r="LEP134" s="105"/>
      <c r="LEQ134" s="105"/>
      <c r="LER134" s="105"/>
      <c r="LES134" s="105"/>
      <c r="LET134" s="105"/>
      <c r="LEU134" s="105"/>
      <c r="LEV134" s="105"/>
      <c r="LEW134" s="105"/>
      <c r="LEX134" s="105"/>
      <c r="LEY134" s="105"/>
      <c r="LEZ134" s="105"/>
      <c r="LFA134" s="105"/>
      <c r="LFB134" s="105"/>
      <c r="LFC134" s="105"/>
      <c r="LFD134" s="105"/>
      <c r="LFE134" s="105"/>
      <c r="LFF134" s="105"/>
      <c r="LFG134" s="105"/>
      <c r="LFH134" s="105"/>
      <c r="LFI134" s="105"/>
      <c r="LFJ134" s="105"/>
      <c r="LFK134" s="105"/>
      <c r="LFL134" s="105"/>
      <c r="LFM134" s="105"/>
      <c r="LFN134" s="105"/>
      <c r="LFO134" s="105"/>
      <c r="LFP134" s="105"/>
      <c r="LFQ134" s="105"/>
      <c r="LFR134" s="105"/>
      <c r="LFS134" s="105"/>
      <c r="LFT134" s="105"/>
      <c r="LFU134" s="105"/>
      <c r="LFV134" s="105"/>
      <c r="LFW134" s="105"/>
      <c r="LFX134" s="105"/>
      <c r="LFY134" s="105"/>
      <c r="LFZ134" s="105"/>
      <c r="LGA134" s="105"/>
      <c r="LGB134" s="105"/>
      <c r="LGC134" s="105"/>
      <c r="LGD134" s="105"/>
      <c r="LGE134" s="105"/>
      <c r="LGF134" s="105"/>
      <c r="LGG134" s="105"/>
      <c r="LGH134" s="105"/>
      <c r="LGI134" s="105"/>
      <c r="LGJ134" s="105"/>
      <c r="LGK134" s="105"/>
      <c r="LGL134" s="105"/>
      <c r="LGM134" s="105"/>
      <c r="LGN134" s="105"/>
      <c r="LGO134" s="105"/>
      <c r="LGP134" s="105"/>
      <c r="LGQ134" s="105"/>
      <c r="LGR134" s="105"/>
      <c r="LGS134" s="105"/>
      <c r="LGT134" s="105"/>
      <c r="LGU134" s="105"/>
      <c r="LGV134" s="105"/>
      <c r="LGW134" s="105"/>
      <c r="LGX134" s="105"/>
      <c r="LGY134" s="105"/>
      <c r="LGZ134" s="105"/>
      <c r="LHA134" s="105"/>
      <c r="LHB134" s="105"/>
      <c r="LHC134" s="105"/>
      <c r="LHD134" s="105"/>
      <c r="LHE134" s="105"/>
      <c r="LHF134" s="105"/>
      <c r="LHG134" s="105"/>
      <c r="LHH134" s="105"/>
      <c r="LHI134" s="105"/>
      <c r="LHJ134" s="105"/>
      <c r="LHK134" s="105"/>
      <c r="LHL134" s="105"/>
      <c r="LHM134" s="105"/>
      <c r="LHN134" s="105"/>
      <c r="LHO134" s="105"/>
      <c r="LHP134" s="105"/>
      <c r="LHQ134" s="105"/>
      <c r="LHR134" s="105"/>
      <c r="LHS134" s="105"/>
      <c r="LHT134" s="105"/>
      <c r="LHU134" s="105"/>
      <c r="LHV134" s="105"/>
      <c r="LHW134" s="105"/>
      <c r="LHX134" s="105"/>
      <c r="LHY134" s="105"/>
      <c r="LHZ134" s="105"/>
      <c r="LIA134" s="105"/>
      <c r="LIB134" s="105"/>
      <c r="LIC134" s="105"/>
      <c r="LID134" s="105"/>
      <c r="LIE134" s="105"/>
      <c r="LIF134" s="105"/>
      <c r="LIG134" s="105"/>
      <c r="LIH134" s="105"/>
      <c r="LII134" s="105"/>
      <c r="LIJ134" s="105"/>
      <c r="LIK134" s="105"/>
      <c r="LIL134" s="105"/>
      <c r="LIM134" s="105"/>
      <c r="LIN134" s="105"/>
      <c r="LIO134" s="105"/>
      <c r="LIP134" s="105"/>
      <c r="LIQ134" s="105"/>
      <c r="LIR134" s="105"/>
      <c r="LIS134" s="105"/>
      <c r="LIT134" s="105"/>
      <c r="LIU134" s="105"/>
      <c r="LIV134" s="105"/>
      <c r="LIW134" s="105"/>
      <c r="LIX134" s="105"/>
      <c r="LIY134" s="105"/>
      <c r="LIZ134" s="105"/>
      <c r="LJA134" s="105"/>
      <c r="LJB134" s="105"/>
      <c r="LJC134" s="105"/>
      <c r="LJD134" s="105"/>
      <c r="LJE134" s="105"/>
      <c r="LJF134" s="105"/>
      <c r="LJG134" s="105"/>
      <c r="LJH134" s="105"/>
      <c r="LJI134" s="105"/>
      <c r="LJJ134" s="105"/>
      <c r="LJK134" s="105"/>
      <c r="LJL134" s="105"/>
      <c r="LJM134" s="105"/>
      <c r="LJN134" s="105"/>
      <c r="LJO134" s="105"/>
      <c r="LJP134" s="105"/>
      <c r="LJQ134" s="105"/>
      <c r="LJR134" s="105"/>
      <c r="LJS134" s="105"/>
      <c r="LJT134" s="105"/>
      <c r="LJU134" s="105"/>
      <c r="LJV134" s="105"/>
      <c r="LJW134" s="105"/>
      <c r="LJX134" s="105"/>
      <c r="LJY134" s="105"/>
      <c r="LJZ134" s="105"/>
      <c r="LKA134" s="105"/>
      <c r="LKB134" s="105"/>
      <c r="LKC134" s="105"/>
      <c r="LKD134" s="105"/>
      <c r="LKE134" s="105"/>
      <c r="LKF134" s="105"/>
      <c r="LKG134" s="105"/>
      <c r="LKH134" s="105"/>
      <c r="LKI134" s="105"/>
      <c r="LKJ134" s="105"/>
      <c r="LKK134" s="105"/>
      <c r="LKL134" s="105"/>
      <c r="LKM134" s="105"/>
      <c r="LKN134" s="105"/>
      <c r="LKO134" s="105"/>
      <c r="LKP134" s="105"/>
      <c r="LKQ134" s="105"/>
      <c r="LKR134" s="105"/>
      <c r="LKS134" s="105"/>
      <c r="LKT134" s="105"/>
      <c r="LKU134" s="105"/>
      <c r="LKV134" s="105"/>
      <c r="LKW134" s="105"/>
      <c r="LKX134" s="105"/>
      <c r="LKY134" s="105"/>
      <c r="LKZ134" s="105"/>
      <c r="LLA134" s="105"/>
      <c r="LLB134" s="105"/>
      <c r="LLC134" s="105"/>
      <c r="LLD134" s="105"/>
      <c r="LLE134" s="105"/>
      <c r="LLF134" s="105"/>
      <c r="LLG134" s="105"/>
      <c r="LLH134" s="105"/>
      <c r="LLI134" s="105"/>
      <c r="LLJ134" s="105"/>
      <c r="LLK134" s="105"/>
      <c r="LLL134" s="105"/>
      <c r="LLM134" s="105"/>
      <c r="LLN134" s="105"/>
      <c r="LLO134" s="105"/>
      <c r="LLP134" s="105"/>
      <c r="LLQ134" s="105"/>
      <c r="LLR134" s="105"/>
      <c r="LLS134" s="105"/>
      <c r="LLT134" s="105"/>
      <c r="LLU134" s="105"/>
      <c r="LLV134" s="105"/>
      <c r="LLW134" s="105"/>
      <c r="LLX134" s="105"/>
      <c r="LLY134" s="105"/>
      <c r="LLZ134" s="105"/>
      <c r="LMA134" s="105"/>
      <c r="LMB134" s="105"/>
      <c r="LMC134" s="105"/>
      <c r="LMD134" s="105"/>
      <c r="LME134" s="105"/>
      <c r="LMF134" s="105"/>
      <c r="LMG134" s="105"/>
      <c r="LMH134" s="105"/>
      <c r="LMI134" s="105"/>
      <c r="LMJ134" s="105"/>
      <c r="LMK134" s="105"/>
      <c r="LML134" s="105"/>
      <c r="LMM134" s="105"/>
      <c r="LMN134" s="105"/>
      <c r="LMO134" s="105"/>
      <c r="LMP134" s="105"/>
      <c r="LMQ134" s="105"/>
      <c r="LMR134" s="105"/>
      <c r="LMS134" s="105"/>
      <c r="LMT134" s="105"/>
      <c r="LMU134" s="105"/>
      <c r="LMV134" s="105"/>
      <c r="LMW134" s="105"/>
      <c r="LMX134" s="105"/>
      <c r="LMY134" s="105"/>
      <c r="LMZ134" s="105"/>
      <c r="LNA134" s="105"/>
      <c r="LNB134" s="105"/>
      <c r="LNC134" s="105"/>
      <c r="LND134" s="105"/>
      <c r="LNE134" s="105"/>
      <c r="LNF134" s="105"/>
      <c r="LNG134" s="105"/>
      <c r="LNH134" s="105"/>
      <c r="LNI134" s="105"/>
      <c r="LNJ134" s="105"/>
      <c r="LNK134" s="105"/>
      <c r="LNL134" s="105"/>
      <c r="LNM134" s="105"/>
      <c r="LNN134" s="105"/>
      <c r="LNO134" s="105"/>
      <c r="LNP134" s="105"/>
      <c r="LNQ134" s="105"/>
      <c r="LNR134" s="105"/>
      <c r="LNS134" s="105"/>
      <c r="LNT134" s="105"/>
      <c r="LNU134" s="105"/>
      <c r="LNV134" s="105"/>
      <c r="LNW134" s="105"/>
      <c r="LNX134" s="105"/>
      <c r="LNY134" s="105"/>
      <c r="LNZ134" s="105"/>
      <c r="LOA134" s="105"/>
      <c r="LOB134" s="105"/>
      <c r="LOC134" s="105"/>
      <c r="LOD134" s="105"/>
      <c r="LOE134" s="105"/>
      <c r="LOF134" s="105"/>
      <c r="LOG134" s="105"/>
      <c r="LOH134" s="105"/>
      <c r="LOI134" s="105"/>
      <c r="LOJ134" s="105"/>
      <c r="LOK134" s="105"/>
      <c r="LOL134" s="105"/>
      <c r="LOM134" s="105"/>
      <c r="LON134" s="105"/>
      <c r="LOO134" s="105"/>
      <c r="LOP134" s="105"/>
      <c r="LOQ134" s="105"/>
      <c r="LOR134" s="105"/>
      <c r="LOS134" s="105"/>
      <c r="LOT134" s="105"/>
      <c r="LOU134" s="105"/>
      <c r="LOV134" s="105"/>
      <c r="LOW134" s="105"/>
      <c r="LOX134" s="105"/>
      <c r="LOY134" s="105"/>
      <c r="LOZ134" s="105"/>
      <c r="LPA134" s="105"/>
      <c r="LPB134" s="105"/>
      <c r="LPC134" s="105"/>
      <c r="LPD134" s="105"/>
      <c r="LPE134" s="105"/>
      <c r="LPF134" s="105"/>
      <c r="LPG134" s="105"/>
      <c r="LPH134" s="105"/>
      <c r="LPI134" s="105"/>
      <c r="LPJ134" s="105"/>
      <c r="LPK134" s="105"/>
      <c r="LPL134" s="105"/>
      <c r="LPM134" s="105"/>
      <c r="LPN134" s="105"/>
      <c r="LPO134" s="105"/>
      <c r="LPP134" s="105"/>
      <c r="LPQ134" s="105"/>
      <c r="LPR134" s="105"/>
      <c r="LPS134" s="105"/>
      <c r="LPT134" s="105"/>
      <c r="LPU134" s="105"/>
      <c r="LPV134" s="105"/>
      <c r="LPW134" s="105"/>
      <c r="LPX134" s="105"/>
      <c r="LPY134" s="105"/>
      <c r="LPZ134" s="105"/>
      <c r="LQA134" s="105"/>
      <c r="LQB134" s="105"/>
      <c r="LQC134" s="105"/>
      <c r="LQD134" s="105"/>
      <c r="LQE134" s="105"/>
      <c r="LQF134" s="105"/>
      <c r="LQG134" s="105"/>
      <c r="LQH134" s="105"/>
      <c r="LQI134" s="105"/>
      <c r="LQJ134" s="105"/>
      <c r="LQK134" s="105"/>
      <c r="LQL134" s="105"/>
      <c r="LQM134" s="105"/>
      <c r="LQN134" s="105"/>
      <c r="LQO134" s="105"/>
      <c r="LQP134" s="105"/>
      <c r="LQQ134" s="105"/>
      <c r="LQR134" s="105"/>
      <c r="LQS134" s="105"/>
      <c r="LQT134" s="105"/>
      <c r="LQU134" s="105"/>
      <c r="LQV134" s="105"/>
      <c r="LQW134" s="105"/>
      <c r="LQX134" s="105"/>
      <c r="LQY134" s="105"/>
      <c r="LQZ134" s="105"/>
      <c r="LRA134" s="105"/>
      <c r="LRB134" s="105"/>
      <c r="LRC134" s="105"/>
      <c r="LRD134" s="105"/>
      <c r="LRE134" s="105"/>
      <c r="LRF134" s="105"/>
      <c r="LRG134" s="105"/>
      <c r="LRH134" s="105"/>
      <c r="LRI134" s="105"/>
      <c r="LRJ134" s="105"/>
      <c r="LRK134" s="105"/>
      <c r="LRL134" s="105"/>
      <c r="LRM134" s="105"/>
      <c r="LRN134" s="105"/>
      <c r="LRO134" s="105"/>
      <c r="LRP134" s="105"/>
      <c r="LRQ134" s="105"/>
      <c r="LRR134" s="105"/>
      <c r="LRS134" s="105"/>
      <c r="LRT134" s="105"/>
      <c r="LRU134" s="105"/>
      <c r="LRV134" s="105"/>
      <c r="LRW134" s="105"/>
      <c r="LRX134" s="105"/>
      <c r="LRY134" s="105"/>
      <c r="LRZ134" s="105"/>
      <c r="LSA134" s="105"/>
      <c r="LSB134" s="105"/>
      <c r="LSC134" s="105"/>
      <c r="LSD134" s="105"/>
      <c r="LSE134" s="105"/>
      <c r="LSF134" s="105"/>
      <c r="LSG134" s="105"/>
      <c r="LSH134" s="105"/>
      <c r="LSI134" s="105"/>
      <c r="LSJ134" s="105"/>
      <c r="LSK134" s="105"/>
      <c r="LSL134" s="105"/>
      <c r="LSM134" s="105"/>
      <c r="LSN134" s="105"/>
      <c r="LSO134" s="105"/>
      <c r="LSP134" s="105"/>
      <c r="LSQ134" s="105"/>
      <c r="LSR134" s="105"/>
      <c r="LSS134" s="105"/>
      <c r="LST134" s="105"/>
      <c r="LSU134" s="105"/>
      <c r="LSV134" s="105"/>
      <c r="LSW134" s="105"/>
      <c r="LSX134" s="105"/>
      <c r="LSY134" s="105"/>
      <c r="LSZ134" s="105"/>
      <c r="LTA134" s="105"/>
      <c r="LTB134" s="105"/>
      <c r="LTC134" s="105"/>
      <c r="LTD134" s="105"/>
      <c r="LTE134" s="105"/>
      <c r="LTF134" s="105"/>
      <c r="LTG134" s="105"/>
      <c r="LTH134" s="105"/>
      <c r="LTI134" s="105"/>
      <c r="LTJ134" s="105"/>
      <c r="LTK134" s="105"/>
      <c r="LTL134" s="105"/>
      <c r="LTM134" s="105"/>
      <c r="LTN134" s="105"/>
      <c r="LTO134" s="105"/>
      <c r="LTP134" s="105"/>
      <c r="LTQ134" s="105"/>
      <c r="LTR134" s="105"/>
      <c r="LTS134" s="105"/>
      <c r="LTT134" s="105"/>
      <c r="LTU134" s="105"/>
      <c r="LTV134" s="105"/>
      <c r="LTW134" s="105"/>
      <c r="LTX134" s="105"/>
      <c r="LTY134" s="105"/>
      <c r="LTZ134" s="105"/>
      <c r="LUA134" s="105"/>
      <c r="LUB134" s="105"/>
      <c r="LUC134" s="105"/>
      <c r="LUD134" s="105"/>
      <c r="LUE134" s="105"/>
      <c r="LUF134" s="105"/>
      <c r="LUG134" s="105"/>
      <c r="LUH134" s="105"/>
      <c r="LUI134" s="105"/>
      <c r="LUJ134" s="105"/>
      <c r="LUK134" s="105"/>
      <c r="LUL134" s="105"/>
      <c r="LUM134" s="105"/>
      <c r="LUN134" s="105"/>
      <c r="LUO134" s="105"/>
      <c r="LUP134" s="105"/>
      <c r="LUQ134" s="105"/>
      <c r="LUR134" s="105"/>
      <c r="LUS134" s="105"/>
      <c r="LUT134" s="105"/>
      <c r="LUU134" s="105"/>
      <c r="LUV134" s="105"/>
      <c r="LUW134" s="105"/>
      <c r="LUX134" s="105"/>
      <c r="LUY134" s="105"/>
      <c r="LUZ134" s="105"/>
      <c r="LVA134" s="105"/>
      <c r="LVB134" s="105"/>
      <c r="LVC134" s="105"/>
      <c r="LVD134" s="105"/>
      <c r="LVE134" s="105"/>
      <c r="LVF134" s="105"/>
      <c r="LVG134" s="105"/>
      <c r="LVH134" s="105"/>
      <c r="LVI134" s="105"/>
      <c r="LVJ134" s="105"/>
      <c r="LVK134" s="105"/>
      <c r="LVL134" s="105"/>
      <c r="LVM134" s="105"/>
      <c r="LVN134" s="105"/>
      <c r="LVO134" s="105"/>
      <c r="LVP134" s="105"/>
      <c r="LVQ134" s="105"/>
      <c r="LVR134" s="105"/>
      <c r="LVS134" s="105"/>
      <c r="LVT134" s="105"/>
      <c r="LVU134" s="105"/>
      <c r="LVV134" s="105"/>
      <c r="LVW134" s="105"/>
      <c r="LVX134" s="105"/>
      <c r="LVY134" s="105"/>
      <c r="LVZ134" s="105"/>
      <c r="LWA134" s="105"/>
      <c r="LWB134" s="105"/>
      <c r="LWC134" s="105"/>
      <c r="LWD134" s="105"/>
      <c r="LWE134" s="105"/>
      <c r="LWF134" s="105"/>
      <c r="LWG134" s="105"/>
      <c r="LWH134" s="105"/>
      <c r="LWI134" s="105"/>
      <c r="LWJ134" s="105"/>
      <c r="LWK134" s="105"/>
      <c r="LWL134" s="105"/>
      <c r="LWM134" s="105"/>
      <c r="LWN134" s="105"/>
      <c r="LWO134" s="105"/>
      <c r="LWP134" s="105"/>
      <c r="LWQ134" s="105"/>
      <c r="LWR134" s="105"/>
      <c r="LWS134" s="105"/>
      <c r="LWT134" s="105"/>
      <c r="LWU134" s="105"/>
      <c r="LWV134" s="105"/>
      <c r="LWW134" s="105"/>
      <c r="LWX134" s="105"/>
      <c r="LWY134" s="105"/>
      <c r="LWZ134" s="105"/>
      <c r="LXA134" s="105"/>
      <c r="LXB134" s="105"/>
      <c r="LXC134" s="105"/>
      <c r="LXD134" s="105"/>
      <c r="LXE134" s="105"/>
      <c r="LXF134" s="105"/>
      <c r="LXG134" s="105"/>
      <c r="LXH134" s="105"/>
      <c r="LXI134" s="105"/>
      <c r="LXJ134" s="105"/>
      <c r="LXK134" s="105"/>
      <c r="LXL134" s="105"/>
      <c r="LXM134" s="105"/>
      <c r="LXN134" s="105"/>
      <c r="LXO134" s="105"/>
      <c r="LXP134" s="105"/>
      <c r="LXQ134" s="105"/>
      <c r="LXR134" s="105"/>
      <c r="LXS134" s="105"/>
      <c r="LXT134" s="105"/>
      <c r="LXU134" s="105"/>
      <c r="LXV134" s="105"/>
      <c r="LXW134" s="105"/>
      <c r="LXX134" s="105"/>
      <c r="LXY134" s="105"/>
      <c r="LXZ134" s="105"/>
      <c r="LYA134" s="105"/>
      <c r="LYB134" s="105"/>
      <c r="LYC134" s="105"/>
      <c r="LYD134" s="105"/>
      <c r="LYE134" s="105"/>
      <c r="LYF134" s="105"/>
      <c r="LYG134" s="105"/>
      <c r="LYH134" s="105"/>
      <c r="LYI134" s="105"/>
      <c r="LYJ134" s="105"/>
      <c r="LYK134" s="105"/>
      <c r="LYL134" s="105"/>
      <c r="LYM134" s="105"/>
      <c r="LYN134" s="105"/>
      <c r="LYO134" s="105"/>
      <c r="LYP134" s="105"/>
      <c r="LYQ134" s="105"/>
      <c r="LYR134" s="105"/>
      <c r="LYS134" s="105"/>
      <c r="LYT134" s="105"/>
      <c r="LYU134" s="105"/>
      <c r="LYV134" s="105"/>
      <c r="LYW134" s="105"/>
      <c r="LYX134" s="105"/>
      <c r="LYY134" s="105"/>
      <c r="LYZ134" s="105"/>
      <c r="LZA134" s="105"/>
      <c r="LZB134" s="105"/>
      <c r="LZC134" s="105"/>
      <c r="LZD134" s="105"/>
      <c r="LZE134" s="105"/>
      <c r="LZF134" s="105"/>
      <c r="LZG134" s="105"/>
      <c r="LZH134" s="105"/>
      <c r="LZI134" s="105"/>
      <c r="LZJ134" s="105"/>
      <c r="LZK134" s="105"/>
      <c r="LZL134" s="105"/>
      <c r="LZM134" s="105"/>
      <c r="LZN134" s="105"/>
      <c r="LZO134" s="105"/>
      <c r="LZP134" s="105"/>
      <c r="LZQ134" s="105"/>
      <c r="LZR134" s="105"/>
      <c r="LZS134" s="105"/>
      <c r="LZT134" s="105"/>
      <c r="LZU134" s="105"/>
      <c r="LZV134" s="105"/>
      <c r="LZW134" s="105"/>
      <c r="LZX134" s="105"/>
      <c r="LZY134" s="105"/>
      <c r="LZZ134" s="105"/>
      <c r="MAA134" s="105"/>
      <c r="MAB134" s="105"/>
      <c r="MAC134" s="105"/>
      <c r="MAD134" s="105"/>
      <c r="MAE134" s="105"/>
      <c r="MAF134" s="105"/>
      <c r="MAG134" s="105"/>
      <c r="MAH134" s="105"/>
      <c r="MAI134" s="105"/>
      <c r="MAJ134" s="105"/>
      <c r="MAK134" s="105"/>
      <c r="MAL134" s="105"/>
      <c r="MAM134" s="105"/>
      <c r="MAN134" s="105"/>
      <c r="MAO134" s="105"/>
      <c r="MAP134" s="105"/>
      <c r="MAQ134" s="105"/>
      <c r="MAR134" s="105"/>
      <c r="MAS134" s="105"/>
      <c r="MAT134" s="105"/>
      <c r="MAU134" s="105"/>
      <c r="MAV134" s="105"/>
      <c r="MAW134" s="105"/>
      <c r="MAX134" s="105"/>
      <c r="MAY134" s="105"/>
      <c r="MAZ134" s="105"/>
      <c r="MBA134" s="105"/>
      <c r="MBB134" s="105"/>
      <c r="MBC134" s="105"/>
      <c r="MBD134" s="105"/>
      <c r="MBE134" s="105"/>
      <c r="MBF134" s="105"/>
      <c r="MBG134" s="105"/>
      <c r="MBH134" s="105"/>
      <c r="MBI134" s="105"/>
      <c r="MBJ134" s="105"/>
      <c r="MBK134" s="105"/>
      <c r="MBL134" s="105"/>
      <c r="MBM134" s="105"/>
      <c r="MBN134" s="105"/>
      <c r="MBO134" s="105"/>
      <c r="MBP134" s="105"/>
      <c r="MBQ134" s="105"/>
      <c r="MBR134" s="105"/>
      <c r="MBS134" s="105"/>
      <c r="MBT134" s="105"/>
      <c r="MBU134" s="105"/>
      <c r="MBV134" s="105"/>
      <c r="MBW134" s="105"/>
      <c r="MBX134" s="105"/>
      <c r="MBY134" s="105"/>
      <c r="MBZ134" s="105"/>
      <c r="MCA134" s="105"/>
      <c r="MCB134" s="105"/>
      <c r="MCC134" s="105"/>
      <c r="MCD134" s="105"/>
      <c r="MCE134" s="105"/>
      <c r="MCF134" s="105"/>
      <c r="MCG134" s="105"/>
      <c r="MCH134" s="105"/>
      <c r="MCI134" s="105"/>
      <c r="MCJ134" s="105"/>
      <c r="MCK134" s="105"/>
      <c r="MCL134" s="105"/>
      <c r="MCM134" s="105"/>
      <c r="MCN134" s="105"/>
      <c r="MCO134" s="105"/>
      <c r="MCP134" s="105"/>
      <c r="MCQ134" s="105"/>
      <c r="MCR134" s="105"/>
      <c r="MCS134" s="105"/>
      <c r="MCT134" s="105"/>
      <c r="MCU134" s="105"/>
      <c r="MCV134" s="105"/>
      <c r="MCW134" s="105"/>
      <c r="MCX134" s="105"/>
      <c r="MCY134" s="105"/>
      <c r="MCZ134" s="105"/>
      <c r="MDA134" s="105"/>
      <c r="MDB134" s="105"/>
      <c r="MDC134" s="105"/>
      <c r="MDD134" s="105"/>
      <c r="MDE134" s="105"/>
      <c r="MDF134" s="105"/>
      <c r="MDG134" s="105"/>
      <c r="MDH134" s="105"/>
      <c r="MDI134" s="105"/>
      <c r="MDJ134" s="105"/>
      <c r="MDK134" s="105"/>
      <c r="MDL134" s="105"/>
      <c r="MDM134" s="105"/>
      <c r="MDN134" s="105"/>
      <c r="MDO134" s="105"/>
      <c r="MDP134" s="105"/>
      <c r="MDQ134" s="105"/>
      <c r="MDR134" s="105"/>
      <c r="MDS134" s="105"/>
      <c r="MDT134" s="105"/>
      <c r="MDU134" s="105"/>
      <c r="MDV134" s="105"/>
      <c r="MDW134" s="105"/>
      <c r="MDX134" s="105"/>
      <c r="MDY134" s="105"/>
      <c r="MDZ134" s="105"/>
      <c r="MEA134" s="105"/>
      <c r="MEB134" s="105"/>
      <c r="MEC134" s="105"/>
      <c r="MED134" s="105"/>
      <c r="MEE134" s="105"/>
      <c r="MEF134" s="105"/>
      <c r="MEG134" s="105"/>
      <c r="MEH134" s="105"/>
      <c r="MEI134" s="105"/>
      <c r="MEJ134" s="105"/>
      <c r="MEK134" s="105"/>
      <c r="MEL134" s="105"/>
      <c r="MEM134" s="105"/>
      <c r="MEN134" s="105"/>
      <c r="MEO134" s="105"/>
      <c r="MEP134" s="105"/>
      <c r="MEQ134" s="105"/>
      <c r="MER134" s="105"/>
      <c r="MES134" s="105"/>
      <c r="MET134" s="105"/>
      <c r="MEU134" s="105"/>
      <c r="MEV134" s="105"/>
      <c r="MEW134" s="105"/>
      <c r="MEX134" s="105"/>
      <c r="MEY134" s="105"/>
      <c r="MEZ134" s="105"/>
      <c r="MFA134" s="105"/>
      <c r="MFB134" s="105"/>
      <c r="MFC134" s="105"/>
      <c r="MFD134" s="105"/>
      <c r="MFE134" s="105"/>
      <c r="MFF134" s="105"/>
      <c r="MFG134" s="105"/>
      <c r="MFH134" s="105"/>
      <c r="MFI134" s="105"/>
      <c r="MFJ134" s="105"/>
      <c r="MFK134" s="105"/>
      <c r="MFL134" s="105"/>
      <c r="MFM134" s="105"/>
      <c r="MFN134" s="105"/>
      <c r="MFO134" s="105"/>
      <c r="MFP134" s="105"/>
      <c r="MFQ134" s="105"/>
      <c r="MFR134" s="105"/>
      <c r="MFS134" s="105"/>
      <c r="MFT134" s="105"/>
      <c r="MFU134" s="105"/>
      <c r="MFV134" s="105"/>
      <c r="MFW134" s="105"/>
      <c r="MFX134" s="105"/>
      <c r="MFY134" s="105"/>
      <c r="MFZ134" s="105"/>
      <c r="MGA134" s="105"/>
      <c r="MGB134" s="105"/>
      <c r="MGC134" s="105"/>
      <c r="MGD134" s="105"/>
      <c r="MGE134" s="105"/>
      <c r="MGF134" s="105"/>
      <c r="MGG134" s="105"/>
      <c r="MGH134" s="105"/>
      <c r="MGI134" s="105"/>
      <c r="MGJ134" s="105"/>
      <c r="MGK134" s="105"/>
      <c r="MGL134" s="105"/>
      <c r="MGM134" s="105"/>
      <c r="MGN134" s="105"/>
      <c r="MGO134" s="105"/>
      <c r="MGP134" s="105"/>
      <c r="MGQ134" s="105"/>
      <c r="MGR134" s="105"/>
      <c r="MGS134" s="105"/>
      <c r="MGT134" s="105"/>
      <c r="MGU134" s="105"/>
      <c r="MGV134" s="105"/>
      <c r="MGW134" s="105"/>
      <c r="MGX134" s="105"/>
      <c r="MGY134" s="105"/>
      <c r="MGZ134" s="105"/>
      <c r="MHA134" s="105"/>
      <c r="MHB134" s="105"/>
      <c r="MHC134" s="105"/>
      <c r="MHD134" s="105"/>
      <c r="MHE134" s="105"/>
      <c r="MHF134" s="105"/>
      <c r="MHG134" s="105"/>
      <c r="MHH134" s="105"/>
      <c r="MHI134" s="105"/>
      <c r="MHJ134" s="105"/>
      <c r="MHK134" s="105"/>
      <c r="MHL134" s="105"/>
      <c r="MHM134" s="105"/>
      <c r="MHN134" s="105"/>
      <c r="MHO134" s="105"/>
      <c r="MHP134" s="105"/>
      <c r="MHQ134" s="105"/>
      <c r="MHR134" s="105"/>
      <c r="MHS134" s="105"/>
      <c r="MHT134" s="105"/>
      <c r="MHU134" s="105"/>
      <c r="MHV134" s="105"/>
      <c r="MHW134" s="105"/>
      <c r="MHX134" s="105"/>
      <c r="MHY134" s="105"/>
      <c r="MHZ134" s="105"/>
      <c r="MIA134" s="105"/>
      <c r="MIB134" s="105"/>
      <c r="MIC134" s="105"/>
      <c r="MID134" s="105"/>
      <c r="MIE134" s="105"/>
      <c r="MIF134" s="105"/>
      <c r="MIG134" s="105"/>
      <c r="MIH134" s="105"/>
      <c r="MII134" s="105"/>
      <c r="MIJ134" s="105"/>
      <c r="MIK134" s="105"/>
      <c r="MIL134" s="105"/>
      <c r="MIM134" s="105"/>
      <c r="MIN134" s="105"/>
      <c r="MIO134" s="105"/>
      <c r="MIP134" s="105"/>
      <c r="MIQ134" s="105"/>
      <c r="MIR134" s="105"/>
      <c r="MIS134" s="105"/>
      <c r="MIT134" s="105"/>
      <c r="MIU134" s="105"/>
      <c r="MIV134" s="105"/>
      <c r="MIW134" s="105"/>
      <c r="MIX134" s="105"/>
      <c r="MIY134" s="105"/>
      <c r="MIZ134" s="105"/>
      <c r="MJA134" s="105"/>
      <c r="MJB134" s="105"/>
      <c r="MJC134" s="105"/>
      <c r="MJD134" s="105"/>
      <c r="MJE134" s="105"/>
      <c r="MJF134" s="105"/>
      <c r="MJG134" s="105"/>
      <c r="MJH134" s="105"/>
      <c r="MJI134" s="105"/>
      <c r="MJJ134" s="105"/>
      <c r="MJK134" s="105"/>
      <c r="MJL134" s="105"/>
      <c r="MJM134" s="105"/>
      <c r="MJN134" s="105"/>
      <c r="MJO134" s="105"/>
      <c r="MJP134" s="105"/>
      <c r="MJQ134" s="105"/>
      <c r="MJR134" s="105"/>
      <c r="MJS134" s="105"/>
      <c r="MJT134" s="105"/>
      <c r="MJU134" s="105"/>
      <c r="MJV134" s="105"/>
      <c r="MJW134" s="105"/>
      <c r="MJX134" s="105"/>
      <c r="MJY134" s="105"/>
      <c r="MJZ134" s="105"/>
      <c r="MKA134" s="105"/>
      <c r="MKB134" s="105"/>
      <c r="MKC134" s="105"/>
      <c r="MKD134" s="105"/>
      <c r="MKE134" s="105"/>
      <c r="MKF134" s="105"/>
      <c r="MKG134" s="105"/>
      <c r="MKH134" s="105"/>
      <c r="MKI134" s="105"/>
      <c r="MKJ134" s="105"/>
      <c r="MKK134" s="105"/>
      <c r="MKL134" s="105"/>
      <c r="MKM134" s="105"/>
      <c r="MKN134" s="105"/>
      <c r="MKO134" s="105"/>
      <c r="MKP134" s="105"/>
      <c r="MKQ134" s="105"/>
      <c r="MKR134" s="105"/>
      <c r="MKS134" s="105"/>
      <c r="MKT134" s="105"/>
      <c r="MKU134" s="105"/>
      <c r="MKV134" s="105"/>
      <c r="MKW134" s="105"/>
      <c r="MKX134" s="105"/>
      <c r="MKY134" s="105"/>
      <c r="MKZ134" s="105"/>
      <c r="MLA134" s="105"/>
      <c r="MLB134" s="105"/>
      <c r="MLC134" s="105"/>
      <c r="MLD134" s="105"/>
      <c r="MLE134" s="105"/>
      <c r="MLF134" s="105"/>
      <c r="MLG134" s="105"/>
      <c r="MLH134" s="105"/>
      <c r="MLI134" s="105"/>
      <c r="MLJ134" s="105"/>
      <c r="MLK134" s="105"/>
      <c r="MLL134" s="105"/>
      <c r="MLM134" s="105"/>
      <c r="MLN134" s="105"/>
      <c r="MLO134" s="105"/>
      <c r="MLP134" s="105"/>
      <c r="MLQ134" s="105"/>
      <c r="MLR134" s="105"/>
      <c r="MLS134" s="105"/>
      <c r="MLT134" s="105"/>
      <c r="MLU134" s="105"/>
      <c r="MLV134" s="105"/>
      <c r="MLW134" s="105"/>
      <c r="MLX134" s="105"/>
      <c r="MLY134" s="105"/>
      <c r="MLZ134" s="105"/>
      <c r="MMA134" s="105"/>
      <c r="MMB134" s="105"/>
      <c r="MMC134" s="105"/>
      <c r="MMD134" s="105"/>
      <c r="MME134" s="105"/>
      <c r="MMF134" s="105"/>
      <c r="MMG134" s="105"/>
      <c r="MMH134" s="105"/>
      <c r="MMI134" s="105"/>
      <c r="MMJ134" s="105"/>
      <c r="MMK134" s="105"/>
      <c r="MML134" s="105"/>
      <c r="MMM134" s="105"/>
      <c r="MMN134" s="105"/>
      <c r="MMO134" s="105"/>
      <c r="MMP134" s="105"/>
      <c r="MMQ134" s="105"/>
      <c r="MMR134" s="105"/>
      <c r="MMS134" s="105"/>
      <c r="MMT134" s="105"/>
      <c r="MMU134" s="105"/>
      <c r="MMV134" s="105"/>
      <c r="MMW134" s="105"/>
      <c r="MMX134" s="105"/>
      <c r="MMY134" s="105"/>
      <c r="MMZ134" s="105"/>
      <c r="MNA134" s="105"/>
      <c r="MNB134" s="105"/>
      <c r="MNC134" s="105"/>
      <c r="MND134" s="105"/>
      <c r="MNE134" s="105"/>
      <c r="MNF134" s="105"/>
      <c r="MNG134" s="105"/>
      <c r="MNH134" s="105"/>
      <c r="MNI134" s="105"/>
      <c r="MNJ134" s="105"/>
      <c r="MNK134" s="105"/>
      <c r="MNL134" s="105"/>
      <c r="MNM134" s="105"/>
      <c r="MNN134" s="105"/>
      <c r="MNO134" s="105"/>
      <c r="MNP134" s="105"/>
      <c r="MNQ134" s="105"/>
      <c r="MNR134" s="105"/>
      <c r="MNS134" s="105"/>
      <c r="MNT134" s="105"/>
      <c r="MNU134" s="105"/>
      <c r="MNV134" s="105"/>
      <c r="MNW134" s="105"/>
      <c r="MNX134" s="105"/>
      <c r="MNY134" s="105"/>
      <c r="MNZ134" s="105"/>
      <c r="MOA134" s="105"/>
      <c r="MOB134" s="105"/>
      <c r="MOC134" s="105"/>
      <c r="MOD134" s="105"/>
      <c r="MOE134" s="105"/>
      <c r="MOF134" s="105"/>
      <c r="MOG134" s="105"/>
      <c r="MOH134" s="105"/>
      <c r="MOI134" s="105"/>
      <c r="MOJ134" s="105"/>
      <c r="MOK134" s="105"/>
      <c r="MOL134" s="105"/>
      <c r="MOM134" s="105"/>
      <c r="MON134" s="105"/>
      <c r="MOO134" s="105"/>
      <c r="MOP134" s="105"/>
      <c r="MOQ134" s="105"/>
      <c r="MOR134" s="105"/>
      <c r="MOS134" s="105"/>
      <c r="MOT134" s="105"/>
      <c r="MOU134" s="105"/>
      <c r="MOV134" s="105"/>
      <c r="MOW134" s="105"/>
      <c r="MOX134" s="105"/>
      <c r="MOY134" s="105"/>
      <c r="MOZ134" s="105"/>
      <c r="MPA134" s="105"/>
      <c r="MPB134" s="105"/>
      <c r="MPC134" s="105"/>
      <c r="MPD134" s="105"/>
      <c r="MPE134" s="105"/>
      <c r="MPF134" s="105"/>
      <c r="MPG134" s="105"/>
      <c r="MPH134" s="105"/>
      <c r="MPI134" s="105"/>
      <c r="MPJ134" s="105"/>
      <c r="MPK134" s="105"/>
      <c r="MPL134" s="105"/>
      <c r="MPM134" s="105"/>
      <c r="MPN134" s="105"/>
      <c r="MPO134" s="105"/>
      <c r="MPP134" s="105"/>
      <c r="MPQ134" s="105"/>
      <c r="MPR134" s="105"/>
      <c r="MPS134" s="105"/>
      <c r="MPT134" s="105"/>
      <c r="MPU134" s="105"/>
      <c r="MPV134" s="105"/>
      <c r="MPW134" s="105"/>
      <c r="MPX134" s="105"/>
      <c r="MPY134" s="105"/>
      <c r="MPZ134" s="105"/>
      <c r="MQA134" s="105"/>
      <c r="MQB134" s="105"/>
      <c r="MQC134" s="105"/>
      <c r="MQD134" s="105"/>
      <c r="MQE134" s="105"/>
      <c r="MQF134" s="105"/>
      <c r="MQG134" s="105"/>
      <c r="MQH134" s="105"/>
      <c r="MQI134" s="105"/>
      <c r="MQJ134" s="105"/>
      <c r="MQK134" s="105"/>
      <c r="MQL134" s="105"/>
      <c r="MQM134" s="105"/>
      <c r="MQN134" s="105"/>
      <c r="MQO134" s="105"/>
      <c r="MQP134" s="105"/>
      <c r="MQQ134" s="105"/>
      <c r="MQR134" s="105"/>
      <c r="MQS134" s="105"/>
      <c r="MQT134" s="105"/>
      <c r="MQU134" s="105"/>
      <c r="MQV134" s="105"/>
      <c r="MQW134" s="105"/>
      <c r="MQX134" s="105"/>
      <c r="MQY134" s="105"/>
      <c r="MQZ134" s="105"/>
      <c r="MRA134" s="105"/>
      <c r="MRB134" s="105"/>
      <c r="MRC134" s="105"/>
      <c r="MRD134" s="105"/>
      <c r="MRE134" s="105"/>
      <c r="MRF134" s="105"/>
      <c r="MRG134" s="105"/>
      <c r="MRH134" s="105"/>
      <c r="MRI134" s="105"/>
      <c r="MRJ134" s="105"/>
      <c r="MRK134" s="105"/>
      <c r="MRL134" s="105"/>
      <c r="MRM134" s="105"/>
      <c r="MRN134" s="105"/>
      <c r="MRO134" s="105"/>
      <c r="MRP134" s="105"/>
      <c r="MRQ134" s="105"/>
      <c r="MRR134" s="105"/>
      <c r="MRS134" s="105"/>
      <c r="MRT134" s="105"/>
      <c r="MRU134" s="105"/>
      <c r="MRV134" s="105"/>
      <c r="MRW134" s="105"/>
      <c r="MRX134" s="105"/>
      <c r="MRY134" s="105"/>
      <c r="MRZ134" s="105"/>
      <c r="MSA134" s="105"/>
      <c r="MSB134" s="105"/>
      <c r="MSC134" s="105"/>
      <c r="MSD134" s="105"/>
      <c r="MSE134" s="105"/>
      <c r="MSF134" s="105"/>
      <c r="MSG134" s="105"/>
      <c r="MSH134" s="105"/>
      <c r="MSI134" s="105"/>
      <c r="MSJ134" s="105"/>
      <c r="MSK134" s="105"/>
      <c r="MSL134" s="105"/>
      <c r="MSM134" s="105"/>
      <c r="MSN134" s="105"/>
      <c r="MSO134" s="105"/>
      <c r="MSP134" s="105"/>
      <c r="MSQ134" s="105"/>
      <c r="MSR134" s="105"/>
      <c r="MSS134" s="105"/>
      <c r="MST134" s="105"/>
      <c r="MSU134" s="105"/>
      <c r="MSV134" s="105"/>
      <c r="MSW134" s="105"/>
      <c r="MSX134" s="105"/>
      <c r="MSY134" s="105"/>
      <c r="MSZ134" s="105"/>
      <c r="MTA134" s="105"/>
      <c r="MTB134" s="105"/>
      <c r="MTC134" s="105"/>
      <c r="MTD134" s="105"/>
      <c r="MTE134" s="105"/>
      <c r="MTF134" s="105"/>
      <c r="MTG134" s="105"/>
      <c r="MTH134" s="105"/>
      <c r="MTI134" s="105"/>
      <c r="MTJ134" s="105"/>
      <c r="MTK134" s="105"/>
      <c r="MTL134" s="105"/>
      <c r="MTM134" s="105"/>
      <c r="MTN134" s="105"/>
      <c r="MTO134" s="105"/>
      <c r="MTP134" s="105"/>
      <c r="MTQ134" s="105"/>
      <c r="MTR134" s="105"/>
      <c r="MTS134" s="105"/>
      <c r="MTT134" s="105"/>
      <c r="MTU134" s="105"/>
      <c r="MTV134" s="105"/>
      <c r="MTW134" s="105"/>
      <c r="MTX134" s="105"/>
      <c r="MTY134" s="105"/>
      <c r="MTZ134" s="105"/>
      <c r="MUA134" s="105"/>
      <c r="MUB134" s="105"/>
      <c r="MUC134" s="105"/>
      <c r="MUD134" s="105"/>
      <c r="MUE134" s="105"/>
      <c r="MUF134" s="105"/>
      <c r="MUG134" s="105"/>
      <c r="MUH134" s="105"/>
      <c r="MUI134" s="105"/>
      <c r="MUJ134" s="105"/>
      <c r="MUK134" s="105"/>
      <c r="MUL134" s="105"/>
      <c r="MUM134" s="105"/>
      <c r="MUN134" s="105"/>
      <c r="MUO134" s="105"/>
      <c r="MUP134" s="105"/>
      <c r="MUQ134" s="105"/>
      <c r="MUR134" s="105"/>
      <c r="MUS134" s="105"/>
      <c r="MUT134" s="105"/>
      <c r="MUU134" s="105"/>
      <c r="MUV134" s="105"/>
      <c r="MUW134" s="105"/>
      <c r="MUX134" s="105"/>
      <c r="MUY134" s="105"/>
      <c r="MUZ134" s="105"/>
      <c r="MVA134" s="105"/>
      <c r="MVB134" s="105"/>
      <c r="MVC134" s="105"/>
      <c r="MVD134" s="105"/>
      <c r="MVE134" s="105"/>
      <c r="MVF134" s="105"/>
      <c r="MVG134" s="105"/>
      <c r="MVH134" s="105"/>
      <c r="MVI134" s="105"/>
      <c r="MVJ134" s="105"/>
      <c r="MVK134" s="105"/>
      <c r="MVL134" s="105"/>
      <c r="MVM134" s="105"/>
      <c r="MVN134" s="105"/>
      <c r="MVO134" s="105"/>
      <c r="MVP134" s="105"/>
      <c r="MVQ134" s="105"/>
      <c r="MVR134" s="105"/>
      <c r="MVS134" s="105"/>
      <c r="MVT134" s="105"/>
      <c r="MVU134" s="105"/>
      <c r="MVV134" s="105"/>
      <c r="MVW134" s="105"/>
      <c r="MVX134" s="105"/>
      <c r="MVY134" s="105"/>
      <c r="MVZ134" s="105"/>
      <c r="MWA134" s="105"/>
      <c r="MWB134" s="105"/>
      <c r="MWC134" s="105"/>
      <c r="MWD134" s="105"/>
      <c r="MWE134" s="105"/>
      <c r="MWF134" s="105"/>
      <c r="MWG134" s="105"/>
      <c r="MWH134" s="105"/>
      <c r="MWI134" s="105"/>
      <c r="MWJ134" s="105"/>
      <c r="MWK134" s="105"/>
      <c r="MWL134" s="105"/>
      <c r="MWM134" s="105"/>
      <c r="MWN134" s="105"/>
      <c r="MWO134" s="105"/>
      <c r="MWP134" s="105"/>
      <c r="MWQ134" s="105"/>
      <c r="MWR134" s="105"/>
      <c r="MWS134" s="105"/>
      <c r="MWT134" s="105"/>
      <c r="MWU134" s="105"/>
      <c r="MWV134" s="105"/>
      <c r="MWW134" s="105"/>
      <c r="MWX134" s="105"/>
      <c r="MWY134" s="105"/>
      <c r="MWZ134" s="105"/>
      <c r="MXA134" s="105"/>
      <c r="MXB134" s="105"/>
      <c r="MXC134" s="105"/>
      <c r="MXD134" s="105"/>
      <c r="MXE134" s="105"/>
      <c r="MXF134" s="105"/>
      <c r="MXG134" s="105"/>
      <c r="MXH134" s="105"/>
      <c r="MXI134" s="105"/>
      <c r="MXJ134" s="105"/>
      <c r="MXK134" s="105"/>
      <c r="MXL134" s="105"/>
      <c r="MXM134" s="105"/>
      <c r="MXN134" s="105"/>
      <c r="MXO134" s="105"/>
      <c r="MXP134" s="105"/>
      <c r="MXQ134" s="105"/>
      <c r="MXR134" s="105"/>
      <c r="MXS134" s="105"/>
      <c r="MXT134" s="105"/>
      <c r="MXU134" s="105"/>
      <c r="MXV134" s="105"/>
      <c r="MXW134" s="105"/>
      <c r="MXX134" s="105"/>
      <c r="MXY134" s="105"/>
      <c r="MXZ134" s="105"/>
      <c r="MYA134" s="105"/>
      <c r="MYB134" s="105"/>
      <c r="MYC134" s="105"/>
      <c r="MYD134" s="105"/>
      <c r="MYE134" s="105"/>
      <c r="MYF134" s="105"/>
      <c r="MYG134" s="105"/>
      <c r="MYH134" s="105"/>
      <c r="MYI134" s="105"/>
      <c r="MYJ134" s="105"/>
      <c r="MYK134" s="105"/>
      <c r="MYL134" s="105"/>
      <c r="MYM134" s="105"/>
      <c r="MYN134" s="105"/>
      <c r="MYO134" s="105"/>
      <c r="MYP134" s="105"/>
      <c r="MYQ134" s="105"/>
      <c r="MYR134" s="105"/>
      <c r="MYS134" s="105"/>
      <c r="MYT134" s="105"/>
      <c r="MYU134" s="105"/>
      <c r="MYV134" s="105"/>
      <c r="MYW134" s="105"/>
      <c r="MYX134" s="105"/>
      <c r="MYY134" s="105"/>
      <c r="MYZ134" s="105"/>
      <c r="MZA134" s="105"/>
      <c r="MZB134" s="105"/>
      <c r="MZC134" s="105"/>
      <c r="MZD134" s="105"/>
      <c r="MZE134" s="105"/>
      <c r="MZF134" s="105"/>
      <c r="MZG134" s="105"/>
      <c r="MZH134" s="105"/>
      <c r="MZI134" s="105"/>
      <c r="MZJ134" s="105"/>
      <c r="MZK134" s="105"/>
      <c r="MZL134" s="105"/>
      <c r="MZM134" s="105"/>
      <c r="MZN134" s="105"/>
      <c r="MZO134" s="105"/>
      <c r="MZP134" s="105"/>
      <c r="MZQ134" s="105"/>
      <c r="MZR134" s="105"/>
      <c r="MZS134" s="105"/>
      <c r="MZT134" s="105"/>
      <c r="MZU134" s="105"/>
      <c r="MZV134" s="105"/>
      <c r="MZW134" s="105"/>
      <c r="MZX134" s="105"/>
      <c r="MZY134" s="105"/>
      <c r="MZZ134" s="105"/>
      <c r="NAA134" s="105"/>
      <c r="NAB134" s="105"/>
      <c r="NAC134" s="105"/>
      <c r="NAD134" s="105"/>
      <c r="NAE134" s="105"/>
      <c r="NAF134" s="105"/>
      <c r="NAG134" s="105"/>
      <c r="NAH134" s="105"/>
      <c r="NAI134" s="105"/>
      <c r="NAJ134" s="105"/>
      <c r="NAK134" s="105"/>
      <c r="NAL134" s="105"/>
      <c r="NAM134" s="105"/>
      <c r="NAN134" s="105"/>
      <c r="NAO134" s="105"/>
      <c r="NAP134" s="105"/>
      <c r="NAQ134" s="105"/>
      <c r="NAR134" s="105"/>
      <c r="NAS134" s="105"/>
      <c r="NAT134" s="105"/>
      <c r="NAU134" s="105"/>
      <c r="NAV134" s="105"/>
      <c r="NAW134" s="105"/>
      <c r="NAX134" s="105"/>
      <c r="NAY134" s="105"/>
      <c r="NAZ134" s="105"/>
      <c r="NBA134" s="105"/>
      <c r="NBB134" s="105"/>
      <c r="NBC134" s="105"/>
      <c r="NBD134" s="105"/>
      <c r="NBE134" s="105"/>
      <c r="NBF134" s="105"/>
      <c r="NBG134" s="105"/>
      <c r="NBH134" s="105"/>
      <c r="NBI134" s="105"/>
      <c r="NBJ134" s="105"/>
      <c r="NBK134" s="105"/>
      <c r="NBL134" s="105"/>
      <c r="NBM134" s="105"/>
      <c r="NBN134" s="105"/>
      <c r="NBO134" s="105"/>
      <c r="NBP134" s="105"/>
      <c r="NBQ134" s="105"/>
      <c r="NBR134" s="105"/>
      <c r="NBS134" s="105"/>
      <c r="NBT134" s="105"/>
      <c r="NBU134" s="105"/>
      <c r="NBV134" s="105"/>
      <c r="NBW134" s="105"/>
      <c r="NBX134" s="105"/>
      <c r="NBY134" s="105"/>
      <c r="NBZ134" s="105"/>
      <c r="NCA134" s="105"/>
      <c r="NCB134" s="105"/>
      <c r="NCC134" s="105"/>
      <c r="NCD134" s="105"/>
      <c r="NCE134" s="105"/>
      <c r="NCF134" s="105"/>
      <c r="NCG134" s="105"/>
      <c r="NCH134" s="105"/>
      <c r="NCI134" s="105"/>
      <c r="NCJ134" s="105"/>
      <c r="NCK134" s="105"/>
      <c r="NCL134" s="105"/>
      <c r="NCM134" s="105"/>
      <c r="NCN134" s="105"/>
      <c r="NCO134" s="105"/>
      <c r="NCP134" s="105"/>
      <c r="NCQ134" s="105"/>
      <c r="NCR134" s="105"/>
      <c r="NCS134" s="105"/>
      <c r="NCT134" s="105"/>
      <c r="NCU134" s="105"/>
      <c r="NCV134" s="105"/>
      <c r="NCW134" s="105"/>
      <c r="NCX134" s="105"/>
      <c r="NCY134" s="105"/>
      <c r="NCZ134" s="105"/>
      <c r="NDA134" s="105"/>
      <c r="NDB134" s="105"/>
      <c r="NDC134" s="105"/>
      <c r="NDD134" s="105"/>
      <c r="NDE134" s="105"/>
      <c r="NDF134" s="105"/>
      <c r="NDG134" s="105"/>
      <c r="NDH134" s="105"/>
      <c r="NDI134" s="105"/>
      <c r="NDJ134" s="105"/>
      <c r="NDK134" s="105"/>
      <c r="NDL134" s="105"/>
      <c r="NDM134" s="105"/>
      <c r="NDN134" s="105"/>
      <c r="NDO134" s="105"/>
      <c r="NDP134" s="105"/>
      <c r="NDQ134" s="105"/>
      <c r="NDR134" s="105"/>
      <c r="NDS134" s="105"/>
      <c r="NDT134" s="105"/>
      <c r="NDU134" s="105"/>
      <c r="NDV134" s="105"/>
      <c r="NDW134" s="105"/>
      <c r="NDX134" s="105"/>
      <c r="NDY134" s="105"/>
      <c r="NDZ134" s="105"/>
      <c r="NEA134" s="105"/>
      <c r="NEB134" s="105"/>
      <c r="NEC134" s="105"/>
      <c r="NED134" s="105"/>
      <c r="NEE134" s="105"/>
      <c r="NEF134" s="105"/>
      <c r="NEG134" s="105"/>
      <c r="NEH134" s="105"/>
      <c r="NEI134" s="105"/>
      <c r="NEJ134" s="105"/>
      <c r="NEK134" s="105"/>
      <c r="NEL134" s="105"/>
      <c r="NEM134" s="105"/>
      <c r="NEN134" s="105"/>
      <c r="NEO134" s="105"/>
      <c r="NEP134" s="105"/>
      <c r="NEQ134" s="105"/>
      <c r="NER134" s="105"/>
      <c r="NES134" s="105"/>
      <c r="NET134" s="105"/>
      <c r="NEU134" s="105"/>
      <c r="NEV134" s="105"/>
      <c r="NEW134" s="105"/>
      <c r="NEX134" s="105"/>
      <c r="NEY134" s="105"/>
      <c r="NEZ134" s="105"/>
      <c r="NFA134" s="105"/>
      <c r="NFB134" s="105"/>
      <c r="NFC134" s="105"/>
      <c r="NFD134" s="105"/>
      <c r="NFE134" s="105"/>
      <c r="NFF134" s="105"/>
      <c r="NFG134" s="105"/>
      <c r="NFH134" s="105"/>
      <c r="NFI134" s="105"/>
      <c r="NFJ134" s="105"/>
      <c r="NFK134" s="105"/>
      <c r="NFL134" s="105"/>
      <c r="NFM134" s="105"/>
      <c r="NFN134" s="105"/>
      <c r="NFO134" s="105"/>
      <c r="NFP134" s="105"/>
      <c r="NFQ134" s="105"/>
      <c r="NFR134" s="105"/>
      <c r="NFS134" s="105"/>
      <c r="NFT134" s="105"/>
      <c r="NFU134" s="105"/>
      <c r="NFV134" s="105"/>
      <c r="NFW134" s="105"/>
      <c r="NFX134" s="105"/>
      <c r="NFY134" s="105"/>
      <c r="NFZ134" s="105"/>
      <c r="NGA134" s="105"/>
      <c r="NGB134" s="105"/>
      <c r="NGC134" s="105"/>
      <c r="NGD134" s="105"/>
      <c r="NGE134" s="105"/>
      <c r="NGF134" s="105"/>
      <c r="NGG134" s="105"/>
      <c r="NGH134" s="105"/>
      <c r="NGI134" s="105"/>
      <c r="NGJ134" s="105"/>
      <c r="NGK134" s="105"/>
      <c r="NGL134" s="105"/>
      <c r="NGM134" s="105"/>
      <c r="NGN134" s="105"/>
      <c r="NGO134" s="105"/>
      <c r="NGP134" s="105"/>
      <c r="NGQ134" s="105"/>
      <c r="NGR134" s="105"/>
      <c r="NGS134" s="105"/>
      <c r="NGT134" s="105"/>
      <c r="NGU134" s="105"/>
      <c r="NGV134" s="105"/>
      <c r="NGW134" s="105"/>
      <c r="NGX134" s="105"/>
      <c r="NGY134" s="105"/>
      <c r="NGZ134" s="105"/>
      <c r="NHA134" s="105"/>
      <c r="NHB134" s="105"/>
      <c r="NHC134" s="105"/>
      <c r="NHD134" s="105"/>
      <c r="NHE134" s="105"/>
      <c r="NHF134" s="105"/>
      <c r="NHG134" s="105"/>
      <c r="NHH134" s="105"/>
      <c r="NHI134" s="105"/>
      <c r="NHJ134" s="105"/>
      <c r="NHK134" s="105"/>
      <c r="NHL134" s="105"/>
      <c r="NHM134" s="105"/>
      <c r="NHN134" s="105"/>
      <c r="NHO134" s="105"/>
      <c r="NHP134" s="105"/>
      <c r="NHQ134" s="105"/>
      <c r="NHR134" s="105"/>
      <c r="NHS134" s="105"/>
      <c r="NHT134" s="105"/>
      <c r="NHU134" s="105"/>
      <c r="NHV134" s="105"/>
      <c r="NHW134" s="105"/>
      <c r="NHX134" s="105"/>
      <c r="NHY134" s="105"/>
      <c r="NHZ134" s="105"/>
      <c r="NIA134" s="105"/>
      <c r="NIB134" s="105"/>
      <c r="NIC134" s="105"/>
      <c r="NID134" s="105"/>
      <c r="NIE134" s="105"/>
      <c r="NIF134" s="105"/>
      <c r="NIG134" s="105"/>
      <c r="NIH134" s="105"/>
      <c r="NII134" s="105"/>
      <c r="NIJ134" s="105"/>
      <c r="NIK134" s="105"/>
      <c r="NIL134" s="105"/>
      <c r="NIM134" s="105"/>
      <c r="NIN134" s="105"/>
      <c r="NIO134" s="105"/>
      <c r="NIP134" s="105"/>
      <c r="NIQ134" s="105"/>
      <c r="NIR134" s="105"/>
      <c r="NIS134" s="105"/>
      <c r="NIT134" s="105"/>
      <c r="NIU134" s="105"/>
      <c r="NIV134" s="105"/>
      <c r="NIW134" s="105"/>
      <c r="NIX134" s="105"/>
      <c r="NIY134" s="105"/>
      <c r="NIZ134" s="105"/>
      <c r="NJA134" s="105"/>
      <c r="NJB134" s="105"/>
      <c r="NJC134" s="105"/>
      <c r="NJD134" s="105"/>
      <c r="NJE134" s="105"/>
      <c r="NJF134" s="105"/>
      <c r="NJG134" s="105"/>
      <c r="NJH134" s="105"/>
      <c r="NJI134" s="105"/>
      <c r="NJJ134" s="105"/>
      <c r="NJK134" s="105"/>
      <c r="NJL134" s="105"/>
      <c r="NJM134" s="105"/>
      <c r="NJN134" s="105"/>
      <c r="NJO134" s="105"/>
      <c r="NJP134" s="105"/>
      <c r="NJQ134" s="105"/>
      <c r="NJR134" s="105"/>
      <c r="NJS134" s="105"/>
      <c r="NJT134" s="105"/>
      <c r="NJU134" s="105"/>
      <c r="NJV134" s="105"/>
      <c r="NJW134" s="105"/>
      <c r="NJX134" s="105"/>
      <c r="NJY134" s="105"/>
      <c r="NJZ134" s="105"/>
      <c r="NKA134" s="105"/>
      <c r="NKB134" s="105"/>
      <c r="NKC134" s="105"/>
      <c r="NKD134" s="105"/>
      <c r="NKE134" s="105"/>
      <c r="NKF134" s="105"/>
      <c r="NKG134" s="105"/>
      <c r="NKH134" s="105"/>
      <c r="NKI134" s="105"/>
      <c r="NKJ134" s="105"/>
      <c r="NKK134" s="105"/>
      <c r="NKL134" s="105"/>
      <c r="NKM134" s="105"/>
      <c r="NKN134" s="105"/>
      <c r="NKO134" s="105"/>
      <c r="NKP134" s="105"/>
      <c r="NKQ134" s="105"/>
      <c r="NKR134" s="105"/>
      <c r="NKS134" s="105"/>
      <c r="NKT134" s="105"/>
      <c r="NKU134" s="105"/>
      <c r="NKV134" s="105"/>
      <c r="NKW134" s="105"/>
      <c r="NKX134" s="105"/>
      <c r="NKY134" s="105"/>
      <c r="NKZ134" s="105"/>
      <c r="NLA134" s="105"/>
      <c r="NLB134" s="105"/>
      <c r="NLC134" s="105"/>
      <c r="NLD134" s="105"/>
      <c r="NLE134" s="105"/>
      <c r="NLF134" s="105"/>
      <c r="NLG134" s="105"/>
      <c r="NLH134" s="105"/>
      <c r="NLI134" s="105"/>
      <c r="NLJ134" s="105"/>
      <c r="NLK134" s="105"/>
      <c r="NLL134" s="105"/>
      <c r="NLM134" s="105"/>
      <c r="NLN134" s="105"/>
      <c r="NLO134" s="105"/>
      <c r="NLP134" s="105"/>
      <c r="NLQ134" s="105"/>
      <c r="NLR134" s="105"/>
      <c r="NLS134" s="105"/>
      <c r="NLT134" s="105"/>
      <c r="NLU134" s="105"/>
      <c r="NLV134" s="105"/>
      <c r="NLW134" s="105"/>
      <c r="NLX134" s="105"/>
      <c r="NLY134" s="105"/>
      <c r="NLZ134" s="105"/>
      <c r="NMA134" s="105"/>
      <c r="NMB134" s="105"/>
      <c r="NMC134" s="105"/>
      <c r="NMD134" s="105"/>
      <c r="NME134" s="105"/>
      <c r="NMF134" s="105"/>
      <c r="NMG134" s="105"/>
      <c r="NMH134" s="105"/>
      <c r="NMI134" s="105"/>
      <c r="NMJ134" s="105"/>
      <c r="NMK134" s="105"/>
      <c r="NML134" s="105"/>
      <c r="NMM134" s="105"/>
      <c r="NMN134" s="105"/>
      <c r="NMO134" s="105"/>
      <c r="NMP134" s="105"/>
      <c r="NMQ134" s="105"/>
      <c r="NMR134" s="105"/>
      <c r="NMS134" s="105"/>
      <c r="NMT134" s="105"/>
      <c r="NMU134" s="105"/>
      <c r="NMV134" s="105"/>
      <c r="NMW134" s="105"/>
      <c r="NMX134" s="105"/>
      <c r="NMY134" s="105"/>
      <c r="NMZ134" s="105"/>
      <c r="NNA134" s="105"/>
      <c r="NNB134" s="105"/>
      <c r="NNC134" s="105"/>
      <c r="NND134" s="105"/>
      <c r="NNE134" s="105"/>
      <c r="NNF134" s="105"/>
      <c r="NNG134" s="105"/>
      <c r="NNH134" s="105"/>
      <c r="NNI134" s="105"/>
      <c r="NNJ134" s="105"/>
      <c r="NNK134" s="105"/>
      <c r="NNL134" s="105"/>
      <c r="NNM134" s="105"/>
      <c r="NNN134" s="105"/>
      <c r="NNO134" s="105"/>
      <c r="NNP134" s="105"/>
      <c r="NNQ134" s="105"/>
      <c r="NNR134" s="105"/>
      <c r="NNS134" s="105"/>
      <c r="NNT134" s="105"/>
      <c r="NNU134" s="105"/>
      <c r="NNV134" s="105"/>
      <c r="NNW134" s="105"/>
      <c r="NNX134" s="105"/>
      <c r="NNY134" s="105"/>
      <c r="NNZ134" s="105"/>
      <c r="NOA134" s="105"/>
      <c r="NOB134" s="105"/>
      <c r="NOC134" s="105"/>
      <c r="NOD134" s="105"/>
      <c r="NOE134" s="105"/>
      <c r="NOF134" s="105"/>
      <c r="NOG134" s="105"/>
      <c r="NOH134" s="105"/>
      <c r="NOI134" s="105"/>
      <c r="NOJ134" s="105"/>
      <c r="NOK134" s="105"/>
      <c r="NOL134" s="105"/>
      <c r="NOM134" s="105"/>
      <c r="NON134" s="105"/>
      <c r="NOO134" s="105"/>
      <c r="NOP134" s="105"/>
      <c r="NOQ134" s="105"/>
      <c r="NOR134" s="105"/>
      <c r="NOS134" s="105"/>
      <c r="NOT134" s="105"/>
      <c r="NOU134" s="105"/>
      <c r="NOV134" s="105"/>
      <c r="NOW134" s="105"/>
      <c r="NOX134" s="105"/>
      <c r="NOY134" s="105"/>
      <c r="NOZ134" s="105"/>
      <c r="NPA134" s="105"/>
      <c r="NPB134" s="105"/>
      <c r="NPC134" s="105"/>
      <c r="NPD134" s="105"/>
      <c r="NPE134" s="105"/>
      <c r="NPF134" s="105"/>
      <c r="NPG134" s="105"/>
      <c r="NPH134" s="105"/>
      <c r="NPI134" s="105"/>
      <c r="NPJ134" s="105"/>
      <c r="NPK134" s="105"/>
      <c r="NPL134" s="105"/>
      <c r="NPM134" s="105"/>
      <c r="NPN134" s="105"/>
      <c r="NPO134" s="105"/>
      <c r="NPP134" s="105"/>
      <c r="NPQ134" s="105"/>
      <c r="NPR134" s="105"/>
      <c r="NPS134" s="105"/>
      <c r="NPT134" s="105"/>
      <c r="NPU134" s="105"/>
      <c r="NPV134" s="105"/>
      <c r="NPW134" s="105"/>
      <c r="NPX134" s="105"/>
      <c r="NPY134" s="105"/>
      <c r="NPZ134" s="105"/>
      <c r="NQA134" s="105"/>
      <c r="NQB134" s="105"/>
      <c r="NQC134" s="105"/>
      <c r="NQD134" s="105"/>
      <c r="NQE134" s="105"/>
      <c r="NQF134" s="105"/>
      <c r="NQG134" s="105"/>
      <c r="NQH134" s="105"/>
      <c r="NQI134" s="105"/>
      <c r="NQJ134" s="105"/>
      <c r="NQK134" s="105"/>
      <c r="NQL134" s="105"/>
      <c r="NQM134" s="105"/>
      <c r="NQN134" s="105"/>
      <c r="NQO134" s="105"/>
      <c r="NQP134" s="105"/>
      <c r="NQQ134" s="105"/>
      <c r="NQR134" s="105"/>
      <c r="NQS134" s="105"/>
      <c r="NQT134" s="105"/>
      <c r="NQU134" s="105"/>
      <c r="NQV134" s="105"/>
      <c r="NQW134" s="105"/>
      <c r="NQX134" s="105"/>
      <c r="NQY134" s="105"/>
      <c r="NQZ134" s="105"/>
      <c r="NRA134" s="105"/>
      <c r="NRB134" s="105"/>
      <c r="NRC134" s="105"/>
      <c r="NRD134" s="105"/>
      <c r="NRE134" s="105"/>
      <c r="NRF134" s="105"/>
      <c r="NRG134" s="105"/>
      <c r="NRH134" s="105"/>
      <c r="NRI134" s="105"/>
      <c r="NRJ134" s="105"/>
      <c r="NRK134" s="105"/>
      <c r="NRL134" s="105"/>
      <c r="NRM134" s="105"/>
      <c r="NRN134" s="105"/>
      <c r="NRO134" s="105"/>
      <c r="NRP134" s="105"/>
      <c r="NRQ134" s="105"/>
      <c r="NRR134" s="105"/>
      <c r="NRS134" s="105"/>
      <c r="NRT134" s="105"/>
      <c r="NRU134" s="105"/>
      <c r="NRV134" s="105"/>
      <c r="NRW134" s="105"/>
      <c r="NRX134" s="105"/>
      <c r="NRY134" s="105"/>
      <c r="NRZ134" s="105"/>
      <c r="NSA134" s="105"/>
      <c r="NSB134" s="105"/>
      <c r="NSC134" s="105"/>
      <c r="NSD134" s="105"/>
      <c r="NSE134" s="105"/>
      <c r="NSF134" s="105"/>
      <c r="NSG134" s="105"/>
      <c r="NSH134" s="105"/>
      <c r="NSI134" s="105"/>
      <c r="NSJ134" s="105"/>
      <c r="NSK134" s="105"/>
      <c r="NSL134" s="105"/>
      <c r="NSM134" s="105"/>
      <c r="NSN134" s="105"/>
      <c r="NSO134" s="105"/>
      <c r="NSP134" s="105"/>
      <c r="NSQ134" s="105"/>
      <c r="NSR134" s="105"/>
      <c r="NSS134" s="105"/>
      <c r="NST134" s="105"/>
      <c r="NSU134" s="105"/>
      <c r="NSV134" s="105"/>
      <c r="NSW134" s="105"/>
      <c r="NSX134" s="105"/>
      <c r="NSY134" s="105"/>
      <c r="NSZ134" s="105"/>
      <c r="NTA134" s="105"/>
      <c r="NTB134" s="105"/>
      <c r="NTC134" s="105"/>
      <c r="NTD134" s="105"/>
      <c r="NTE134" s="105"/>
      <c r="NTF134" s="105"/>
      <c r="NTG134" s="105"/>
      <c r="NTH134" s="105"/>
      <c r="NTI134" s="105"/>
      <c r="NTJ134" s="105"/>
      <c r="NTK134" s="105"/>
      <c r="NTL134" s="105"/>
      <c r="NTM134" s="105"/>
      <c r="NTN134" s="105"/>
      <c r="NTO134" s="105"/>
      <c r="NTP134" s="105"/>
      <c r="NTQ134" s="105"/>
      <c r="NTR134" s="105"/>
      <c r="NTS134" s="105"/>
      <c r="NTT134" s="105"/>
      <c r="NTU134" s="105"/>
      <c r="NTV134" s="105"/>
      <c r="NTW134" s="105"/>
      <c r="NTX134" s="105"/>
      <c r="NTY134" s="105"/>
      <c r="NTZ134" s="105"/>
      <c r="NUA134" s="105"/>
      <c r="NUB134" s="105"/>
      <c r="NUC134" s="105"/>
      <c r="NUD134" s="105"/>
      <c r="NUE134" s="105"/>
      <c r="NUF134" s="105"/>
      <c r="NUG134" s="105"/>
      <c r="NUH134" s="105"/>
      <c r="NUI134" s="105"/>
      <c r="NUJ134" s="105"/>
      <c r="NUK134" s="105"/>
      <c r="NUL134" s="105"/>
      <c r="NUM134" s="105"/>
      <c r="NUN134" s="105"/>
      <c r="NUO134" s="105"/>
      <c r="NUP134" s="105"/>
      <c r="NUQ134" s="105"/>
      <c r="NUR134" s="105"/>
      <c r="NUS134" s="105"/>
      <c r="NUT134" s="105"/>
      <c r="NUU134" s="105"/>
      <c r="NUV134" s="105"/>
      <c r="NUW134" s="105"/>
      <c r="NUX134" s="105"/>
      <c r="NUY134" s="105"/>
      <c r="NUZ134" s="105"/>
      <c r="NVA134" s="105"/>
      <c r="NVB134" s="105"/>
      <c r="NVC134" s="105"/>
      <c r="NVD134" s="105"/>
      <c r="NVE134" s="105"/>
      <c r="NVF134" s="105"/>
      <c r="NVG134" s="105"/>
      <c r="NVH134" s="105"/>
      <c r="NVI134" s="105"/>
      <c r="NVJ134" s="105"/>
      <c r="NVK134" s="105"/>
      <c r="NVL134" s="105"/>
      <c r="NVM134" s="105"/>
      <c r="NVN134" s="105"/>
      <c r="NVO134" s="105"/>
      <c r="NVP134" s="105"/>
      <c r="NVQ134" s="105"/>
      <c r="NVR134" s="105"/>
      <c r="NVS134" s="105"/>
      <c r="NVT134" s="105"/>
      <c r="NVU134" s="105"/>
      <c r="NVV134" s="105"/>
      <c r="NVW134" s="105"/>
      <c r="NVX134" s="105"/>
      <c r="NVY134" s="105"/>
      <c r="NVZ134" s="105"/>
      <c r="NWA134" s="105"/>
      <c r="NWB134" s="105"/>
      <c r="NWC134" s="105"/>
      <c r="NWD134" s="105"/>
      <c r="NWE134" s="105"/>
      <c r="NWF134" s="105"/>
      <c r="NWG134" s="105"/>
      <c r="NWH134" s="105"/>
      <c r="NWI134" s="105"/>
      <c r="NWJ134" s="105"/>
      <c r="NWK134" s="105"/>
      <c r="NWL134" s="105"/>
      <c r="NWM134" s="105"/>
      <c r="NWN134" s="105"/>
      <c r="NWO134" s="105"/>
      <c r="NWP134" s="105"/>
      <c r="NWQ134" s="105"/>
      <c r="NWR134" s="105"/>
      <c r="NWS134" s="105"/>
      <c r="NWT134" s="105"/>
      <c r="NWU134" s="105"/>
      <c r="NWV134" s="105"/>
      <c r="NWW134" s="105"/>
      <c r="NWX134" s="105"/>
      <c r="NWY134" s="105"/>
      <c r="NWZ134" s="105"/>
      <c r="NXA134" s="105"/>
      <c r="NXB134" s="105"/>
      <c r="NXC134" s="105"/>
      <c r="NXD134" s="105"/>
      <c r="NXE134" s="105"/>
      <c r="NXF134" s="105"/>
      <c r="NXG134" s="105"/>
      <c r="NXH134" s="105"/>
      <c r="NXI134" s="105"/>
      <c r="NXJ134" s="105"/>
      <c r="NXK134" s="105"/>
      <c r="NXL134" s="105"/>
      <c r="NXM134" s="105"/>
      <c r="NXN134" s="105"/>
      <c r="NXO134" s="105"/>
      <c r="NXP134" s="105"/>
      <c r="NXQ134" s="105"/>
      <c r="NXR134" s="105"/>
      <c r="NXS134" s="105"/>
      <c r="NXT134" s="105"/>
      <c r="NXU134" s="105"/>
      <c r="NXV134" s="105"/>
      <c r="NXW134" s="105"/>
      <c r="NXX134" s="105"/>
      <c r="NXY134" s="105"/>
      <c r="NXZ134" s="105"/>
      <c r="NYA134" s="105"/>
      <c r="NYB134" s="105"/>
      <c r="NYC134" s="105"/>
      <c r="NYD134" s="105"/>
      <c r="NYE134" s="105"/>
      <c r="NYF134" s="105"/>
      <c r="NYG134" s="105"/>
      <c r="NYH134" s="105"/>
      <c r="NYI134" s="105"/>
      <c r="NYJ134" s="105"/>
      <c r="NYK134" s="105"/>
      <c r="NYL134" s="105"/>
      <c r="NYM134" s="105"/>
      <c r="NYN134" s="105"/>
      <c r="NYO134" s="105"/>
      <c r="NYP134" s="105"/>
      <c r="NYQ134" s="105"/>
      <c r="NYR134" s="105"/>
      <c r="NYS134" s="105"/>
      <c r="NYT134" s="105"/>
      <c r="NYU134" s="105"/>
      <c r="NYV134" s="105"/>
      <c r="NYW134" s="105"/>
      <c r="NYX134" s="105"/>
      <c r="NYY134" s="105"/>
      <c r="NYZ134" s="105"/>
      <c r="NZA134" s="105"/>
      <c r="NZB134" s="105"/>
      <c r="NZC134" s="105"/>
      <c r="NZD134" s="105"/>
      <c r="NZE134" s="105"/>
      <c r="NZF134" s="105"/>
      <c r="NZG134" s="105"/>
      <c r="NZH134" s="105"/>
      <c r="NZI134" s="105"/>
      <c r="NZJ134" s="105"/>
      <c r="NZK134" s="105"/>
      <c r="NZL134" s="105"/>
      <c r="NZM134" s="105"/>
      <c r="NZN134" s="105"/>
      <c r="NZO134" s="105"/>
      <c r="NZP134" s="105"/>
      <c r="NZQ134" s="105"/>
      <c r="NZR134" s="105"/>
      <c r="NZS134" s="105"/>
      <c r="NZT134" s="105"/>
      <c r="NZU134" s="105"/>
      <c r="NZV134" s="105"/>
      <c r="NZW134" s="105"/>
      <c r="NZX134" s="105"/>
      <c r="NZY134" s="105"/>
      <c r="NZZ134" s="105"/>
      <c r="OAA134" s="105"/>
      <c r="OAB134" s="105"/>
      <c r="OAC134" s="105"/>
      <c r="OAD134" s="105"/>
      <c r="OAE134" s="105"/>
      <c r="OAF134" s="105"/>
      <c r="OAG134" s="105"/>
      <c r="OAH134" s="105"/>
      <c r="OAI134" s="105"/>
      <c r="OAJ134" s="105"/>
      <c r="OAK134" s="105"/>
      <c r="OAL134" s="105"/>
      <c r="OAM134" s="105"/>
      <c r="OAN134" s="105"/>
      <c r="OAO134" s="105"/>
      <c r="OAP134" s="105"/>
      <c r="OAQ134" s="105"/>
      <c r="OAR134" s="105"/>
      <c r="OAS134" s="105"/>
      <c r="OAT134" s="105"/>
      <c r="OAU134" s="105"/>
      <c r="OAV134" s="105"/>
      <c r="OAW134" s="105"/>
      <c r="OAX134" s="105"/>
      <c r="OAY134" s="105"/>
      <c r="OAZ134" s="105"/>
      <c r="OBA134" s="105"/>
      <c r="OBB134" s="105"/>
      <c r="OBC134" s="105"/>
      <c r="OBD134" s="105"/>
      <c r="OBE134" s="105"/>
      <c r="OBF134" s="105"/>
      <c r="OBG134" s="105"/>
      <c r="OBH134" s="105"/>
      <c r="OBI134" s="105"/>
      <c r="OBJ134" s="105"/>
      <c r="OBK134" s="105"/>
      <c r="OBL134" s="105"/>
      <c r="OBM134" s="105"/>
      <c r="OBN134" s="105"/>
      <c r="OBO134" s="105"/>
      <c r="OBP134" s="105"/>
      <c r="OBQ134" s="105"/>
      <c r="OBR134" s="105"/>
      <c r="OBS134" s="105"/>
      <c r="OBT134" s="105"/>
      <c r="OBU134" s="105"/>
      <c r="OBV134" s="105"/>
      <c r="OBW134" s="105"/>
      <c r="OBX134" s="105"/>
      <c r="OBY134" s="105"/>
      <c r="OBZ134" s="105"/>
      <c r="OCA134" s="105"/>
      <c r="OCB134" s="105"/>
      <c r="OCC134" s="105"/>
      <c r="OCD134" s="105"/>
      <c r="OCE134" s="105"/>
      <c r="OCF134" s="105"/>
      <c r="OCG134" s="105"/>
      <c r="OCH134" s="105"/>
      <c r="OCI134" s="105"/>
      <c r="OCJ134" s="105"/>
      <c r="OCK134" s="105"/>
      <c r="OCL134" s="105"/>
      <c r="OCM134" s="105"/>
      <c r="OCN134" s="105"/>
      <c r="OCO134" s="105"/>
      <c r="OCP134" s="105"/>
      <c r="OCQ134" s="105"/>
      <c r="OCR134" s="105"/>
      <c r="OCS134" s="105"/>
      <c r="OCT134" s="105"/>
      <c r="OCU134" s="105"/>
      <c r="OCV134" s="105"/>
      <c r="OCW134" s="105"/>
      <c r="OCX134" s="105"/>
      <c r="OCY134" s="105"/>
      <c r="OCZ134" s="105"/>
      <c r="ODA134" s="105"/>
      <c r="ODB134" s="105"/>
      <c r="ODC134" s="105"/>
      <c r="ODD134" s="105"/>
      <c r="ODE134" s="105"/>
      <c r="ODF134" s="105"/>
      <c r="ODG134" s="105"/>
      <c r="ODH134" s="105"/>
      <c r="ODI134" s="105"/>
      <c r="ODJ134" s="105"/>
      <c r="ODK134" s="105"/>
      <c r="ODL134" s="105"/>
      <c r="ODM134" s="105"/>
      <c r="ODN134" s="105"/>
      <c r="ODO134" s="105"/>
      <c r="ODP134" s="105"/>
      <c r="ODQ134" s="105"/>
      <c r="ODR134" s="105"/>
      <c r="ODS134" s="105"/>
      <c r="ODT134" s="105"/>
      <c r="ODU134" s="105"/>
      <c r="ODV134" s="105"/>
      <c r="ODW134" s="105"/>
      <c r="ODX134" s="105"/>
      <c r="ODY134" s="105"/>
      <c r="ODZ134" s="105"/>
      <c r="OEA134" s="105"/>
      <c r="OEB134" s="105"/>
      <c r="OEC134" s="105"/>
      <c r="OED134" s="105"/>
      <c r="OEE134" s="105"/>
      <c r="OEF134" s="105"/>
      <c r="OEG134" s="105"/>
      <c r="OEH134" s="105"/>
      <c r="OEI134" s="105"/>
      <c r="OEJ134" s="105"/>
      <c r="OEK134" s="105"/>
      <c r="OEL134" s="105"/>
      <c r="OEM134" s="105"/>
      <c r="OEN134" s="105"/>
      <c r="OEO134" s="105"/>
      <c r="OEP134" s="105"/>
      <c r="OEQ134" s="105"/>
      <c r="OER134" s="105"/>
      <c r="OES134" s="105"/>
      <c r="OET134" s="105"/>
      <c r="OEU134" s="105"/>
      <c r="OEV134" s="105"/>
      <c r="OEW134" s="105"/>
      <c r="OEX134" s="105"/>
      <c r="OEY134" s="105"/>
      <c r="OEZ134" s="105"/>
      <c r="OFA134" s="105"/>
      <c r="OFB134" s="105"/>
      <c r="OFC134" s="105"/>
      <c r="OFD134" s="105"/>
      <c r="OFE134" s="105"/>
      <c r="OFF134" s="105"/>
      <c r="OFG134" s="105"/>
      <c r="OFH134" s="105"/>
      <c r="OFI134" s="105"/>
      <c r="OFJ134" s="105"/>
      <c r="OFK134" s="105"/>
      <c r="OFL134" s="105"/>
      <c r="OFM134" s="105"/>
      <c r="OFN134" s="105"/>
      <c r="OFO134" s="105"/>
      <c r="OFP134" s="105"/>
      <c r="OFQ134" s="105"/>
      <c r="OFR134" s="105"/>
      <c r="OFS134" s="105"/>
      <c r="OFT134" s="105"/>
      <c r="OFU134" s="105"/>
      <c r="OFV134" s="105"/>
      <c r="OFW134" s="105"/>
      <c r="OFX134" s="105"/>
      <c r="OFY134" s="105"/>
      <c r="OFZ134" s="105"/>
      <c r="OGA134" s="105"/>
      <c r="OGB134" s="105"/>
      <c r="OGC134" s="105"/>
      <c r="OGD134" s="105"/>
      <c r="OGE134" s="105"/>
      <c r="OGF134" s="105"/>
      <c r="OGG134" s="105"/>
      <c r="OGH134" s="105"/>
      <c r="OGI134" s="105"/>
      <c r="OGJ134" s="105"/>
      <c r="OGK134" s="105"/>
      <c r="OGL134" s="105"/>
      <c r="OGM134" s="105"/>
      <c r="OGN134" s="105"/>
      <c r="OGO134" s="105"/>
      <c r="OGP134" s="105"/>
      <c r="OGQ134" s="105"/>
      <c r="OGR134" s="105"/>
      <c r="OGS134" s="105"/>
      <c r="OGT134" s="105"/>
      <c r="OGU134" s="105"/>
      <c r="OGV134" s="105"/>
      <c r="OGW134" s="105"/>
      <c r="OGX134" s="105"/>
      <c r="OGY134" s="105"/>
      <c r="OGZ134" s="105"/>
      <c r="OHA134" s="105"/>
      <c r="OHB134" s="105"/>
      <c r="OHC134" s="105"/>
      <c r="OHD134" s="105"/>
      <c r="OHE134" s="105"/>
      <c r="OHF134" s="105"/>
      <c r="OHG134" s="105"/>
      <c r="OHH134" s="105"/>
      <c r="OHI134" s="105"/>
      <c r="OHJ134" s="105"/>
      <c r="OHK134" s="105"/>
      <c r="OHL134" s="105"/>
      <c r="OHM134" s="105"/>
      <c r="OHN134" s="105"/>
      <c r="OHO134" s="105"/>
      <c r="OHP134" s="105"/>
      <c r="OHQ134" s="105"/>
      <c r="OHR134" s="105"/>
      <c r="OHS134" s="105"/>
      <c r="OHT134" s="105"/>
      <c r="OHU134" s="105"/>
      <c r="OHV134" s="105"/>
      <c r="OHW134" s="105"/>
      <c r="OHX134" s="105"/>
      <c r="OHY134" s="105"/>
      <c r="OHZ134" s="105"/>
      <c r="OIA134" s="105"/>
      <c r="OIB134" s="105"/>
      <c r="OIC134" s="105"/>
      <c r="OID134" s="105"/>
      <c r="OIE134" s="105"/>
      <c r="OIF134" s="105"/>
      <c r="OIG134" s="105"/>
      <c r="OIH134" s="105"/>
      <c r="OII134" s="105"/>
      <c r="OIJ134" s="105"/>
      <c r="OIK134" s="105"/>
      <c r="OIL134" s="105"/>
      <c r="OIM134" s="105"/>
      <c r="OIN134" s="105"/>
      <c r="OIO134" s="105"/>
      <c r="OIP134" s="105"/>
      <c r="OIQ134" s="105"/>
      <c r="OIR134" s="105"/>
      <c r="OIS134" s="105"/>
      <c r="OIT134" s="105"/>
      <c r="OIU134" s="105"/>
      <c r="OIV134" s="105"/>
      <c r="OIW134" s="105"/>
      <c r="OIX134" s="105"/>
      <c r="OIY134" s="105"/>
      <c r="OIZ134" s="105"/>
      <c r="OJA134" s="105"/>
      <c r="OJB134" s="105"/>
      <c r="OJC134" s="105"/>
      <c r="OJD134" s="105"/>
      <c r="OJE134" s="105"/>
      <c r="OJF134" s="105"/>
      <c r="OJG134" s="105"/>
      <c r="OJH134" s="105"/>
      <c r="OJI134" s="105"/>
      <c r="OJJ134" s="105"/>
      <c r="OJK134" s="105"/>
      <c r="OJL134" s="105"/>
      <c r="OJM134" s="105"/>
      <c r="OJN134" s="105"/>
      <c r="OJO134" s="105"/>
      <c r="OJP134" s="105"/>
      <c r="OJQ134" s="105"/>
      <c r="OJR134" s="105"/>
      <c r="OJS134" s="105"/>
      <c r="OJT134" s="105"/>
      <c r="OJU134" s="105"/>
      <c r="OJV134" s="105"/>
      <c r="OJW134" s="105"/>
      <c r="OJX134" s="105"/>
      <c r="OJY134" s="105"/>
      <c r="OJZ134" s="105"/>
      <c r="OKA134" s="105"/>
      <c r="OKB134" s="105"/>
      <c r="OKC134" s="105"/>
      <c r="OKD134" s="105"/>
      <c r="OKE134" s="105"/>
      <c r="OKF134" s="105"/>
      <c r="OKG134" s="105"/>
      <c r="OKH134" s="105"/>
      <c r="OKI134" s="105"/>
      <c r="OKJ134" s="105"/>
      <c r="OKK134" s="105"/>
      <c r="OKL134" s="105"/>
      <c r="OKM134" s="105"/>
      <c r="OKN134" s="105"/>
      <c r="OKO134" s="105"/>
      <c r="OKP134" s="105"/>
      <c r="OKQ134" s="105"/>
      <c r="OKR134" s="105"/>
      <c r="OKS134" s="105"/>
      <c r="OKT134" s="105"/>
      <c r="OKU134" s="105"/>
      <c r="OKV134" s="105"/>
      <c r="OKW134" s="105"/>
      <c r="OKX134" s="105"/>
      <c r="OKY134" s="105"/>
      <c r="OKZ134" s="105"/>
      <c r="OLA134" s="105"/>
      <c r="OLB134" s="105"/>
      <c r="OLC134" s="105"/>
      <c r="OLD134" s="105"/>
      <c r="OLE134" s="105"/>
      <c r="OLF134" s="105"/>
      <c r="OLG134" s="105"/>
      <c r="OLH134" s="105"/>
      <c r="OLI134" s="105"/>
      <c r="OLJ134" s="105"/>
      <c r="OLK134" s="105"/>
      <c r="OLL134" s="105"/>
      <c r="OLM134" s="105"/>
      <c r="OLN134" s="105"/>
      <c r="OLO134" s="105"/>
      <c r="OLP134" s="105"/>
      <c r="OLQ134" s="105"/>
      <c r="OLR134" s="105"/>
      <c r="OLS134" s="105"/>
      <c r="OLT134" s="105"/>
      <c r="OLU134" s="105"/>
      <c r="OLV134" s="105"/>
      <c r="OLW134" s="105"/>
      <c r="OLX134" s="105"/>
      <c r="OLY134" s="105"/>
      <c r="OLZ134" s="105"/>
      <c r="OMA134" s="105"/>
      <c r="OMB134" s="105"/>
      <c r="OMC134" s="105"/>
      <c r="OMD134" s="105"/>
      <c r="OME134" s="105"/>
      <c r="OMF134" s="105"/>
      <c r="OMG134" s="105"/>
      <c r="OMH134" s="105"/>
      <c r="OMI134" s="105"/>
      <c r="OMJ134" s="105"/>
      <c r="OMK134" s="105"/>
      <c r="OML134" s="105"/>
      <c r="OMM134" s="105"/>
      <c r="OMN134" s="105"/>
      <c r="OMO134" s="105"/>
      <c r="OMP134" s="105"/>
      <c r="OMQ134" s="105"/>
      <c r="OMR134" s="105"/>
      <c r="OMS134" s="105"/>
      <c r="OMT134" s="105"/>
      <c r="OMU134" s="105"/>
      <c r="OMV134" s="105"/>
      <c r="OMW134" s="105"/>
      <c r="OMX134" s="105"/>
      <c r="OMY134" s="105"/>
      <c r="OMZ134" s="105"/>
      <c r="ONA134" s="105"/>
      <c r="ONB134" s="105"/>
      <c r="ONC134" s="105"/>
      <c r="OND134" s="105"/>
      <c r="ONE134" s="105"/>
      <c r="ONF134" s="105"/>
      <c r="ONG134" s="105"/>
      <c r="ONH134" s="105"/>
      <c r="ONI134" s="105"/>
      <c r="ONJ134" s="105"/>
      <c r="ONK134" s="105"/>
      <c r="ONL134" s="105"/>
      <c r="ONM134" s="105"/>
      <c r="ONN134" s="105"/>
      <c r="ONO134" s="105"/>
      <c r="ONP134" s="105"/>
      <c r="ONQ134" s="105"/>
      <c r="ONR134" s="105"/>
      <c r="ONS134" s="105"/>
      <c r="ONT134" s="105"/>
      <c r="ONU134" s="105"/>
      <c r="ONV134" s="105"/>
      <c r="ONW134" s="105"/>
      <c r="ONX134" s="105"/>
      <c r="ONY134" s="105"/>
      <c r="ONZ134" s="105"/>
      <c r="OOA134" s="105"/>
      <c r="OOB134" s="105"/>
      <c r="OOC134" s="105"/>
      <c r="OOD134" s="105"/>
      <c r="OOE134" s="105"/>
      <c r="OOF134" s="105"/>
      <c r="OOG134" s="105"/>
      <c r="OOH134" s="105"/>
      <c r="OOI134" s="105"/>
      <c r="OOJ134" s="105"/>
      <c r="OOK134" s="105"/>
      <c r="OOL134" s="105"/>
      <c r="OOM134" s="105"/>
      <c r="OON134" s="105"/>
      <c r="OOO134" s="105"/>
      <c r="OOP134" s="105"/>
      <c r="OOQ134" s="105"/>
      <c r="OOR134" s="105"/>
      <c r="OOS134" s="105"/>
      <c r="OOT134" s="105"/>
      <c r="OOU134" s="105"/>
      <c r="OOV134" s="105"/>
      <c r="OOW134" s="105"/>
      <c r="OOX134" s="105"/>
      <c r="OOY134" s="105"/>
      <c r="OOZ134" s="105"/>
      <c r="OPA134" s="105"/>
      <c r="OPB134" s="105"/>
      <c r="OPC134" s="105"/>
      <c r="OPD134" s="105"/>
      <c r="OPE134" s="105"/>
      <c r="OPF134" s="105"/>
      <c r="OPG134" s="105"/>
      <c r="OPH134" s="105"/>
      <c r="OPI134" s="105"/>
      <c r="OPJ134" s="105"/>
      <c r="OPK134" s="105"/>
      <c r="OPL134" s="105"/>
      <c r="OPM134" s="105"/>
      <c r="OPN134" s="105"/>
      <c r="OPO134" s="105"/>
      <c r="OPP134" s="105"/>
      <c r="OPQ134" s="105"/>
      <c r="OPR134" s="105"/>
      <c r="OPS134" s="105"/>
      <c r="OPT134" s="105"/>
      <c r="OPU134" s="105"/>
      <c r="OPV134" s="105"/>
      <c r="OPW134" s="105"/>
      <c r="OPX134" s="105"/>
      <c r="OPY134" s="105"/>
      <c r="OPZ134" s="105"/>
      <c r="OQA134" s="105"/>
      <c r="OQB134" s="105"/>
      <c r="OQC134" s="105"/>
      <c r="OQD134" s="105"/>
      <c r="OQE134" s="105"/>
      <c r="OQF134" s="105"/>
      <c r="OQG134" s="105"/>
      <c r="OQH134" s="105"/>
      <c r="OQI134" s="105"/>
      <c r="OQJ134" s="105"/>
      <c r="OQK134" s="105"/>
      <c r="OQL134" s="105"/>
      <c r="OQM134" s="105"/>
      <c r="OQN134" s="105"/>
      <c r="OQO134" s="105"/>
      <c r="OQP134" s="105"/>
      <c r="OQQ134" s="105"/>
      <c r="OQR134" s="105"/>
      <c r="OQS134" s="105"/>
      <c r="OQT134" s="105"/>
      <c r="OQU134" s="105"/>
      <c r="OQV134" s="105"/>
      <c r="OQW134" s="105"/>
      <c r="OQX134" s="105"/>
      <c r="OQY134" s="105"/>
      <c r="OQZ134" s="105"/>
      <c r="ORA134" s="105"/>
      <c r="ORB134" s="105"/>
      <c r="ORC134" s="105"/>
      <c r="ORD134" s="105"/>
      <c r="ORE134" s="105"/>
      <c r="ORF134" s="105"/>
      <c r="ORG134" s="105"/>
      <c r="ORH134" s="105"/>
      <c r="ORI134" s="105"/>
      <c r="ORJ134" s="105"/>
      <c r="ORK134" s="105"/>
      <c r="ORL134" s="105"/>
      <c r="ORM134" s="105"/>
      <c r="ORN134" s="105"/>
      <c r="ORO134" s="105"/>
      <c r="ORP134" s="105"/>
      <c r="ORQ134" s="105"/>
      <c r="ORR134" s="105"/>
      <c r="ORS134" s="105"/>
      <c r="ORT134" s="105"/>
      <c r="ORU134" s="105"/>
      <c r="ORV134" s="105"/>
      <c r="ORW134" s="105"/>
      <c r="ORX134" s="105"/>
      <c r="ORY134" s="105"/>
      <c r="ORZ134" s="105"/>
      <c r="OSA134" s="105"/>
      <c r="OSB134" s="105"/>
      <c r="OSC134" s="105"/>
      <c r="OSD134" s="105"/>
      <c r="OSE134" s="105"/>
      <c r="OSF134" s="105"/>
      <c r="OSG134" s="105"/>
      <c r="OSH134" s="105"/>
      <c r="OSI134" s="105"/>
      <c r="OSJ134" s="105"/>
      <c r="OSK134" s="105"/>
      <c r="OSL134" s="105"/>
      <c r="OSM134" s="105"/>
      <c r="OSN134" s="105"/>
      <c r="OSO134" s="105"/>
      <c r="OSP134" s="105"/>
      <c r="OSQ134" s="105"/>
      <c r="OSR134" s="105"/>
      <c r="OSS134" s="105"/>
      <c r="OST134" s="105"/>
      <c r="OSU134" s="105"/>
      <c r="OSV134" s="105"/>
      <c r="OSW134" s="105"/>
      <c r="OSX134" s="105"/>
      <c r="OSY134" s="105"/>
      <c r="OSZ134" s="105"/>
      <c r="OTA134" s="105"/>
      <c r="OTB134" s="105"/>
      <c r="OTC134" s="105"/>
      <c r="OTD134" s="105"/>
      <c r="OTE134" s="105"/>
      <c r="OTF134" s="105"/>
      <c r="OTG134" s="105"/>
      <c r="OTH134" s="105"/>
      <c r="OTI134" s="105"/>
      <c r="OTJ134" s="105"/>
      <c r="OTK134" s="105"/>
      <c r="OTL134" s="105"/>
      <c r="OTM134" s="105"/>
      <c r="OTN134" s="105"/>
      <c r="OTO134" s="105"/>
      <c r="OTP134" s="105"/>
      <c r="OTQ134" s="105"/>
      <c r="OTR134" s="105"/>
      <c r="OTS134" s="105"/>
      <c r="OTT134" s="105"/>
      <c r="OTU134" s="105"/>
      <c r="OTV134" s="105"/>
      <c r="OTW134" s="105"/>
      <c r="OTX134" s="105"/>
      <c r="OTY134" s="105"/>
      <c r="OTZ134" s="105"/>
      <c r="OUA134" s="105"/>
      <c r="OUB134" s="105"/>
      <c r="OUC134" s="105"/>
      <c r="OUD134" s="105"/>
      <c r="OUE134" s="105"/>
      <c r="OUF134" s="105"/>
      <c r="OUG134" s="105"/>
      <c r="OUH134" s="105"/>
      <c r="OUI134" s="105"/>
      <c r="OUJ134" s="105"/>
      <c r="OUK134" s="105"/>
      <c r="OUL134" s="105"/>
      <c r="OUM134" s="105"/>
      <c r="OUN134" s="105"/>
      <c r="OUO134" s="105"/>
      <c r="OUP134" s="105"/>
      <c r="OUQ134" s="105"/>
      <c r="OUR134" s="105"/>
      <c r="OUS134" s="105"/>
      <c r="OUT134" s="105"/>
      <c r="OUU134" s="105"/>
      <c r="OUV134" s="105"/>
      <c r="OUW134" s="105"/>
      <c r="OUX134" s="105"/>
      <c r="OUY134" s="105"/>
      <c r="OUZ134" s="105"/>
      <c r="OVA134" s="105"/>
      <c r="OVB134" s="105"/>
      <c r="OVC134" s="105"/>
      <c r="OVD134" s="105"/>
      <c r="OVE134" s="105"/>
      <c r="OVF134" s="105"/>
      <c r="OVG134" s="105"/>
      <c r="OVH134" s="105"/>
      <c r="OVI134" s="105"/>
      <c r="OVJ134" s="105"/>
      <c r="OVK134" s="105"/>
      <c r="OVL134" s="105"/>
      <c r="OVM134" s="105"/>
      <c r="OVN134" s="105"/>
      <c r="OVO134" s="105"/>
      <c r="OVP134" s="105"/>
      <c r="OVQ134" s="105"/>
      <c r="OVR134" s="105"/>
      <c r="OVS134" s="105"/>
      <c r="OVT134" s="105"/>
      <c r="OVU134" s="105"/>
      <c r="OVV134" s="105"/>
      <c r="OVW134" s="105"/>
      <c r="OVX134" s="105"/>
      <c r="OVY134" s="105"/>
      <c r="OVZ134" s="105"/>
      <c r="OWA134" s="105"/>
      <c r="OWB134" s="105"/>
      <c r="OWC134" s="105"/>
      <c r="OWD134" s="105"/>
      <c r="OWE134" s="105"/>
      <c r="OWF134" s="105"/>
      <c r="OWG134" s="105"/>
      <c r="OWH134" s="105"/>
      <c r="OWI134" s="105"/>
      <c r="OWJ134" s="105"/>
      <c r="OWK134" s="105"/>
      <c r="OWL134" s="105"/>
      <c r="OWM134" s="105"/>
      <c r="OWN134" s="105"/>
      <c r="OWO134" s="105"/>
      <c r="OWP134" s="105"/>
      <c r="OWQ134" s="105"/>
      <c r="OWR134" s="105"/>
      <c r="OWS134" s="105"/>
      <c r="OWT134" s="105"/>
      <c r="OWU134" s="105"/>
      <c r="OWV134" s="105"/>
      <c r="OWW134" s="105"/>
      <c r="OWX134" s="105"/>
      <c r="OWY134" s="105"/>
      <c r="OWZ134" s="105"/>
      <c r="OXA134" s="105"/>
      <c r="OXB134" s="105"/>
      <c r="OXC134" s="105"/>
      <c r="OXD134" s="105"/>
      <c r="OXE134" s="105"/>
      <c r="OXF134" s="105"/>
      <c r="OXG134" s="105"/>
      <c r="OXH134" s="105"/>
      <c r="OXI134" s="105"/>
      <c r="OXJ134" s="105"/>
      <c r="OXK134" s="105"/>
      <c r="OXL134" s="105"/>
      <c r="OXM134" s="105"/>
      <c r="OXN134" s="105"/>
      <c r="OXO134" s="105"/>
      <c r="OXP134" s="105"/>
      <c r="OXQ134" s="105"/>
      <c r="OXR134" s="105"/>
      <c r="OXS134" s="105"/>
      <c r="OXT134" s="105"/>
      <c r="OXU134" s="105"/>
      <c r="OXV134" s="105"/>
      <c r="OXW134" s="105"/>
      <c r="OXX134" s="105"/>
      <c r="OXY134" s="105"/>
      <c r="OXZ134" s="105"/>
      <c r="OYA134" s="105"/>
      <c r="OYB134" s="105"/>
      <c r="OYC134" s="105"/>
      <c r="OYD134" s="105"/>
      <c r="OYE134" s="105"/>
      <c r="OYF134" s="105"/>
      <c r="OYG134" s="105"/>
      <c r="OYH134" s="105"/>
      <c r="OYI134" s="105"/>
      <c r="OYJ134" s="105"/>
      <c r="OYK134" s="105"/>
      <c r="OYL134" s="105"/>
      <c r="OYM134" s="105"/>
      <c r="OYN134" s="105"/>
      <c r="OYO134" s="105"/>
      <c r="OYP134" s="105"/>
      <c r="OYQ134" s="105"/>
      <c r="OYR134" s="105"/>
      <c r="OYS134" s="105"/>
      <c r="OYT134" s="105"/>
      <c r="OYU134" s="105"/>
      <c r="OYV134" s="105"/>
      <c r="OYW134" s="105"/>
      <c r="OYX134" s="105"/>
      <c r="OYY134" s="105"/>
      <c r="OYZ134" s="105"/>
      <c r="OZA134" s="105"/>
      <c r="OZB134" s="105"/>
      <c r="OZC134" s="105"/>
      <c r="OZD134" s="105"/>
      <c r="OZE134" s="105"/>
      <c r="OZF134" s="105"/>
      <c r="OZG134" s="105"/>
      <c r="OZH134" s="105"/>
      <c r="OZI134" s="105"/>
      <c r="OZJ134" s="105"/>
      <c r="OZK134" s="105"/>
      <c r="OZL134" s="105"/>
      <c r="OZM134" s="105"/>
      <c r="OZN134" s="105"/>
      <c r="OZO134" s="105"/>
      <c r="OZP134" s="105"/>
      <c r="OZQ134" s="105"/>
      <c r="OZR134" s="105"/>
      <c r="OZS134" s="105"/>
      <c r="OZT134" s="105"/>
      <c r="OZU134" s="105"/>
      <c r="OZV134" s="105"/>
      <c r="OZW134" s="105"/>
      <c r="OZX134" s="105"/>
      <c r="OZY134" s="105"/>
      <c r="OZZ134" s="105"/>
      <c r="PAA134" s="105"/>
      <c r="PAB134" s="105"/>
      <c r="PAC134" s="105"/>
      <c r="PAD134" s="105"/>
      <c r="PAE134" s="105"/>
      <c r="PAF134" s="105"/>
      <c r="PAG134" s="105"/>
      <c r="PAH134" s="105"/>
      <c r="PAI134" s="105"/>
      <c r="PAJ134" s="105"/>
      <c r="PAK134" s="105"/>
      <c r="PAL134" s="105"/>
      <c r="PAM134" s="105"/>
      <c r="PAN134" s="105"/>
      <c r="PAO134" s="105"/>
      <c r="PAP134" s="105"/>
      <c r="PAQ134" s="105"/>
      <c r="PAR134" s="105"/>
      <c r="PAS134" s="105"/>
      <c r="PAT134" s="105"/>
      <c r="PAU134" s="105"/>
      <c r="PAV134" s="105"/>
      <c r="PAW134" s="105"/>
      <c r="PAX134" s="105"/>
      <c r="PAY134" s="105"/>
      <c r="PAZ134" s="105"/>
      <c r="PBA134" s="105"/>
      <c r="PBB134" s="105"/>
      <c r="PBC134" s="105"/>
      <c r="PBD134" s="105"/>
      <c r="PBE134" s="105"/>
      <c r="PBF134" s="105"/>
      <c r="PBG134" s="105"/>
      <c r="PBH134" s="105"/>
      <c r="PBI134" s="105"/>
      <c r="PBJ134" s="105"/>
      <c r="PBK134" s="105"/>
      <c r="PBL134" s="105"/>
      <c r="PBM134" s="105"/>
      <c r="PBN134" s="105"/>
      <c r="PBO134" s="105"/>
      <c r="PBP134" s="105"/>
      <c r="PBQ134" s="105"/>
      <c r="PBR134" s="105"/>
      <c r="PBS134" s="105"/>
      <c r="PBT134" s="105"/>
      <c r="PBU134" s="105"/>
      <c r="PBV134" s="105"/>
      <c r="PBW134" s="105"/>
      <c r="PBX134" s="105"/>
      <c r="PBY134" s="105"/>
      <c r="PBZ134" s="105"/>
      <c r="PCA134" s="105"/>
      <c r="PCB134" s="105"/>
      <c r="PCC134" s="105"/>
      <c r="PCD134" s="105"/>
      <c r="PCE134" s="105"/>
      <c r="PCF134" s="105"/>
      <c r="PCG134" s="105"/>
      <c r="PCH134" s="105"/>
      <c r="PCI134" s="105"/>
      <c r="PCJ134" s="105"/>
      <c r="PCK134" s="105"/>
      <c r="PCL134" s="105"/>
      <c r="PCM134" s="105"/>
      <c r="PCN134" s="105"/>
      <c r="PCO134" s="105"/>
      <c r="PCP134" s="105"/>
      <c r="PCQ134" s="105"/>
      <c r="PCR134" s="105"/>
      <c r="PCS134" s="105"/>
      <c r="PCT134" s="105"/>
      <c r="PCU134" s="105"/>
      <c r="PCV134" s="105"/>
      <c r="PCW134" s="105"/>
      <c r="PCX134" s="105"/>
      <c r="PCY134" s="105"/>
      <c r="PCZ134" s="105"/>
      <c r="PDA134" s="105"/>
      <c r="PDB134" s="105"/>
      <c r="PDC134" s="105"/>
      <c r="PDD134" s="105"/>
      <c r="PDE134" s="105"/>
      <c r="PDF134" s="105"/>
      <c r="PDG134" s="105"/>
      <c r="PDH134" s="105"/>
      <c r="PDI134" s="105"/>
      <c r="PDJ134" s="105"/>
      <c r="PDK134" s="105"/>
      <c r="PDL134" s="105"/>
      <c r="PDM134" s="105"/>
      <c r="PDN134" s="105"/>
      <c r="PDO134" s="105"/>
      <c r="PDP134" s="105"/>
      <c r="PDQ134" s="105"/>
      <c r="PDR134" s="105"/>
      <c r="PDS134" s="105"/>
      <c r="PDT134" s="105"/>
      <c r="PDU134" s="105"/>
      <c r="PDV134" s="105"/>
      <c r="PDW134" s="105"/>
      <c r="PDX134" s="105"/>
      <c r="PDY134" s="105"/>
      <c r="PDZ134" s="105"/>
      <c r="PEA134" s="105"/>
      <c r="PEB134" s="105"/>
      <c r="PEC134" s="105"/>
      <c r="PED134" s="105"/>
      <c r="PEE134" s="105"/>
      <c r="PEF134" s="105"/>
      <c r="PEG134" s="105"/>
      <c r="PEH134" s="105"/>
      <c r="PEI134" s="105"/>
      <c r="PEJ134" s="105"/>
      <c r="PEK134" s="105"/>
      <c r="PEL134" s="105"/>
      <c r="PEM134" s="105"/>
      <c r="PEN134" s="105"/>
      <c r="PEO134" s="105"/>
      <c r="PEP134" s="105"/>
      <c r="PEQ134" s="105"/>
      <c r="PER134" s="105"/>
      <c r="PES134" s="105"/>
      <c r="PET134" s="105"/>
      <c r="PEU134" s="105"/>
      <c r="PEV134" s="105"/>
      <c r="PEW134" s="105"/>
      <c r="PEX134" s="105"/>
      <c r="PEY134" s="105"/>
      <c r="PEZ134" s="105"/>
      <c r="PFA134" s="105"/>
      <c r="PFB134" s="105"/>
      <c r="PFC134" s="105"/>
      <c r="PFD134" s="105"/>
      <c r="PFE134" s="105"/>
      <c r="PFF134" s="105"/>
      <c r="PFG134" s="105"/>
      <c r="PFH134" s="105"/>
      <c r="PFI134" s="105"/>
      <c r="PFJ134" s="105"/>
      <c r="PFK134" s="105"/>
      <c r="PFL134" s="105"/>
      <c r="PFM134" s="105"/>
      <c r="PFN134" s="105"/>
      <c r="PFO134" s="105"/>
      <c r="PFP134" s="105"/>
      <c r="PFQ134" s="105"/>
      <c r="PFR134" s="105"/>
      <c r="PFS134" s="105"/>
      <c r="PFT134" s="105"/>
      <c r="PFU134" s="105"/>
      <c r="PFV134" s="105"/>
      <c r="PFW134" s="105"/>
      <c r="PFX134" s="105"/>
      <c r="PFY134" s="105"/>
      <c r="PFZ134" s="105"/>
      <c r="PGA134" s="105"/>
      <c r="PGB134" s="105"/>
      <c r="PGC134" s="105"/>
      <c r="PGD134" s="105"/>
      <c r="PGE134" s="105"/>
      <c r="PGF134" s="105"/>
      <c r="PGG134" s="105"/>
      <c r="PGH134" s="105"/>
      <c r="PGI134" s="105"/>
      <c r="PGJ134" s="105"/>
      <c r="PGK134" s="105"/>
      <c r="PGL134" s="105"/>
      <c r="PGM134" s="105"/>
      <c r="PGN134" s="105"/>
      <c r="PGO134" s="105"/>
      <c r="PGP134" s="105"/>
      <c r="PGQ134" s="105"/>
      <c r="PGR134" s="105"/>
      <c r="PGS134" s="105"/>
      <c r="PGT134" s="105"/>
      <c r="PGU134" s="105"/>
      <c r="PGV134" s="105"/>
      <c r="PGW134" s="105"/>
      <c r="PGX134" s="105"/>
      <c r="PGY134" s="105"/>
      <c r="PGZ134" s="105"/>
      <c r="PHA134" s="105"/>
      <c r="PHB134" s="105"/>
      <c r="PHC134" s="105"/>
      <c r="PHD134" s="105"/>
      <c r="PHE134" s="105"/>
      <c r="PHF134" s="105"/>
      <c r="PHG134" s="105"/>
      <c r="PHH134" s="105"/>
      <c r="PHI134" s="105"/>
      <c r="PHJ134" s="105"/>
      <c r="PHK134" s="105"/>
      <c r="PHL134" s="105"/>
      <c r="PHM134" s="105"/>
      <c r="PHN134" s="105"/>
      <c r="PHO134" s="105"/>
      <c r="PHP134" s="105"/>
      <c r="PHQ134" s="105"/>
      <c r="PHR134" s="105"/>
      <c r="PHS134" s="105"/>
      <c r="PHT134" s="105"/>
      <c r="PHU134" s="105"/>
      <c r="PHV134" s="105"/>
      <c r="PHW134" s="105"/>
      <c r="PHX134" s="105"/>
      <c r="PHY134" s="105"/>
      <c r="PHZ134" s="105"/>
      <c r="PIA134" s="105"/>
      <c r="PIB134" s="105"/>
      <c r="PIC134" s="105"/>
      <c r="PID134" s="105"/>
      <c r="PIE134" s="105"/>
      <c r="PIF134" s="105"/>
      <c r="PIG134" s="105"/>
      <c r="PIH134" s="105"/>
      <c r="PII134" s="105"/>
      <c r="PIJ134" s="105"/>
      <c r="PIK134" s="105"/>
      <c r="PIL134" s="105"/>
      <c r="PIM134" s="105"/>
      <c r="PIN134" s="105"/>
      <c r="PIO134" s="105"/>
      <c r="PIP134" s="105"/>
      <c r="PIQ134" s="105"/>
      <c r="PIR134" s="105"/>
      <c r="PIS134" s="105"/>
      <c r="PIT134" s="105"/>
      <c r="PIU134" s="105"/>
      <c r="PIV134" s="105"/>
      <c r="PIW134" s="105"/>
      <c r="PIX134" s="105"/>
      <c r="PIY134" s="105"/>
      <c r="PIZ134" s="105"/>
      <c r="PJA134" s="105"/>
      <c r="PJB134" s="105"/>
      <c r="PJC134" s="105"/>
      <c r="PJD134" s="105"/>
      <c r="PJE134" s="105"/>
      <c r="PJF134" s="105"/>
      <c r="PJG134" s="105"/>
      <c r="PJH134" s="105"/>
      <c r="PJI134" s="105"/>
      <c r="PJJ134" s="105"/>
      <c r="PJK134" s="105"/>
      <c r="PJL134" s="105"/>
      <c r="PJM134" s="105"/>
      <c r="PJN134" s="105"/>
      <c r="PJO134" s="105"/>
      <c r="PJP134" s="105"/>
      <c r="PJQ134" s="105"/>
      <c r="PJR134" s="105"/>
      <c r="PJS134" s="105"/>
      <c r="PJT134" s="105"/>
      <c r="PJU134" s="105"/>
      <c r="PJV134" s="105"/>
      <c r="PJW134" s="105"/>
      <c r="PJX134" s="105"/>
      <c r="PJY134" s="105"/>
      <c r="PJZ134" s="105"/>
      <c r="PKA134" s="105"/>
      <c r="PKB134" s="105"/>
      <c r="PKC134" s="105"/>
      <c r="PKD134" s="105"/>
      <c r="PKE134" s="105"/>
      <c r="PKF134" s="105"/>
      <c r="PKG134" s="105"/>
      <c r="PKH134" s="105"/>
      <c r="PKI134" s="105"/>
      <c r="PKJ134" s="105"/>
      <c r="PKK134" s="105"/>
      <c r="PKL134" s="105"/>
      <c r="PKM134" s="105"/>
      <c r="PKN134" s="105"/>
      <c r="PKO134" s="105"/>
      <c r="PKP134" s="105"/>
      <c r="PKQ134" s="105"/>
      <c r="PKR134" s="105"/>
      <c r="PKS134" s="105"/>
      <c r="PKT134" s="105"/>
      <c r="PKU134" s="105"/>
      <c r="PKV134" s="105"/>
      <c r="PKW134" s="105"/>
      <c r="PKX134" s="105"/>
      <c r="PKY134" s="105"/>
      <c r="PKZ134" s="105"/>
      <c r="PLA134" s="105"/>
      <c r="PLB134" s="105"/>
      <c r="PLC134" s="105"/>
      <c r="PLD134" s="105"/>
      <c r="PLE134" s="105"/>
      <c r="PLF134" s="105"/>
      <c r="PLG134" s="105"/>
      <c r="PLH134" s="105"/>
      <c r="PLI134" s="105"/>
      <c r="PLJ134" s="105"/>
      <c r="PLK134" s="105"/>
      <c r="PLL134" s="105"/>
      <c r="PLM134" s="105"/>
      <c r="PLN134" s="105"/>
      <c r="PLO134" s="105"/>
      <c r="PLP134" s="105"/>
      <c r="PLQ134" s="105"/>
      <c r="PLR134" s="105"/>
      <c r="PLS134" s="105"/>
      <c r="PLT134" s="105"/>
      <c r="PLU134" s="105"/>
      <c r="PLV134" s="105"/>
      <c r="PLW134" s="105"/>
      <c r="PLX134" s="105"/>
      <c r="PLY134" s="105"/>
      <c r="PLZ134" s="105"/>
      <c r="PMA134" s="105"/>
      <c r="PMB134" s="105"/>
      <c r="PMC134" s="105"/>
      <c r="PMD134" s="105"/>
      <c r="PME134" s="105"/>
      <c r="PMF134" s="105"/>
      <c r="PMG134" s="105"/>
      <c r="PMH134" s="105"/>
      <c r="PMI134" s="105"/>
      <c r="PMJ134" s="105"/>
      <c r="PMK134" s="105"/>
      <c r="PML134" s="105"/>
      <c r="PMM134" s="105"/>
      <c r="PMN134" s="105"/>
      <c r="PMO134" s="105"/>
      <c r="PMP134" s="105"/>
      <c r="PMQ134" s="105"/>
      <c r="PMR134" s="105"/>
      <c r="PMS134" s="105"/>
      <c r="PMT134" s="105"/>
      <c r="PMU134" s="105"/>
      <c r="PMV134" s="105"/>
      <c r="PMW134" s="105"/>
      <c r="PMX134" s="105"/>
      <c r="PMY134" s="105"/>
      <c r="PMZ134" s="105"/>
      <c r="PNA134" s="105"/>
      <c r="PNB134" s="105"/>
      <c r="PNC134" s="105"/>
      <c r="PND134" s="105"/>
      <c r="PNE134" s="105"/>
      <c r="PNF134" s="105"/>
      <c r="PNG134" s="105"/>
      <c r="PNH134" s="105"/>
      <c r="PNI134" s="105"/>
      <c r="PNJ134" s="105"/>
      <c r="PNK134" s="105"/>
      <c r="PNL134" s="105"/>
      <c r="PNM134" s="105"/>
      <c r="PNN134" s="105"/>
      <c r="PNO134" s="105"/>
      <c r="PNP134" s="105"/>
      <c r="PNQ134" s="105"/>
      <c r="PNR134" s="105"/>
      <c r="PNS134" s="105"/>
      <c r="PNT134" s="105"/>
      <c r="PNU134" s="105"/>
      <c r="PNV134" s="105"/>
      <c r="PNW134" s="105"/>
      <c r="PNX134" s="105"/>
      <c r="PNY134" s="105"/>
      <c r="PNZ134" s="105"/>
      <c r="POA134" s="105"/>
      <c r="POB134" s="105"/>
      <c r="POC134" s="105"/>
      <c r="POD134" s="105"/>
      <c r="POE134" s="105"/>
      <c r="POF134" s="105"/>
      <c r="POG134" s="105"/>
      <c r="POH134" s="105"/>
      <c r="POI134" s="105"/>
      <c r="POJ134" s="105"/>
      <c r="POK134" s="105"/>
      <c r="POL134" s="105"/>
      <c r="POM134" s="105"/>
      <c r="PON134" s="105"/>
      <c r="POO134" s="105"/>
      <c r="POP134" s="105"/>
      <c r="POQ134" s="105"/>
      <c r="POR134" s="105"/>
      <c r="POS134" s="105"/>
      <c r="POT134" s="105"/>
      <c r="POU134" s="105"/>
      <c r="POV134" s="105"/>
      <c r="POW134" s="105"/>
      <c r="POX134" s="105"/>
      <c r="POY134" s="105"/>
      <c r="POZ134" s="105"/>
      <c r="PPA134" s="105"/>
      <c r="PPB134" s="105"/>
      <c r="PPC134" s="105"/>
      <c r="PPD134" s="105"/>
      <c r="PPE134" s="105"/>
      <c r="PPF134" s="105"/>
      <c r="PPG134" s="105"/>
      <c r="PPH134" s="105"/>
      <c r="PPI134" s="105"/>
      <c r="PPJ134" s="105"/>
      <c r="PPK134" s="105"/>
      <c r="PPL134" s="105"/>
      <c r="PPM134" s="105"/>
      <c r="PPN134" s="105"/>
      <c r="PPO134" s="105"/>
      <c r="PPP134" s="105"/>
      <c r="PPQ134" s="105"/>
      <c r="PPR134" s="105"/>
      <c r="PPS134" s="105"/>
      <c r="PPT134" s="105"/>
      <c r="PPU134" s="105"/>
      <c r="PPV134" s="105"/>
      <c r="PPW134" s="105"/>
      <c r="PPX134" s="105"/>
      <c r="PPY134" s="105"/>
      <c r="PPZ134" s="105"/>
      <c r="PQA134" s="105"/>
      <c r="PQB134" s="105"/>
      <c r="PQC134" s="105"/>
      <c r="PQD134" s="105"/>
      <c r="PQE134" s="105"/>
      <c r="PQF134" s="105"/>
      <c r="PQG134" s="105"/>
      <c r="PQH134" s="105"/>
      <c r="PQI134" s="105"/>
      <c r="PQJ134" s="105"/>
      <c r="PQK134" s="105"/>
      <c r="PQL134" s="105"/>
      <c r="PQM134" s="105"/>
      <c r="PQN134" s="105"/>
      <c r="PQO134" s="105"/>
      <c r="PQP134" s="105"/>
      <c r="PQQ134" s="105"/>
      <c r="PQR134" s="105"/>
      <c r="PQS134" s="105"/>
      <c r="PQT134" s="105"/>
      <c r="PQU134" s="105"/>
      <c r="PQV134" s="105"/>
      <c r="PQW134" s="105"/>
      <c r="PQX134" s="105"/>
      <c r="PQY134" s="105"/>
      <c r="PQZ134" s="105"/>
      <c r="PRA134" s="105"/>
      <c r="PRB134" s="105"/>
      <c r="PRC134" s="105"/>
      <c r="PRD134" s="105"/>
      <c r="PRE134" s="105"/>
      <c r="PRF134" s="105"/>
      <c r="PRG134" s="105"/>
      <c r="PRH134" s="105"/>
      <c r="PRI134" s="105"/>
      <c r="PRJ134" s="105"/>
      <c r="PRK134" s="105"/>
      <c r="PRL134" s="105"/>
      <c r="PRM134" s="105"/>
      <c r="PRN134" s="105"/>
      <c r="PRO134" s="105"/>
      <c r="PRP134" s="105"/>
      <c r="PRQ134" s="105"/>
      <c r="PRR134" s="105"/>
      <c r="PRS134" s="105"/>
      <c r="PRT134" s="105"/>
      <c r="PRU134" s="105"/>
      <c r="PRV134" s="105"/>
      <c r="PRW134" s="105"/>
      <c r="PRX134" s="105"/>
      <c r="PRY134" s="105"/>
      <c r="PRZ134" s="105"/>
      <c r="PSA134" s="105"/>
      <c r="PSB134" s="105"/>
      <c r="PSC134" s="105"/>
      <c r="PSD134" s="105"/>
      <c r="PSE134" s="105"/>
      <c r="PSF134" s="105"/>
      <c r="PSG134" s="105"/>
      <c r="PSH134" s="105"/>
      <c r="PSI134" s="105"/>
      <c r="PSJ134" s="105"/>
      <c r="PSK134" s="105"/>
      <c r="PSL134" s="105"/>
      <c r="PSM134" s="105"/>
      <c r="PSN134" s="105"/>
      <c r="PSO134" s="105"/>
      <c r="PSP134" s="105"/>
      <c r="PSQ134" s="105"/>
      <c r="PSR134" s="105"/>
      <c r="PSS134" s="105"/>
      <c r="PST134" s="105"/>
      <c r="PSU134" s="105"/>
      <c r="PSV134" s="105"/>
      <c r="PSW134" s="105"/>
      <c r="PSX134" s="105"/>
      <c r="PSY134" s="105"/>
      <c r="PSZ134" s="105"/>
      <c r="PTA134" s="105"/>
      <c r="PTB134" s="105"/>
      <c r="PTC134" s="105"/>
      <c r="PTD134" s="105"/>
      <c r="PTE134" s="105"/>
      <c r="PTF134" s="105"/>
      <c r="PTG134" s="105"/>
      <c r="PTH134" s="105"/>
      <c r="PTI134" s="105"/>
      <c r="PTJ134" s="105"/>
      <c r="PTK134" s="105"/>
      <c r="PTL134" s="105"/>
      <c r="PTM134" s="105"/>
      <c r="PTN134" s="105"/>
      <c r="PTO134" s="105"/>
      <c r="PTP134" s="105"/>
      <c r="PTQ134" s="105"/>
      <c r="PTR134" s="105"/>
      <c r="PTS134" s="105"/>
      <c r="PTT134" s="105"/>
      <c r="PTU134" s="105"/>
      <c r="PTV134" s="105"/>
      <c r="PTW134" s="105"/>
      <c r="PTX134" s="105"/>
      <c r="PTY134" s="105"/>
      <c r="PTZ134" s="105"/>
      <c r="PUA134" s="105"/>
      <c r="PUB134" s="105"/>
      <c r="PUC134" s="105"/>
      <c r="PUD134" s="105"/>
      <c r="PUE134" s="105"/>
      <c r="PUF134" s="105"/>
      <c r="PUG134" s="105"/>
      <c r="PUH134" s="105"/>
      <c r="PUI134" s="105"/>
      <c r="PUJ134" s="105"/>
      <c r="PUK134" s="105"/>
      <c r="PUL134" s="105"/>
      <c r="PUM134" s="105"/>
      <c r="PUN134" s="105"/>
      <c r="PUO134" s="105"/>
      <c r="PUP134" s="105"/>
      <c r="PUQ134" s="105"/>
      <c r="PUR134" s="105"/>
      <c r="PUS134" s="105"/>
      <c r="PUT134" s="105"/>
      <c r="PUU134" s="105"/>
      <c r="PUV134" s="105"/>
      <c r="PUW134" s="105"/>
      <c r="PUX134" s="105"/>
      <c r="PUY134" s="105"/>
      <c r="PUZ134" s="105"/>
      <c r="PVA134" s="105"/>
      <c r="PVB134" s="105"/>
      <c r="PVC134" s="105"/>
      <c r="PVD134" s="105"/>
      <c r="PVE134" s="105"/>
      <c r="PVF134" s="105"/>
      <c r="PVG134" s="105"/>
      <c r="PVH134" s="105"/>
      <c r="PVI134" s="105"/>
      <c r="PVJ134" s="105"/>
      <c r="PVK134" s="105"/>
      <c r="PVL134" s="105"/>
      <c r="PVM134" s="105"/>
      <c r="PVN134" s="105"/>
      <c r="PVO134" s="105"/>
      <c r="PVP134" s="105"/>
      <c r="PVQ134" s="105"/>
      <c r="PVR134" s="105"/>
      <c r="PVS134" s="105"/>
      <c r="PVT134" s="105"/>
      <c r="PVU134" s="105"/>
      <c r="PVV134" s="105"/>
      <c r="PVW134" s="105"/>
      <c r="PVX134" s="105"/>
      <c r="PVY134" s="105"/>
      <c r="PVZ134" s="105"/>
      <c r="PWA134" s="105"/>
      <c r="PWB134" s="105"/>
      <c r="PWC134" s="105"/>
      <c r="PWD134" s="105"/>
      <c r="PWE134" s="105"/>
      <c r="PWF134" s="105"/>
      <c r="PWG134" s="105"/>
      <c r="PWH134" s="105"/>
      <c r="PWI134" s="105"/>
      <c r="PWJ134" s="105"/>
      <c r="PWK134" s="105"/>
      <c r="PWL134" s="105"/>
      <c r="PWM134" s="105"/>
      <c r="PWN134" s="105"/>
      <c r="PWO134" s="105"/>
      <c r="PWP134" s="105"/>
      <c r="PWQ134" s="105"/>
      <c r="PWR134" s="105"/>
      <c r="PWS134" s="105"/>
      <c r="PWT134" s="105"/>
      <c r="PWU134" s="105"/>
      <c r="PWV134" s="105"/>
      <c r="PWW134" s="105"/>
      <c r="PWX134" s="105"/>
      <c r="PWY134" s="105"/>
      <c r="PWZ134" s="105"/>
      <c r="PXA134" s="105"/>
      <c r="PXB134" s="105"/>
      <c r="PXC134" s="105"/>
      <c r="PXD134" s="105"/>
      <c r="PXE134" s="105"/>
      <c r="PXF134" s="105"/>
      <c r="PXG134" s="105"/>
      <c r="PXH134" s="105"/>
      <c r="PXI134" s="105"/>
      <c r="PXJ134" s="105"/>
      <c r="PXK134" s="105"/>
      <c r="PXL134" s="105"/>
      <c r="PXM134" s="105"/>
      <c r="PXN134" s="105"/>
      <c r="PXO134" s="105"/>
      <c r="PXP134" s="105"/>
      <c r="PXQ134" s="105"/>
      <c r="PXR134" s="105"/>
      <c r="PXS134" s="105"/>
      <c r="PXT134" s="105"/>
      <c r="PXU134" s="105"/>
      <c r="PXV134" s="105"/>
      <c r="PXW134" s="105"/>
      <c r="PXX134" s="105"/>
      <c r="PXY134" s="105"/>
      <c r="PXZ134" s="105"/>
      <c r="PYA134" s="105"/>
      <c r="PYB134" s="105"/>
      <c r="PYC134" s="105"/>
      <c r="PYD134" s="105"/>
      <c r="PYE134" s="105"/>
      <c r="PYF134" s="105"/>
      <c r="PYG134" s="105"/>
      <c r="PYH134" s="105"/>
      <c r="PYI134" s="105"/>
      <c r="PYJ134" s="105"/>
      <c r="PYK134" s="105"/>
      <c r="PYL134" s="105"/>
      <c r="PYM134" s="105"/>
      <c r="PYN134" s="105"/>
      <c r="PYO134" s="105"/>
      <c r="PYP134" s="105"/>
      <c r="PYQ134" s="105"/>
      <c r="PYR134" s="105"/>
      <c r="PYS134" s="105"/>
      <c r="PYT134" s="105"/>
      <c r="PYU134" s="105"/>
      <c r="PYV134" s="105"/>
      <c r="PYW134" s="105"/>
      <c r="PYX134" s="105"/>
      <c r="PYY134" s="105"/>
      <c r="PYZ134" s="105"/>
      <c r="PZA134" s="105"/>
      <c r="PZB134" s="105"/>
      <c r="PZC134" s="105"/>
      <c r="PZD134" s="105"/>
      <c r="PZE134" s="105"/>
      <c r="PZF134" s="105"/>
      <c r="PZG134" s="105"/>
      <c r="PZH134" s="105"/>
      <c r="PZI134" s="105"/>
      <c r="PZJ134" s="105"/>
      <c r="PZK134" s="105"/>
      <c r="PZL134" s="105"/>
      <c r="PZM134" s="105"/>
      <c r="PZN134" s="105"/>
      <c r="PZO134" s="105"/>
      <c r="PZP134" s="105"/>
      <c r="PZQ134" s="105"/>
      <c r="PZR134" s="105"/>
      <c r="PZS134" s="105"/>
      <c r="PZT134" s="105"/>
      <c r="PZU134" s="105"/>
      <c r="PZV134" s="105"/>
      <c r="PZW134" s="105"/>
      <c r="PZX134" s="105"/>
      <c r="PZY134" s="105"/>
      <c r="PZZ134" s="105"/>
      <c r="QAA134" s="105"/>
      <c r="QAB134" s="105"/>
      <c r="QAC134" s="105"/>
      <c r="QAD134" s="105"/>
      <c r="QAE134" s="105"/>
      <c r="QAF134" s="105"/>
      <c r="QAG134" s="105"/>
      <c r="QAH134" s="105"/>
      <c r="QAI134" s="105"/>
      <c r="QAJ134" s="105"/>
      <c r="QAK134" s="105"/>
      <c r="QAL134" s="105"/>
      <c r="QAM134" s="105"/>
      <c r="QAN134" s="105"/>
      <c r="QAO134" s="105"/>
      <c r="QAP134" s="105"/>
      <c r="QAQ134" s="105"/>
      <c r="QAR134" s="105"/>
      <c r="QAS134" s="105"/>
      <c r="QAT134" s="105"/>
      <c r="QAU134" s="105"/>
      <c r="QAV134" s="105"/>
      <c r="QAW134" s="105"/>
      <c r="QAX134" s="105"/>
      <c r="QAY134" s="105"/>
      <c r="QAZ134" s="105"/>
      <c r="QBA134" s="105"/>
      <c r="QBB134" s="105"/>
      <c r="QBC134" s="105"/>
      <c r="QBD134" s="105"/>
      <c r="QBE134" s="105"/>
      <c r="QBF134" s="105"/>
      <c r="QBG134" s="105"/>
      <c r="QBH134" s="105"/>
      <c r="QBI134" s="105"/>
      <c r="QBJ134" s="105"/>
      <c r="QBK134" s="105"/>
      <c r="QBL134" s="105"/>
      <c r="QBM134" s="105"/>
      <c r="QBN134" s="105"/>
      <c r="QBO134" s="105"/>
      <c r="QBP134" s="105"/>
      <c r="QBQ134" s="105"/>
      <c r="QBR134" s="105"/>
      <c r="QBS134" s="105"/>
      <c r="QBT134" s="105"/>
      <c r="QBU134" s="105"/>
      <c r="QBV134" s="105"/>
      <c r="QBW134" s="105"/>
      <c r="QBX134" s="105"/>
      <c r="QBY134" s="105"/>
      <c r="QBZ134" s="105"/>
      <c r="QCA134" s="105"/>
      <c r="QCB134" s="105"/>
      <c r="QCC134" s="105"/>
      <c r="QCD134" s="105"/>
      <c r="QCE134" s="105"/>
      <c r="QCF134" s="105"/>
      <c r="QCG134" s="105"/>
      <c r="QCH134" s="105"/>
      <c r="QCI134" s="105"/>
      <c r="QCJ134" s="105"/>
      <c r="QCK134" s="105"/>
      <c r="QCL134" s="105"/>
      <c r="QCM134" s="105"/>
      <c r="QCN134" s="105"/>
      <c r="QCO134" s="105"/>
      <c r="QCP134" s="105"/>
      <c r="QCQ134" s="105"/>
      <c r="QCR134" s="105"/>
      <c r="QCS134" s="105"/>
      <c r="QCT134" s="105"/>
      <c r="QCU134" s="105"/>
      <c r="QCV134" s="105"/>
      <c r="QCW134" s="105"/>
      <c r="QCX134" s="105"/>
      <c r="QCY134" s="105"/>
      <c r="QCZ134" s="105"/>
      <c r="QDA134" s="105"/>
      <c r="QDB134" s="105"/>
      <c r="QDC134" s="105"/>
      <c r="QDD134" s="105"/>
      <c r="QDE134" s="105"/>
      <c r="QDF134" s="105"/>
      <c r="QDG134" s="105"/>
      <c r="QDH134" s="105"/>
      <c r="QDI134" s="105"/>
      <c r="QDJ134" s="105"/>
      <c r="QDK134" s="105"/>
      <c r="QDL134" s="105"/>
      <c r="QDM134" s="105"/>
      <c r="QDN134" s="105"/>
      <c r="QDO134" s="105"/>
      <c r="QDP134" s="105"/>
      <c r="QDQ134" s="105"/>
      <c r="QDR134" s="105"/>
      <c r="QDS134" s="105"/>
      <c r="QDT134" s="105"/>
      <c r="QDU134" s="105"/>
      <c r="QDV134" s="105"/>
      <c r="QDW134" s="105"/>
      <c r="QDX134" s="105"/>
      <c r="QDY134" s="105"/>
      <c r="QDZ134" s="105"/>
      <c r="QEA134" s="105"/>
      <c r="QEB134" s="105"/>
      <c r="QEC134" s="105"/>
      <c r="QED134" s="105"/>
      <c r="QEE134" s="105"/>
      <c r="QEF134" s="105"/>
      <c r="QEG134" s="105"/>
      <c r="QEH134" s="105"/>
      <c r="QEI134" s="105"/>
      <c r="QEJ134" s="105"/>
      <c r="QEK134" s="105"/>
      <c r="QEL134" s="105"/>
      <c r="QEM134" s="105"/>
      <c r="QEN134" s="105"/>
      <c r="QEO134" s="105"/>
      <c r="QEP134" s="105"/>
      <c r="QEQ134" s="105"/>
      <c r="QER134" s="105"/>
      <c r="QES134" s="105"/>
      <c r="QET134" s="105"/>
      <c r="QEU134" s="105"/>
      <c r="QEV134" s="105"/>
      <c r="QEW134" s="105"/>
      <c r="QEX134" s="105"/>
      <c r="QEY134" s="105"/>
      <c r="QEZ134" s="105"/>
      <c r="QFA134" s="105"/>
      <c r="QFB134" s="105"/>
      <c r="QFC134" s="105"/>
      <c r="QFD134" s="105"/>
      <c r="QFE134" s="105"/>
      <c r="QFF134" s="105"/>
      <c r="QFG134" s="105"/>
      <c r="QFH134" s="105"/>
      <c r="QFI134" s="105"/>
      <c r="QFJ134" s="105"/>
      <c r="QFK134" s="105"/>
      <c r="QFL134" s="105"/>
      <c r="QFM134" s="105"/>
      <c r="QFN134" s="105"/>
      <c r="QFO134" s="105"/>
      <c r="QFP134" s="105"/>
      <c r="QFQ134" s="105"/>
      <c r="QFR134" s="105"/>
      <c r="QFS134" s="105"/>
      <c r="QFT134" s="105"/>
      <c r="QFU134" s="105"/>
      <c r="QFV134" s="105"/>
      <c r="QFW134" s="105"/>
      <c r="QFX134" s="105"/>
      <c r="QFY134" s="105"/>
      <c r="QFZ134" s="105"/>
      <c r="QGA134" s="105"/>
      <c r="QGB134" s="105"/>
      <c r="QGC134" s="105"/>
      <c r="QGD134" s="105"/>
      <c r="QGE134" s="105"/>
      <c r="QGF134" s="105"/>
      <c r="QGG134" s="105"/>
      <c r="QGH134" s="105"/>
      <c r="QGI134" s="105"/>
      <c r="QGJ134" s="105"/>
      <c r="QGK134" s="105"/>
      <c r="QGL134" s="105"/>
      <c r="QGM134" s="105"/>
      <c r="QGN134" s="105"/>
      <c r="QGO134" s="105"/>
      <c r="QGP134" s="105"/>
      <c r="QGQ134" s="105"/>
      <c r="QGR134" s="105"/>
      <c r="QGS134" s="105"/>
      <c r="QGT134" s="105"/>
      <c r="QGU134" s="105"/>
      <c r="QGV134" s="105"/>
      <c r="QGW134" s="105"/>
      <c r="QGX134" s="105"/>
      <c r="QGY134" s="105"/>
      <c r="QGZ134" s="105"/>
      <c r="QHA134" s="105"/>
      <c r="QHB134" s="105"/>
      <c r="QHC134" s="105"/>
      <c r="QHD134" s="105"/>
      <c r="QHE134" s="105"/>
      <c r="QHF134" s="105"/>
      <c r="QHG134" s="105"/>
      <c r="QHH134" s="105"/>
      <c r="QHI134" s="105"/>
      <c r="QHJ134" s="105"/>
      <c r="QHK134" s="105"/>
      <c r="QHL134" s="105"/>
      <c r="QHM134" s="105"/>
      <c r="QHN134" s="105"/>
      <c r="QHO134" s="105"/>
      <c r="QHP134" s="105"/>
      <c r="QHQ134" s="105"/>
      <c r="QHR134" s="105"/>
      <c r="QHS134" s="105"/>
      <c r="QHT134" s="105"/>
      <c r="QHU134" s="105"/>
      <c r="QHV134" s="105"/>
      <c r="QHW134" s="105"/>
      <c r="QHX134" s="105"/>
      <c r="QHY134" s="105"/>
      <c r="QHZ134" s="105"/>
      <c r="QIA134" s="105"/>
      <c r="QIB134" s="105"/>
      <c r="QIC134" s="105"/>
      <c r="QID134" s="105"/>
      <c r="QIE134" s="105"/>
      <c r="QIF134" s="105"/>
      <c r="QIG134" s="105"/>
      <c r="QIH134" s="105"/>
      <c r="QII134" s="105"/>
      <c r="QIJ134" s="105"/>
      <c r="QIK134" s="105"/>
      <c r="QIL134" s="105"/>
      <c r="QIM134" s="105"/>
      <c r="QIN134" s="105"/>
      <c r="QIO134" s="105"/>
      <c r="QIP134" s="105"/>
      <c r="QIQ134" s="105"/>
      <c r="QIR134" s="105"/>
      <c r="QIS134" s="105"/>
      <c r="QIT134" s="105"/>
      <c r="QIU134" s="105"/>
      <c r="QIV134" s="105"/>
      <c r="QIW134" s="105"/>
      <c r="QIX134" s="105"/>
      <c r="QIY134" s="105"/>
      <c r="QIZ134" s="105"/>
      <c r="QJA134" s="105"/>
      <c r="QJB134" s="105"/>
      <c r="QJC134" s="105"/>
      <c r="QJD134" s="105"/>
      <c r="QJE134" s="105"/>
      <c r="QJF134" s="105"/>
      <c r="QJG134" s="105"/>
      <c r="QJH134" s="105"/>
      <c r="QJI134" s="105"/>
      <c r="QJJ134" s="105"/>
      <c r="QJK134" s="105"/>
      <c r="QJL134" s="105"/>
      <c r="QJM134" s="105"/>
      <c r="QJN134" s="105"/>
      <c r="QJO134" s="105"/>
      <c r="QJP134" s="105"/>
      <c r="QJQ134" s="105"/>
      <c r="QJR134" s="105"/>
      <c r="QJS134" s="105"/>
      <c r="QJT134" s="105"/>
      <c r="QJU134" s="105"/>
      <c r="QJV134" s="105"/>
      <c r="QJW134" s="105"/>
      <c r="QJX134" s="105"/>
      <c r="QJY134" s="105"/>
      <c r="QJZ134" s="105"/>
      <c r="QKA134" s="105"/>
      <c r="QKB134" s="105"/>
      <c r="QKC134" s="105"/>
      <c r="QKD134" s="105"/>
      <c r="QKE134" s="105"/>
      <c r="QKF134" s="105"/>
      <c r="QKG134" s="105"/>
      <c r="QKH134" s="105"/>
      <c r="QKI134" s="105"/>
      <c r="QKJ134" s="105"/>
      <c r="QKK134" s="105"/>
      <c r="QKL134" s="105"/>
      <c r="QKM134" s="105"/>
      <c r="QKN134" s="105"/>
      <c r="QKO134" s="105"/>
      <c r="QKP134" s="105"/>
      <c r="QKQ134" s="105"/>
      <c r="QKR134" s="105"/>
      <c r="QKS134" s="105"/>
      <c r="QKT134" s="105"/>
      <c r="QKU134" s="105"/>
      <c r="QKV134" s="105"/>
      <c r="QKW134" s="105"/>
      <c r="QKX134" s="105"/>
      <c r="QKY134" s="105"/>
      <c r="QKZ134" s="105"/>
      <c r="QLA134" s="105"/>
      <c r="QLB134" s="105"/>
      <c r="QLC134" s="105"/>
      <c r="QLD134" s="105"/>
      <c r="QLE134" s="105"/>
      <c r="QLF134" s="105"/>
      <c r="QLG134" s="105"/>
      <c r="QLH134" s="105"/>
      <c r="QLI134" s="105"/>
      <c r="QLJ134" s="105"/>
      <c r="QLK134" s="105"/>
      <c r="QLL134" s="105"/>
      <c r="QLM134" s="105"/>
      <c r="QLN134" s="105"/>
      <c r="QLO134" s="105"/>
      <c r="QLP134" s="105"/>
      <c r="QLQ134" s="105"/>
      <c r="QLR134" s="105"/>
      <c r="QLS134" s="105"/>
      <c r="QLT134" s="105"/>
      <c r="QLU134" s="105"/>
      <c r="QLV134" s="105"/>
      <c r="QLW134" s="105"/>
      <c r="QLX134" s="105"/>
      <c r="QLY134" s="105"/>
      <c r="QLZ134" s="105"/>
      <c r="QMA134" s="105"/>
      <c r="QMB134" s="105"/>
      <c r="QMC134" s="105"/>
      <c r="QMD134" s="105"/>
      <c r="QME134" s="105"/>
      <c r="QMF134" s="105"/>
      <c r="QMG134" s="105"/>
      <c r="QMH134" s="105"/>
      <c r="QMI134" s="105"/>
      <c r="QMJ134" s="105"/>
      <c r="QMK134" s="105"/>
      <c r="QML134" s="105"/>
      <c r="QMM134" s="105"/>
      <c r="QMN134" s="105"/>
      <c r="QMO134" s="105"/>
      <c r="QMP134" s="105"/>
      <c r="QMQ134" s="105"/>
      <c r="QMR134" s="105"/>
      <c r="QMS134" s="105"/>
      <c r="QMT134" s="105"/>
      <c r="QMU134" s="105"/>
      <c r="QMV134" s="105"/>
      <c r="QMW134" s="105"/>
      <c r="QMX134" s="105"/>
      <c r="QMY134" s="105"/>
      <c r="QMZ134" s="105"/>
      <c r="QNA134" s="105"/>
      <c r="QNB134" s="105"/>
      <c r="QNC134" s="105"/>
      <c r="QND134" s="105"/>
      <c r="QNE134" s="105"/>
      <c r="QNF134" s="105"/>
      <c r="QNG134" s="105"/>
      <c r="QNH134" s="105"/>
      <c r="QNI134" s="105"/>
      <c r="QNJ134" s="105"/>
      <c r="QNK134" s="105"/>
      <c r="QNL134" s="105"/>
      <c r="QNM134" s="105"/>
      <c r="QNN134" s="105"/>
      <c r="QNO134" s="105"/>
      <c r="QNP134" s="105"/>
      <c r="QNQ134" s="105"/>
      <c r="QNR134" s="105"/>
      <c r="QNS134" s="105"/>
      <c r="QNT134" s="105"/>
      <c r="QNU134" s="105"/>
      <c r="QNV134" s="105"/>
      <c r="QNW134" s="105"/>
      <c r="QNX134" s="105"/>
      <c r="QNY134" s="105"/>
      <c r="QNZ134" s="105"/>
      <c r="QOA134" s="105"/>
      <c r="QOB134" s="105"/>
      <c r="QOC134" s="105"/>
      <c r="QOD134" s="105"/>
      <c r="QOE134" s="105"/>
      <c r="QOF134" s="105"/>
      <c r="QOG134" s="105"/>
      <c r="QOH134" s="105"/>
      <c r="QOI134" s="105"/>
      <c r="QOJ134" s="105"/>
      <c r="QOK134" s="105"/>
      <c r="QOL134" s="105"/>
      <c r="QOM134" s="105"/>
      <c r="QON134" s="105"/>
      <c r="QOO134" s="105"/>
      <c r="QOP134" s="105"/>
      <c r="QOQ134" s="105"/>
      <c r="QOR134" s="105"/>
      <c r="QOS134" s="105"/>
      <c r="QOT134" s="105"/>
      <c r="QOU134" s="105"/>
      <c r="QOV134" s="105"/>
      <c r="QOW134" s="105"/>
      <c r="QOX134" s="105"/>
      <c r="QOY134" s="105"/>
      <c r="QOZ134" s="105"/>
      <c r="QPA134" s="105"/>
      <c r="QPB134" s="105"/>
      <c r="QPC134" s="105"/>
      <c r="QPD134" s="105"/>
      <c r="QPE134" s="105"/>
      <c r="QPF134" s="105"/>
      <c r="QPG134" s="105"/>
      <c r="QPH134" s="105"/>
      <c r="QPI134" s="105"/>
      <c r="QPJ134" s="105"/>
      <c r="QPK134" s="105"/>
      <c r="QPL134" s="105"/>
      <c r="QPM134" s="105"/>
      <c r="QPN134" s="105"/>
      <c r="QPO134" s="105"/>
      <c r="QPP134" s="105"/>
      <c r="QPQ134" s="105"/>
      <c r="QPR134" s="105"/>
      <c r="QPS134" s="105"/>
      <c r="QPT134" s="105"/>
      <c r="QPU134" s="105"/>
      <c r="QPV134" s="105"/>
      <c r="QPW134" s="105"/>
      <c r="QPX134" s="105"/>
      <c r="QPY134" s="105"/>
      <c r="QPZ134" s="105"/>
      <c r="QQA134" s="105"/>
      <c r="QQB134" s="105"/>
      <c r="QQC134" s="105"/>
      <c r="QQD134" s="105"/>
      <c r="QQE134" s="105"/>
      <c r="QQF134" s="105"/>
      <c r="QQG134" s="105"/>
      <c r="QQH134" s="105"/>
      <c r="QQI134" s="105"/>
      <c r="QQJ134" s="105"/>
      <c r="QQK134" s="105"/>
      <c r="QQL134" s="105"/>
      <c r="QQM134" s="105"/>
      <c r="QQN134" s="105"/>
      <c r="QQO134" s="105"/>
      <c r="QQP134" s="105"/>
      <c r="QQQ134" s="105"/>
      <c r="QQR134" s="105"/>
      <c r="QQS134" s="105"/>
      <c r="QQT134" s="105"/>
      <c r="QQU134" s="105"/>
      <c r="QQV134" s="105"/>
      <c r="QQW134" s="105"/>
      <c r="QQX134" s="105"/>
      <c r="QQY134" s="105"/>
      <c r="QQZ134" s="105"/>
      <c r="QRA134" s="105"/>
      <c r="QRB134" s="105"/>
      <c r="QRC134" s="105"/>
      <c r="QRD134" s="105"/>
      <c r="QRE134" s="105"/>
      <c r="QRF134" s="105"/>
      <c r="QRG134" s="105"/>
      <c r="QRH134" s="105"/>
      <c r="QRI134" s="105"/>
      <c r="QRJ134" s="105"/>
      <c r="QRK134" s="105"/>
      <c r="QRL134" s="105"/>
      <c r="QRM134" s="105"/>
      <c r="QRN134" s="105"/>
      <c r="QRO134" s="105"/>
      <c r="QRP134" s="105"/>
      <c r="QRQ134" s="105"/>
      <c r="QRR134" s="105"/>
      <c r="QRS134" s="105"/>
      <c r="QRT134" s="105"/>
      <c r="QRU134" s="105"/>
      <c r="QRV134" s="105"/>
      <c r="QRW134" s="105"/>
      <c r="QRX134" s="105"/>
      <c r="QRY134" s="105"/>
      <c r="QRZ134" s="105"/>
      <c r="QSA134" s="105"/>
      <c r="QSB134" s="105"/>
      <c r="QSC134" s="105"/>
      <c r="QSD134" s="105"/>
      <c r="QSE134" s="105"/>
      <c r="QSF134" s="105"/>
      <c r="QSG134" s="105"/>
      <c r="QSH134" s="105"/>
      <c r="QSI134" s="105"/>
      <c r="QSJ134" s="105"/>
      <c r="QSK134" s="105"/>
      <c r="QSL134" s="105"/>
      <c r="QSM134" s="105"/>
      <c r="QSN134" s="105"/>
      <c r="QSO134" s="105"/>
      <c r="QSP134" s="105"/>
      <c r="QSQ134" s="105"/>
      <c r="QSR134" s="105"/>
      <c r="QSS134" s="105"/>
      <c r="QST134" s="105"/>
      <c r="QSU134" s="105"/>
      <c r="QSV134" s="105"/>
      <c r="QSW134" s="105"/>
      <c r="QSX134" s="105"/>
      <c r="QSY134" s="105"/>
      <c r="QSZ134" s="105"/>
      <c r="QTA134" s="105"/>
      <c r="QTB134" s="105"/>
      <c r="QTC134" s="105"/>
      <c r="QTD134" s="105"/>
      <c r="QTE134" s="105"/>
      <c r="QTF134" s="105"/>
      <c r="QTG134" s="105"/>
      <c r="QTH134" s="105"/>
      <c r="QTI134" s="105"/>
      <c r="QTJ134" s="105"/>
      <c r="QTK134" s="105"/>
      <c r="QTL134" s="105"/>
      <c r="QTM134" s="105"/>
      <c r="QTN134" s="105"/>
      <c r="QTO134" s="105"/>
      <c r="QTP134" s="105"/>
      <c r="QTQ134" s="105"/>
      <c r="QTR134" s="105"/>
      <c r="QTS134" s="105"/>
      <c r="QTT134" s="105"/>
      <c r="QTU134" s="105"/>
      <c r="QTV134" s="105"/>
      <c r="QTW134" s="105"/>
      <c r="QTX134" s="105"/>
      <c r="QTY134" s="105"/>
      <c r="QTZ134" s="105"/>
      <c r="QUA134" s="105"/>
      <c r="QUB134" s="105"/>
      <c r="QUC134" s="105"/>
      <c r="QUD134" s="105"/>
      <c r="QUE134" s="105"/>
      <c r="QUF134" s="105"/>
      <c r="QUG134" s="105"/>
      <c r="QUH134" s="105"/>
      <c r="QUI134" s="105"/>
      <c r="QUJ134" s="105"/>
      <c r="QUK134" s="105"/>
      <c r="QUL134" s="105"/>
      <c r="QUM134" s="105"/>
      <c r="QUN134" s="105"/>
      <c r="QUO134" s="105"/>
      <c r="QUP134" s="105"/>
      <c r="QUQ134" s="105"/>
      <c r="QUR134" s="105"/>
      <c r="QUS134" s="105"/>
      <c r="QUT134" s="105"/>
      <c r="QUU134" s="105"/>
      <c r="QUV134" s="105"/>
      <c r="QUW134" s="105"/>
      <c r="QUX134" s="105"/>
      <c r="QUY134" s="105"/>
      <c r="QUZ134" s="105"/>
      <c r="QVA134" s="105"/>
      <c r="QVB134" s="105"/>
      <c r="QVC134" s="105"/>
      <c r="QVD134" s="105"/>
      <c r="QVE134" s="105"/>
      <c r="QVF134" s="105"/>
      <c r="QVG134" s="105"/>
      <c r="QVH134" s="105"/>
      <c r="QVI134" s="105"/>
      <c r="QVJ134" s="105"/>
      <c r="QVK134" s="105"/>
      <c r="QVL134" s="105"/>
      <c r="QVM134" s="105"/>
      <c r="QVN134" s="105"/>
      <c r="QVO134" s="105"/>
      <c r="QVP134" s="105"/>
      <c r="QVQ134" s="105"/>
      <c r="QVR134" s="105"/>
      <c r="QVS134" s="105"/>
      <c r="QVT134" s="105"/>
      <c r="QVU134" s="105"/>
      <c r="QVV134" s="105"/>
      <c r="QVW134" s="105"/>
      <c r="QVX134" s="105"/>
      <c r="QVY134" s="105"/>
      <c r="QVZ134" s="105"/>
      <c r="QWA134" s="105"/>
      <c r="QWB134" s="105"/>
      <c r="QWC134" s="105"/>
      <c r="QWD134" s="105"/>
      <c r="QWE134" s="105"/>
      <c r="QWF134" s="105"/>
      <c r="QWG134" s="105"/>
      <c r="QWH134" s="105"/>
      <c r="QWI134" s="105"/>
      <c r="QWJ134" s="105"/>
      <c r="QWK134" s="105"/>
      <c r="QWL134" s="105"/>
      <c r="QWM134" s="105"/>
      <c r="QWN134" s="105"/>
      <c r="QWO134" s="105"/>
      <c r="QWP134" s="105"/>
      <c r="QWQ134" s="105"/>
      <c r="QWR134" s="105"/>
      <c r="QWS134" s="105"/>
      <c r="QWT134" s="105"/>
      <c r="QWU134" s="105"/>
      <c r="QWV134" s="105"/>
      <c r="QWW134" s="105"/>
      <c r="QWX134" s="105"/>
      <c r="QWY134" s="105"/>
      <c r="QWZ134" s="105"/>
      <c r="QXA134" s="105"/>
      <c r="QXB134" s="105"/>
      <c r="QXC134" s="105"/>
      <c r="QXD134" s="105"/>
      <c r="QXE134" s="105"/>
      <c r="QXF134" s="105"/>
      <c r="QXG134" s="105"/>
      <c r="QXH134" s="105"/>
      <c r="QXI134" s="105"/>
      <c r="QXJ134" s="105"/>
      <c r="QXK134" s="105"/>
      <c r="QXL134" s="105"/>
      <c r="QXM134" s="105"/>
      <c r="QXN134" s="105"/>
      <c r="QXO134" s="105"/>
      <c r="QXP134" s="105"/>
      <c r="QXQ134" s="105"/>
      <c r="QXR134" s="105"/>
      <c r="QXS134" s="105"/>
      <c r="QXT134" s="105"/>
      <c r="QXU134" s="105"/>
      <c r="QXV134" s="105"/>
      <c r="QXW134" s="105"/>
      <c r="QXX134" s="105"/>
      <c r="QXY134" s="105"/>
      <c r="QXZ134" s="105"/>
      <c r="QYA134" s="105"/>
      <c r="QYB134" s="105"/>
      <c r="QYC134" s="105"/>
      <c r="QYD134" s="105"/>
      <c r="QYE134" s="105"/>
      <c r="QYF134" s="105"/>
      <c r="QYG134" s="105"/>
      <c r="QYH134" s="105"/>
      <c r="QYI134" s="105"/>
      <c r="QYJ134" s="105"/>
      <c r="QYK134" s="105"/>
      <c r="QYL134" s="105"/>
      <c r="QYM134" s="105"/>
      <c r="QYN134" s="105"/>
      <c r="QYO134" s="105"/>
      <c r="QYP134" s="105"/>
      <c r="QYQ134" s="105"/>
      <c r="QYR134" s="105"/>
      <c r="QYS134" s="105"/>
      <c r="QYT134" s="105"/>
      <c r="QYU134" s="105"/>
      <c r="QYV134" s="105"/>
      <c r="QYW134" s="105"/>
      <c r="QYX134" s="105"/>
      <c r="QYY134" s="105"/>
      <c r="QYZ134" s="105"/>
      <c r="QZA134" s="105"/>
      <c r="QZB134" s="105"/>
      <c r="QZC134" s="105"/>
      <c r="QZD134" s="105"/>
      <c r="QZE134" s="105"/>
      <c r="QZF134" s="105"/>
      <c r="QZG134" s="105"/>
      <c r="QZH134" s="105"/>
      <c r="QZI134" s="105"/>
      <c r="QZJ134" s="105"/>
      <c r="QZK134" s="105"/>
      <c r="QZL134" s="105"/>
      <c r="QZM134" s="105"/>
      <c r="QZN134" s="105"/>
      <c r="QZO134" s="105"/>
      <c r="QZP134" s="105"/>
      <c r="QZQ134" s="105"/>
      <c r="QZR134" s="105"/>
      <c r="QZS134" s="105"/>
      <c r="QZT134" s="105"/>
      <c r="QZU134" s="105"/>
      <c r="QZV134" s="105"/>
      <c r="QZW134" s="105"/>
      <c r="QZX134" s="105"/>
      <c r="QZY134" s="105"/>
      <c r="QZZ134" s="105"/>
      <c r="RAA134" s="105"/>
      <c r="RAB134" s="105"/>
      <c r="RAC134" s="105"/>
      <c r="RAD134" s="105"/>
      <c r="RAE134" s="105"/>
      <c r="RAF134" s="105"/>
      <c r="RAG134" s="105"/>
      <c r="RAH134" s="105"/>
      <c r="RAI134" s="105"/>
      <c r="RAJ134" s="105"/>
      <c r="RAK134" s="105"/>
      <c r="RAL134" s="105"/>
      <c r="RAM134" s="105"/>
      <c r="RAN134" s="105"/>
      <c r="RAO134" s="105"/>
      <c r="RAP134" s="105"/>
      <c r="RAQ134" s="105"/>
      <c r="RAR134" s="105"/>
      <c r="RAS134" s="105"/>
      <c r="RAT134" s="105"/>
      <c r="RAU134" s="105"/>
      <c r="RAV134" s="105"/>
      <c r="RAW134" s="105"/>
      <c r="RAX134" s="105"/>
      <c r="RAY134" s="105"/>
      <c r="RAZ134" s="105"/>
      <c r="RBA134" s="105"/>
      <c r="RBB134" s="105"/>
      <c r="RBC134" s="105"/>
      <c r="RBD134" s="105"/>
      <c r="RBE134" s="105"/>
      <c r="RBF134" s="105"/>
      <c r="RBG134" s="105"/>
      <c r="RBH134" s="105"/>
      <c r="RBI134" s="105"/>
      <c r="RBJ134" s="105"/>
      <c r="RBK134" s="105"/>
      <c r="RBL134" s="105"/>
      <c r="RBM134" s="105"/>
      <c r="RBN134" s="105"/>
      <c r="RBO134" s="105"/>
      <c r="RBP134" s="105"/>
      <c r="RBQ134" s="105"/>
      <c r="RBR134" s="105"/>
      <c r="RBS134" s="105"/>
      <c r="RBT134" s="105"/>
      <c r="RBU134" s="105"/>
      <c r="RBV134" s="105"/>
      <c r="RBW134" s="105"/>
      <c r="RBX134" s="105"/>
      <c r="RBY134" s="105"/>
      <c r="RBZ134" s="105"/>
      <c r="RCA134" s="105"/>
      <c r="RCB134" s="105"/>
      <c r="RCC134" s="105"/>
      <c r="RCD134" s="105"/>
      <c r="RCE134" s="105"/>
      <c r="RCF134" s="105"/>
      <c r="RCG134" s="105"/>
      <c r="RCH134" s="105"/>
      <c r="RCI134" s="105"/>
      <c r="RCJ134" s="105"/>
      <c r="RCK134" s="105"/>
      <c r="RCL134" s="105"/>
      <c r="RCM134" s="105"/>
      <c r="RCN134" s="105"/>
      <c r="RCO134" s="105"/>
      <c r="RCP134" s="105"/>
      <c r="RCQ134" s="105"/>
      <c r="RCR134" s="105"/>
      <c r="RCS134" s="105"/>
      <c r="RCT134" s="105"/>
      <c r="RCU134" s="105"/>
      <c r="RCV134" s="105"/>
      <c r="RCW134" s="105"/>
      <c r="RCX134" s="105"/>
      <c r="RCY134" s="105"/>
      <c r="RCZ134" s="105"/>
      <c r="RDA134" s="105"/>
      <c r="RDB134" s="105"/>
      <c r="RDC134" s="105"/>
      <c r="RDD134" s="105"/>
      <c r="RDE134" s="105"/>
      <c r="RDF134" s="105"/>
      <c r="RDG134" s="105"/>
      <c r="RDH134" s="105"/>
      <c r="RDI134" s="105"/>
      <c r="RDJ134" s="105"/>
      <c r="RDK134" s="105"/>
      <c r="RDL134" s="105"/>
      <c r="RDM134" s="105"/>
      <c r="RDN134" s="105"/>
      <c r="RDO134" s="105"/>
      <c r="RDP134" s="105"/>
      <c r="RDQ134" s="105"/>
      <c r="RDR134" s="105"/>
      <c r="RDS134" s="105"/>
      <c r="RDT134" s="105"/>
      <c r="RDU134" s="105"/>
      <c r="RDV134" s="105"/>
      <c r="RDW134" s="105"/>
      <c r="RDX134" s="105"/>
      <c r="RDY134" s="105"/>
      <c r="RDZ134" s="105"/>
      <c r="REA134" s="105"/>
      <c r="REB134" s="105"/>
      <c r="REC134" s="105"/>
      <c r="RED134" s="105"/>
      <c r="REE134" s="105"/>
      <c r="REF134" s="105"/>
      <c r="REG134" s="105"/>
      <c r="REH134" s="105"/>
      <c r="REI134" s="105"/>
      <c r="REJ134" s="105"/>
      <c r="REK134" s="105"/>
      <c r="REL134" s="105"/>
      <c r="REM134" s="105"/>
      <c r="REN134" s="105"/>
      <c r="REO134" s="105"/>
      <c r="REP134" s="105"/>
      <c r="REQ134" s="105"/>
      <c r="RER134" s="105"/>
      <c r="RES134" s="105"/>
      <c r="RET134" s="105"/>
      <c r="REU134" s="105"/>
      <c r="REV134" s="105"/>
      <c r="REW134" s="105"/>
      <c r="REX134" s="105"/>
      <c r="REY134" s="105"/>
      <c r="REZ134" s="105"/>
      <c r="RFA134" s="105"/>
      <c r="RFB134" s="105"/>
      <c r="RFC134" s="105"/>
      <c r="RFD134" s="105"/>
      <c r="RFE134" s="105"/>
      <c r="RFF134" s="105"/>
      <c r="RFG134" s="105"/>
      <c r="RFH134" s="105"/>
      <c r="RFI134" s="105"/>
      <c r="RFJ134" s="105"/>
      <c r="RFK134" s="105"/>
      <c r="RFL134" s="105"/>
      <c r="RFM134" s="105"/>
      <c r="RFN134" s="105"/>
      <c r="RFO134" s="105"/>
      <c r="RFP134" s="105"/>
      <c r="RFQ134" s="105"/>
      <c r="RFR134" s="105"/>
      <c r="RFS134" s="105"/>
      <c r="RFT134" s="105"/>
      <c r="RFU134" s="105"/>
      <c r="RFV134" s="105"/>
      <c r="RFW134" s="105"/>
      <c r="RFX134" s="105"/>
      <c r="RFY134" s="105"/>
      <c r="RFZ134" s="105"/>
      <c r="RGA134" s="105"/>
      <c r="RGB134" s="105"/>
      <c r="RGC134" s="105"/>
      <c r="RGD134" s="105"/>
      <c r="RGE134" s="105"/>
      <c r="RGF134" s="105"/>
      <c r="RGG134" s="105"/>
      <c r="RGH134" s="105"/>
      <c r="RGI134" s="105"/>
      <c r="RGJ134" s="105"/>
      <c r="RGK134" s="105"/>
      <c r="RGL134" s="105"/>
      <c r="RGM134" s="105"/>
      <c r="RGN134" s="105"/>
      <c r="RGO134" s="105"/>
      <c r="RGP134" s="105"/>
      <c r="RGQ134" s="105"/>
      <c r="RGR134" s="105"/>
      <c r="RGS134" s="105"/>
      <c r="RGT134" s="105"/>
      <c r="RGU134" s="105"/>
      <c r="RGV134" s="105"/>
      <c r="RGW134" s="105"/>
      <c r="RGX134" s="105"/>
      <c r="RGY134" s="105"/>
      <c r="RGZ134" s="105"/>
      <c r="RHA134" s="105"/>
      <c r="RHB134" s="105"/>
      <c r="RHC134" s="105"/>
      <c r="RHD134" s="105"/>
      <c r="RHE134" s="105"/>
      <c r="RHF134" s="105"/>
      <c r="RHG134" s="105"/>
      <c r="RHH134" s="105"/>
      <c r="RHI134" s="105"/>
      <c r="RHJ134" s="105"/>
      <c r="RHK134" s="105"/>
      <c r="RHL134" s="105"/>
      <c r="RHM134" s="105"/>
      <c r="RHN134" s="105"/>
      <c r="RHO134" s="105"/>
      <c r="RHP134" s="105"/>
      <c r="RHQ134" s="105"/>
      <c r="RHR134" s="105"/>
      <c r="RHS134" s="105"/>
      <c r="RHT134" s="105"/>
      <c r="RHU134" s="105"/>
      <c r="RHV134" s="105"/>
      <c r="RHW134" s="105"/>
      <c r="RHX134" s="105"/>
      <c r="RHY134" s="105"/>
      <c r="RHZ134" s="105"/>
      <c r="RIA134" s="105"/>
      <c r="RIB134" s="105"/>
      <c r="RIC134" s="105"/>
      <c r="RID134" s="105"/>
      <c r="RIE134" s="105"/>
      <c r="RIF134" s="105"/>
      <c r="RIG134" s="105"/>
      <c r="RIH134" s="105"/>
      <c r="RII134" s="105"/>
      <c r="RIJ134" s="105"/>
      <c r="RIK134" s="105"/>
      <c r="RIL134" s="105"/>
      <c r="RIM134" s="105"/>
      <c r="RIN134" s="105"/>
      <c r="RIO134" s="105"/>
      <c r="RIP134" s="105"/>
      <c r="RIQ134" s="105"/>
      <c r="RIR134" s="105"/>
      <c r="RIS134" s="105"/>
      <c r="RIT134" s="105"/>
      <c r="RIU134" s="105"/>
      <c r="RIV134" s="105"/>
      <c r="RIW134" s="105"/>
      <c r="RIX134" s="105"/>
      <c r="RIY134" s="105"/>
      <c r="RIZ134" s="105"/>
      <c r="RJA134" s="105"/>
      <c r="RJB134" s="105"/>
      <c r="RJC134" s="105"/>
      <c r="RJD134" s="105"/>
      <c r="RJE134" s="105"/>
      <c r="RJF134" s="105"/>
      <c r="RJG134" s="105"/>
      <c r="RJH134" s="105"/>
      <c r="RJI134" s="105"/>
      <c r="RJJ134" s="105"/>
      <c r="RJK134" s="105"/>
      <c r="RJL134" s="105"/>
      <c r="RJM134" s="105"/>
      <c r="RJN134" s="105"/>
      <c r="RJO134" s="105"/>
      <c r="RJP134" s="105"/>
      <c r="RJQ134" s="105"/>
      <c r="RJR134" s="105"/>
      <c r="RJS134" s="105"/>
      <c r="RJT134" s="105"/>
      <c r="RJU134" s="105"/>
      <c r="RJV134" s="105"/>
      <c r="RJW134" s="105"/>
      <c r="RJX134" s="105"/>
      <c r="RJY134" s="105"/>
      <c r="RJZ134" s="105"/>
      <c r="RKA134" s="105"/>
      <c r="RKB134" s="105"/>
      <c r="RKC134" s="105"/>
      <c r="RKD134" s="105"/>
      <c r="RKE134" s="105"/>
      <c r="RKF134" s="105"/>
      <c r="RKG134" s="105"/>
      <c r="RKH134" s="105"/>
      <c r="RKI134" s="105"/>
      <c r="RKJ134" s="105"/>
      <c r="RKK134" s="105"/>
      <c r="RKL134" s="105"/>
      <c r="RKM134" s="105"/>
      <c r="RKN134" s="105"/>
      <c r="RKO134" s="105"/>
      <c r="RKP134" s="105"/>
      <c r="RKQ134" s="105"/>
      <c r="RKR134" s="105"/>
      <c r="RKS134" s="105"/>
      <c r="RKT134" s="105"/>
      <c r="RKU134" s="105"/>
      <c r="RKV134" s="105"/>
      <c r="RKW134" s="105"/>
      <c r="RKX134" s="105"/>
      <c r="RKY134" s="105"/>
      <c r="RKZ134" s="105"/>
      <c r="RLA134" s="105"/>
      <c r="RLB134" s="105"/>
      <c r="RLC134" s="105"/>
      <c r="RLD134" s="105"/>
      <c r="RLE134" s="105"/>
      <c r="RLF134" s="105"/>
      <c r="RLG134" s="105"/>
      <c r="RLH134" s="105"/>
      <c r="RLI134" s="105"/>
      <c r="RLJ134" s="105"/>
      <c r="RLK134" s="105"/>
      <c r="RLL134" s="105"/>
      <c r="RLM134" s="105"/>
      <c r="RLN134" s="105"/>
      <c r="RLO134" s="105"/>
      <c r="RLP134" s="105"/>
      <c r="RLQ134" s="105"/>
      <c r="RLR134" s="105"/>
      <c r="RLS134" s="105"/>
      <c r="RLT134" s="105"/>
      <c r="RLU134" s="105"/>
      <c r="RLV134" s="105"/>
      <c r="RLW134" s="105"/>
      <c r="RLX134" s="105"/>
      <c r="RLY134" s="105"/>
      <c r="RLZ134" s="105"/>
      <c r="RMA134" s="105"/>
      <c r="RMB134" s="105"/>
      <c r="RMC134" s="105"/>
      <c r="RMD134" s="105"/>
      <c r="RME134" s="105"/>
      <c r="RMF134" s="105"/>
      <c r="RMG134" s="105"/>
      <c r="RMH134" s="105"/>
      <c r="RMI134" s="105"/>
      <c r="RMJ134" s="105"/>
      <c r="RMK134" s="105"/>
      <c r="RML134" s="105"/>
      <c r="RMM134" s="105"/>
      <c r="RMN134" s="105"/>
      <c r="RMO134" s="105"/>
      <c r="RMP134" s="105"/>
      <c r="RMQ134" s="105"/>
      <c r="RMR134" s="105"/>
      <c r="RMS134" s="105"/>
      <c r="RMT134" s="105"/>
      <c r="RMU134" s="105"/>
      <c r="RMV134" s="105"/>
      <c r="RMW134" s="105"/>
      <c r="RMX134" s="105"/>
      <c r="RMY134" s="105"/>
      <c r="RMZ134" s="105"/>
      <c r="RNA134" s="105"/>
      <c r="RNB134" s="105"/>
      <c r="RNC134" s="105"/>
      <c r="RND134" s="105"/>
      <c r="RNE134" s="105"/>
      <c r="RNF134" s="105"/>
      <c r="RNG134" s="105"/>
      <c r="RNH134" s="105"/>
      <c r="RNI134" s="105"/>
      <c r="RNJ134" s="105"/>
      <c r="RNK134" s="105"/>
      <c r="RNL134" s="105"/>
      <c r="RNM134" s="105"/>
      <c r="RNN134" s="105"/>
      <c r="RNO134" s="105"/>
      <c r="RNP134" s="105"/>
      <c r="RNQ134" s="105"/>
      <c r="RNR134" s="105"/>
      <c r="RNS134" s="105"/>
      <c r="RNT134" s="105"/>
      <c r="RNU134" s="105"/>
      <c r="RNV134" s="105"/>
      <c r="RNW134" s="105"/>
      <c r="RNX134" s="105"/>
      <c r="RNY134" s="105"/>
      <c r="RNZ134" s="105"/>
      <c r="ROA134" s="105"/>
      <c r="ROB134" s="105"/>
      <c r="ROC134" s="105"/>
      <c r="ROD134" s="105"/>
      <c r="ROE134" s="105"/>
      <c r="ROF134" s="105"/>
      <c r="ROG134" s="105"/>
      <c r="ROH134" s="105"/>
      <c r="ROI134" s="105"/>
      <c r="ROJ134" s="105"/>
      <c r="ROK134" s="105"/>
      <c r="ROL134" s="105"/>
      <c r="ROM134" s="105"/>
      <c r="RON134" s="105"/>
      <c r="ROO134" s="105"/>
      <c r="ROP134" s="105"/>
      <c r="ROQ134" s="105"/>
      <c r="ROR134" s="105"/>
      <c r="ROS134" s="105"/>
      <c r="ROT134" s="105"/>
      <c r="ROU134" s="105"/>
      <c r="ROV134" s="105"/>
      <c r="ROW134" s="105"/>
      <c r="ROX134" s="105"/>
      <c r="ROY134" s="105"/>
      <c r="ROZ134" s="105"/>
      <c r="RPA134" s="105"/>
      <c r="RPB134" s="105"/>
      <c r="RPC134" s="105"/>
      <c r="RPD134" s="105"/>
      <c r="RPE134" s="105"/>
      <c r="RPF134" s="105"/>
      <c r="RPG134" s="105"/>
      <c r="RPH134" s="105"/>
      <c r="RPI134" s="105"/>
      <c r="RPJ134" s="105"/>
      <c r="RPK134" s="105"/>
      <c r="RPL134" s="105"/>
      <c r="RPM134" s="105"/>
      <c r="RPN134" s="105"/>
      <c r="RPO134" s="105"/>
      <c r="RPP134" s="105"/>
      <c r="RPQ134" s="105"/>
      <c r="RPR134" s="105"/>
      <c r="RPS134" s="105"/>
      <c r="RPT134" s="105"/>
      <c r="RPU134" s="105"/>
      <c r="RPV134" s="105"/>
      <c r="RPW134" s="105"/>
      <c r="RPX134" s="105"/>
      <c r="RPY134" s="105"/>
      <c r="RPZ134" s="105"/>
      <c r="RQA134" s="105"/>
      <c r="RQB134" s="105"/>
      <c r="RQC134" s="105"/>
      <c r="RQD134" s="105"/>
      <c r="RQE134" s="105"/>
      <c r="RQF134" s="105"/>
      <c r="RQG134" s="105"/>
      <c r="RQH134" s="105"/>
      <c r="RQI134" s="105"/>
      <c r="RQJ134" s="105"/>
      <c r="RQK134" s="105"/>
      <c r="RQL134" s="105"/>
      <c r="RQM134" s="105"/>
      <c r="RQN134" s="105"/>
      <c r="RQO134" s="105"/>
      <c r="RQP134" s="105"/>
      <c r="RQQ134" s="105"/>
      <c r="RQR134" s="105"/>
      <c r="RQS134" s="105"/>
      <c r="RQT134" s="105"/>
      <c r="RQU134" s="105"/>
      <c r="RQV134" s="105"/>
      <c r="RQW134" s="105"/>
      <c r="RQX134" s="105"/>
      <c r="RQY134" s="105"/>
      <c r="RQZ134" s="105"/>
      <c r="RRA134" s="105"/>
      <c r="RRB134" s="105"/>
      <c r="RRC134" s="105"/>
      <c r="RRD134" s="105"/>
      <c r="RRE134" s="105"/>
      <c r="RRF134" s="105"/>
      <c r="RRG134" s="105"/>
      <c r="RRH134" s="105"/>
      <c r="RRI134" s="105"/>
      <c r="RRJ134" s="105"/>
      <c r="RRK134" s="105"/>
      <c r="RRL134" s="105"/>
      <c r="RRM134" s="105"/>
      <c r="RRN134" s="105"/>
      <c r="RRO134" s="105"/>
      <c r="RRP134" s="105"/>
      <c r="RRQ134" s="105"/>
      <c r="RRR134" s="105"/>
      <c r="RRS134" s="105"/>
      <c r="RRT134" s="105"/>
      <c r="RRU134" s="105"/>
      <c r="RRV134" s="105"/>
      <c r="RRW134" s="105"/>
      <c r="RRX134" s="105"/>
      <c r="RRY134" s="105"/>
      <c r="RRZ134" s="105"/>
      <c r="RSA134" s="105"/>
      <c r="RSB134" s="105"/>
      <c r="RSC134" s="105"/>
      <c r="RSD134" s="105"/>
      <c r="RSE134" s="105"/>
      <c r="RSF134" s="105"/>
      <c r="RSG134" s="105"/>
      <c r="RSH134" s="105"/>
      <c r="RSI134" s="105"/>
      <c r="RSJ134" s="105"/>
      <c r="RSK134" s="105"/>
      <c r="RSL134" s="105"/>
      <c r="RSM134" s="105"/>
      <c r="RSN134" s="105"/>
      <c r="RSO134" s="105"/>
      <c r="RSP134" s="105"/>
      <c r="RSQ134" s="105"/>
      <c r="RSR134" s="105"/>
      <c r="RSS134" s="105"/>
      <c r="RST134" s="105"/>
      <c r="RSU134" s="105"/>
      <c r="RSV134" s="105"/>
      <c r="RSW134" s="105"/>
      <c r="RSX134" s="105"/>
      <c r="RSY134" s="105"/>
      <c r="RSZ134" s="105"/>
      <c r="RTA134" s="105"/>
      <c r="RTB134" s="105"/>
      <c r="RTC134" s="105"/>
      <c r="RTD134" s="105"/>
      <c r="RTE134" s="105"/>
      <c r="RTF134" s="105"/>
      <c r="RTG134" s="105"/>
      <c r="RTH134" s="105"/>
      <c r="RTI134" s="105"/>
      <c r="RTJ134" s="105"/>
      <c r="RTK134" s="105"/>
      <c r="RTL134" s="105"/>
      <c r="RTM134" s="105"/>
      <c r="RTN134" s="105"/>
      <c r="RTO134" s="105"/>
      <c r="RTP134" s="105"/>
      <c r="RTQ134" s="105"/>
      <c r="RTR134" s="105"/>
      <c r="RTS134" s="105"/>
      <c r="RTT134" s="105"/>
      <c r="RTU134" s="105"/>
      <c r="RTV134" s="105"/>
      <c r="RTW134" s="105"/>
      <c r="RTX134" s="105"/>
      <c r="RTY134" s="105"/>
      <c r="RTZ134" s="105"/>
      <c r="RUA134" s="105"/>
      <c r="RUB134" s="105"/>
      <c r="RUC134" s="105"/>
      <c r="RUD134" s="105"/>
      <c r="RUE134" s="105"/>
      <c r="RUF134" s="105"/>
      <c r="RUG134" s="105"/>
      <c r="RUH134" s="105"/>
      <c r="RUI134" s="105"/>
      <c r="RUJ134" s="105"/>
      <c r="RUK134" s="105"/>
      <c r="RUL134" s="105"/>
      <c r="RUM134" s="105"/>
      <c r="RUN134" s="105"/>
      <c r="RUO134" s="105"/>
      <c r="RUP134" s="105"/>
      <c r="RUQ134" s="105"/>
      <c r="RUR134" s="105"/>
      <c r="RUS134" s="105"/>
      <c r="RUT134" s="105"/>
      <c r="RUU134" s="105"/>
      <c r="RUV134" s="105"/>
      <c r="RUW134" s="105"/>
      <c r="RUX134" s="105"/>
      <c r="RUY134" s="105"/>
      <c r="RUZ134" s="105"/>
      <c r="RVA134" s="105"/>
      <c r="RVB134" s="105"/>
      <c r="RVC134" s="105"/>
      <c r="RVD134" s="105"/>
      <c r="RVE134" s="105"/>
      <c r="RVF134" s="105"/>
      <c r="RVG134" s="105"/>
      <c r="RVH134" s="105"/>
      <c r="RVI134" s="105"/>
      <c r="RVJ134" s="105"/>
      <c r="RVK134" s="105"/>
      <c r="RVL134" s="105"/>
      <c r="RVM134" s="105"/>
      <c r="RVN134" s="105"/>
      <c r="RVO134" s="105"/>
      <c r="RVP134" s="105"/>
      <c r="RVQ134" s="105"/>
      <c r="RVR134" s="105"/>
      <c r="RVS134" s="105"/>
      <c r="RVT134" s="105"/>
      <c r="RVU134" s="105"/>
      <c r="RVV134" s="105"/>
      <c r="RVW134" s="105"/>
      <c r="RVX134" s="105"/>
      <c r="RVY134" s="105"/>
      <c r="RVZ134" s="105"/>
      <c r="RWA134" s="105"/>
      <c r="RWB134" s="105"/>
      <c r="RWC134" s="105"/>
      <c r="RWD134" s="105"/>
      <c r="RWE134" s="105"/>
      <c r="RWF134" s="105"/>
      <c r="RWG134" s="105"/>
      <c r="RWH134" s="105"/>
      <c r="RWI134" s="105"/>
      <c r="RWJ134" s="105"/>
      <c r="RWK134" s="105"/>
      <c r="RWL134" s="105"/>
      <c r="RWM134" s="105"/>
      <c r="RWN134" s="105"/>
      <c r="RWO134" s="105"/>
      <c r="RWP134" s="105"/>
      <c r="RWQ134" s="105"/>
      <c r="RWR134" s="105"/>
      <c r="RWS134" s="105"/>
      <c r="RWT134" s="105"/>
      <c r="RWU134" s="105"/>
      <c r="RWV134" s="105"/>
      <c r="RWW134" s="105"/>
      <c r="RWX134" s="105"/>
      <c r="RWY134" s="105"/>
      <c r="RWZ134" s="105"/>
      <c r="RXA134" s="105"/>
      <c r="RXB134" s="105"/>
      <c r="RXC134" s="105"/>
      <c r="RXD134" s="105"/>
      <c r="RXE134" s="105"/>
      <c r="RXF134" s="105"/>
      <c r="RXG134" s="105"/>
      <c r="RXH134" s="105"/>
      <c r="RXI134" s="105"/>
      <c r="RXJ134" s="105"/>
      <c r="RXK134" s="105"/>
      <c r="RXL134" s="105"/>
      <c r="RXM134" s="105"/>
      <c r="RXN134" s="105"/>
      <c r="RXO134" s="105"/>
      <c r="RXP134" s="105"/>
      <c r="RXQ134" s="105"/>
      <c r="RXR134" s="105"/>
      <c r="RXS134" s="105"/>
      <c r="RXT134" s="105"/>
      <c r="RXU134" s="105"/>
      <c r="RXV134" s="105"/>
      <c r="RXW134" s="105"/>
      <c r="RXX134" s="105"/>
      <c r="RXY134" s="105"/>
      <c r="RXZ134" s="105"/>
      <c r="RYA134" s="105"/>
      <c r="RYB134" s="105"/>
      <c r="RYC134" s="105"/>
      <c r="RYD134" s="105"/>
      <c r="RYE134" s="105"/>
      <c r="RYF134" s="105"/>
      <c r="RYG134" s="105"/>
      <c r="RYH134" s="105"/>
      <c r="RYI134" s="105"/>
      <c r="RYJ134" s="105"/>
      <c r="RYK134" s="105"/>
      <c r="RYL134" s="105"/>
      <c r="RYM134" s="105"/>
      <c r="RYN134" s="105"/>
      <c r="RYO134" s="105"/>
      <c r="RYP134" s="105"/>
      <c r="RYQ134" s="105"/>
      <c r="RYR134" s="105"/>
      <c r="RYS134" s="105"/>
      <c r="RYT134" s="105"/>
      <c r="RYU134" s="105"/>
      <c r="RYV134" s="105"/>
      <c r="RYW134" s="105"/>
      <c r="RYX134" s="105"/>
      <c r="RYY134" s="105"/>
      <c r="RYZ134" s="105"/>
      <c r="RZA134" s="105"/>
      <c r="RZB134" s="105"/>
      <c r="RZC134" s="105"/>
      <c r="RZD134" s="105"/>
      <c r="RZE134" s="105"/>
      <c r="RZF134" s="105"/>
      <c r="RZG134" s="105"/>
      <c r="RZH134" s="105"/>
      <c r="RZI134" s="105"/>
      <c r="RZJ134" s="105"/>
      <c r="RZK134" s="105"/>
      <c r="RZL134" s="105"/>
      <c r="RZM134" s="105"/>
      <c r="RZN134" s="105"/>
      <c r="RZO134" s="105"/>
      <c r="RZP134" s="105"/>
      <c r="RZQ134" s="105"/>
      <c r="RZR134" s="105"/>
      <c r="RZS134" s="105"/>
      <c r="RZT134" s="105"/>
      <c r="RZU134" s="105"/>
      <c r="RZV134" s="105"/>
      <c r="RZW134" s="105"/>
      <c r="RZX134" s="105"/>
      <c r="RZY134" s="105"/>
      <c r="RZZ134" s="105"/>
      <c r="SAA134" s="105"/>
      <c r="SAB134" s="105"/>
      <c r="SAC134" s="105"/>
      <c r="SAD134" s="105"/>
      <c r="SAE134" s="105"/>
      <c r="SAF134" s="105"/>
      <c r="SAG134" s="105"/>
      <c r="SAH134" s="105"/>
      <c r="SAI134" s="105"/>
      <c r="SAJ134" s="105"/>
      <c r="SAK134" s="105"/>
      <c r="SAL134" s="105"/>
      <c r="SAM134" s="105"/>
      <c r="SAN134" s="105"/>
      <c r="SAO134" s="105"/>
      <c r="SAP134" s="105"/>
      <c r="SAQ134" s="105"/>
      <c r="SAR134" s="105"/>
      <c r="SAS134" s="105"/>
      <c r="SAT134" s="105"/>
      <c r="SAU134" s="105"/>
      <c r="SAV134" s="105"/>
      <c r="SAW134" s="105"/>
      <c r="SAX134" s="105"/>
      <c r="SAY134" s="105"/>
      <c r="SAZ134" s="105"/>
      <c r="SBA134" s="105"/>
      <c r="SBB134" s="105"/>
      <c r="SBC134" s="105"/>
      <c r="SBD134" s="105"/>
      <c r="SBE134" s="105"/>
      <c r="SBF134" s="105"/>
      <c r="SBG134" s="105"/>
      <c r="SBH134" s="105"/>
      <c r="SBI134" s="105"/>
      <c r="SBJ134" s="105"/>
      <c r="SBK134" s="105"/>
      <c r="SBL134" s="105"/>
      <c r="SBM134" s="105"/>
      <c r="SBN134" s="105"/>
      <c r="SBO134" s="105"/>
      <c r="SBP134" s="105"/>
      <c r="SBQ134" s="105"/>
      <c r="SBR134" s="105"/>
      <c r="SBS134" s="105"/>
      <c r="SBT134" s="105"/>
      <c r="SBU134" s="105"/>
      <c r="SBV134" s="105"/>
      <c r="SBW134" s="105"/>
      <c r="SBX134" s="105"/>
      <c r="SBY134" s="105"/>
      <c r="SBZ134" s="105"/>
      <c r="SCA134" s="105"/>
      <c r="SCB134" s="105"/>
      <c r="SCC134" s="105"/>
      <c r="SCD134" s="105"/>
      <c r="SCE134" s="105"/>
      <c r="SCF134" s="105"/>
      <c r="SCG134" s="105"/>
      <c r="SCH134" s="105"/>
      <c r="SCI134" s="105"/>
      <c r="SCJ134" s="105"/>
      <c r="SCK134" s="105"/>
      <c r="SCL134" s="105"/>
      <c r="SCM134" s="105"/>
      <c r="SCN134" s="105"/>
      <c r="SCO134" s="105"/>
      <c r="SCP134" s="105"/>
      <c r="SCQ134" s="105"/>
      <c r="SCR134" s="105"/>
      <c r="SCS134" s="105"/>
      <c r="SCT134" s="105"/>
      <c r="SCU134" s="105"/>
      <c r="SCV134" s="105"/>
      <c r="SCW134" s="105"/>
      <c r="SCX134" s="105"/>
      <c r="SCY134" s="105"/>
      <c r="SCZ134" s="105"/>
      <c r="SDA134" s="105"/>
      <c r="SDB134" s="105"/>
      <c r="SDC134" s="105"/>
      <c r="SDD134" s="105"/>
      <c r="SDE134" s="105"/>
      <c r="SDF134" s="105"/>
      <c r="SDG134" s="105"/>
      <c r="SDH134" s="105"/>
      <c r="SDI134" s="105"/>
      <c r="SDJ134" s="105"/>
      <c r="SDK134" s="105"/>
      <c r="SDL134" s="105"/>
      <c r="SDM134" s="105"/>
      <c r="SDN134" s="105"/>
      <c r="SDO134" s="105"/>
      <c r="SDP134" s="105"/>
      <c r="SDQ134" s="105"/>
      <c r="SDR134" s="105"/>
      <c r="SDS134" s="105"/>
      <c r="SDT134" s="105"/>
      <c r="SDU134" s="105"/>
      <c r="SDV134" s="105"/>
      <c r="SDW134" s="105"/>
      <c r="SDX134" s="105"/>
      <c r="SDY134" s="105"/>
      <c r="SDZ134" s="105"/>
      <c r="SEA134" s="105"/>
      <c r="SEB134" s="105"/>
      <c r="SEC134" s="105"/>
      <c r="SED134" s="105"/>
      <c r="SEE134" s="105"/>
      <c r="SEF134" s="105"/>
      <c r="SEG134" s="105"/>
      <c r="SEH134" s="105"/>
      <c r="SEI134" s="105"/>
      <c r="SEJ134" s="105"/>
      <c r="SEK134" s="105"/>
      <c r="SEL134" s="105"/>
      <c r="SEM134" s="105"/>
      <c r="SEN134" s="105"/>
      <c r="SEO134" s="105"/>
      <c r="SEP134" s="105"/>
      <c r="SEQ134" s="105"/>
      <c r="SER134" s="105"/>
      <c r="SES134" s="105"/>
      <c r="SET134" s="105"/>
      <c r="SEU134" s="105"/>
      <c r="SEV134" s="105"/>
      <c r="SEW134" s="105"/>
      <c r="SEX134" s="105"/>
      <c r="SEY134" s="105"/>
      <c r="SEZ134" s="105"/>
      <c r="SFA134" s="105"/>
      <c r="SFB134" s="105"/>
      <c r="SFC134" s="105"/>
      <c r="SFD134" s="105"/>
      <c r="SFE134" s="105"/>
      <c r="SFF134" s="105"/>
      <c r="SFG134" s="105"/>
      <c r="SFH134" s="105"/>
      <c r="SFI134" s="105"/>
      <c r="SFJ134" s="105"/>
      <c r="SFK134" s="105"/>
      <c r="SFL134" s="105"/>
      <c r="SFM134" s="105"/>
      <c r="SFN134" s="105"/>
      <c r="SFO134" s="105"/>
      <c r="SFP134" s="105"/>
      <c r="SFQ134" s="105"/>
      <c r="SFR134" s="105"/>
      <c r="SFS134" s="105"/>
      <c r="SFT134" s="105"/>
      <c r="SFU134" s="105"/>
      <c r="SFV134" s="105"/>
      <c r="SFW134" s="105"/>
      <c r="SFX134" s="105"/>
      <c r="SFY134" s="105"/>
      <c r="SFZ134" s="105"/>
      <c r="SGA134" s="105"/>
      <c r="SGB134" s="105"/>
      <c r="SGC134" s="105"/>
      <c r="SGD134" s="105"/>
      <c r="SGE134" s="105"/>
      <c r="SGF134" s="105"/>
      <c r="SGG134" s="105"/>
      <c r="SGH134" s="105"/>
      <c r="SGI134" s="105"/>
      <c r="SGJ134" s="105"/>
      <c r="SGK134" s="105"/>
      <c r="SGL134" s="105"/>
      <c r="SGM134" s="105"/>
      <c r="SGN134" s="105"/>
      <c r="SGO134" s="105"/>
      <c r="SGP134" s="105"/>
      <c r="SGQ134" s="105"/>
      <c r="SGR134" s="105"/>
      <c r="SGS134" s="105"/>
      <c r="SGT134" s="105"/>
      <c r="SGU134" s="105"/>
      <c r="SGV134" s="105"/>
      <c r="SGW134" s="105"/>
      <c r="SGX134" s="105"/>
      <c r="SGY134" s="105"/>
      <c r="SGZ134" s="105"/>
      <c r="SHA134" s="105"/>
      <c r="SHB134" s="105"/>
      <c r="SHC134" s="105"/>
      <c r="SHD134" s="105"/>
      <c r="SHE134" s="105"/>
      <c r="SHF134" s="105"/>
      <c r="SHG134" s="105"/>
      <c r="SHH134" s="105"/>
      <c r="SHI134" s="105"/>
      <c r="SHJ134" s="105"/>
      <c r="SHK134" s="105"/>
      <c r="SHL134" s="105"/>
      <c r="SHM134" s="105"/>
      <c r="SHN134" s="105"/>
      <c r="SHO134" s="105"/>
      <c r="SHP134" s="105"/>
      <c r="SHQ134" s="105"/>
      <c r="SHR134" s="105"/>
      <c r="SHS134" s="105"/>
      <c r="SHT134" s="105"/>
      <c r="SHU134" s="105"/>
      <c r="SHV134" s="105"/>
      <c r="SHW134" s="105"/>
      <c r="SHX134" s="105"/>
      <c r="SHY134" s="105"/>
      <c r="SHZ134" s="105"/>
      <c r="SIA134" s="105"/>
      <c r="SIB134" s="105"/>
      <c r="SIC134" s="105"/>
      <c r="SID134" s="105"/>
      <c r="SIE134" s="105"/>
      <c r="SIF134" s="105"/>
      <c r="SIG134" s="105"/>
      <c r="SIH134" s="105"/>
      <c r="SII134" s="105"/>
      <c r="SIJ134" s="105"/>
      <c r="SIK134" s="105"/>
      <c r="SIL134" s="105"/>
      <c r="SIM134" s="105"/>
      <c r="SIN134" s="105"/>
      <c r="SIO134" s="105"/>
      <c r="SIP134" s="105"/>
      <c r="SIQ134" s="105"/>
      <c r="SIR134" s="105"/>
      <c r="SIS134" s="105"/>
      <c r="SIT134" s="105"/>
      <c r="SIU134" s="105"/>
      <c r="SIV134" s="105"/>
      <c r="SIW134" s="105"/>
      <c r="SIX134" s="105"/>
      <c r="SIY134" s="105"/>
      <c r="SIZ134" s="105"/>
      <c r="SJA134" s="105"/>
      <c r="SJB134" s="105"/>
      <c r="SJC134" s="105"/>
      <c r="SJD134" s="105"/>
      <c r="SJE134" s="105"/>
      <c r="SJF134" s="105"/>
      <c r="SJG134" s="105"/>
      <c r="SJH134" s="105"/>
      <c r="SJI134" s="105"/>
      <c r="SJJ134" s="105"/>
      <c r="SJK134" s="105"/>
      <c r="SJL134" s="105"/>
      <c r="SJM134" s="105"/>
      <c r="SJN134" s="105"/>
      <c r="SJO134" s="105"/>
      <c r="SJP134" s="105"/>
      <c r="SJQ134" s="105"/>
      <c r="SJR134" s="105"/>
      <c r="SJS134" s="105"/>
      <c r="SJT134" s="105"/>
      <c r="SJU134" s="105"/>
      <c r="SJV134" s="105"/>
      <c r="SJW134" s="105"/>
      <c r="SJX134" s="105"/>
      <c r="SJY134" s="105"/>
      <c r="SJZ134" s="105"/>
      <c r="SKA134" s="105"/>
      <c r="SKB134" s="105"/>
      <c r="SKC134" s="105"/>
      <c r="SKD134" s="105"/>
      <c r="SKE134" s="105"/>
      <c r="SKF134" s="105"/>
      <c r="SKG134" s="105"/>
      <c r="SKH134" s="105"/>
      <c r="SKI134" s="105"/>
      <c r="SKJ134" s="105"/>
      <c r="SKK134" s="105"/>
      <c r="SKL134" s="105"/>
      <c r="SKM134" s="105"/>
      <c r="SKN134" s="105"/>
      <c r="SKO134" s="105"/>
      <c r="SKP134" s="105"/>
      <c r="SKQ134" s="105"/>
      <c r="SKR134" s="105"/>
      <c r="SKS134" s="105"/>
      <c r="SKT134" s="105"/>
      <c r="SKU134" s="105"/>
      <c r="SKV134" s="105"/>
      <c r="SKW134" s="105"/>
      <c r="SKX134" s="105"/>
      <c r="SKY134" s="105"/>
      <c r="SKZ134" s="105"/>
      <c r="SLA134" s="105"/>
      <c r="SLB134" s="105"/>
      <c r="SLC134" s="105"/>
      <c r="SLD134" s="105"/>
      <c r="SLE134" s="105"/>
      <c r="SLF134" s="105"/>
      <c r="SLG134" s="105"/>
      <c r="SLH134" s="105"/>
      <c r="SLI134" s="105"/>
      <c r="SLJ134" s="105"/>
      <c r="SLK134" s="105"/>
      <c r="SLL134" s="105"/>
      <c r="SLM134" s="105"/>
      <c r="SLN134" s="105"/>
      <c r="SLO134" s="105"/>
      <c r="SLP134" s="105"/>
      <c r="SLQ134" s="105"/>
      <c r="SLR134" s="105"/>
      <c r="SLS134" s="105"/>
      <c r="SLT134" s="105"/>
      <c r="SLU134" s="105"/>
      <c r="SLV134" s="105"/>
      <c r="SLW134" s="105"/>
      <c r="SLX134" s="105"/>
      <c r="SLY134" s="105"/>
      <c r="SLZ134" s="105"/>
      <c r="SMA134" s="105"/>
      <c r="SMB134" s="105"/>
      <c r="SMC134" s="105"/>
      <c r="SMD134" s="105"/>
      <c r="SME134" s="105"/>
      <c r="SMF134" s="105"/>
      <c r="SMG134" s="105"/>
      <c r="SMH134" s="105"/>
      <c r="SMI134" s="105"/>
      <c r="SMJ134" s="105"/>
      <c r="SMK134" s="105"/>
      <c r="SML134" s="105"/>
      <c r="SMM134" s="105"/>
      <c r="SMN134" s="105"/>
      <c r="SMO134" s="105"/>
      <c r="SMP134" s="105"/>
      <c r="SMQ134" s="105"/>
      <c r="SMR134" s="105"/>
      <c r="SMS134" s="105"/>
      <c r="SMT134" s="105"/>
      <c r="SMU134" s="105"/>
      <c r="SMV134" s="105"/>
      <c r="SMW134" s="105"/>
      <c r="SMX134" s="105"/>
      <c r="SMY134" s="105"/>
      <c r="SMZ134" s="105"/>
      <c r="SNA134" s="105"/>
      <c r="SNB134" s="105"/>
      <c r="SNC134" s="105"/>
      <c r="SND134" s="105"/>
      <c r="SNE134" s="105"/>
      <c r="SNF134" s="105"/>
      <c r="SNG134" s="105"/>
      <c r="SNH134" s="105"/>
      <c r="SNI134" s="105"/>
      <c r="SNJ134" s="105"/>
      <c r="SNK134" s="105"/>
      <c r="SNL134" s="105"/>
      <c r="SNM134" s="105"/>
      <c r="SNN134" s="105"/>
      <c r="SNO134" s="105"/>
      <c r="SNP134" s="105"/>
      <c r="SNQ134" s="105"/>
      <c r="SNR134" s="105"/>
      <c r="SNS134" s="105"/>
      <c r="SNT134" s="105"/>
      <c r="SNU134" s="105"/>
      <c r="SNV134" s="105"/>
      <c r="SNW134" s="105"/>
      <c r="SNX134" s="105"/>
      <c r="SNY134" s="105"/>
      <c r="SNZ134" s="105"/>
      <c r="SOA134" s="105"/>
      <c r="SOB134" s="105"/>
      <c r="SOC134" s="105"/>
      <c r="SOD134" s="105"/>
      <c r="SOE134" s="105"/>
      <c r="SOF134" s="105"/>
      <c r="SOG134" s="105"/>
      <c r="SOH134" s="105"/>
      <c r="SOI134" s="105"/>
      <c r="SOJ134" s="105"/>
      <c r="SOK134" s="105"/>
      <c r="SOL134" s="105"/>
      <c r="SOM134" s="105"/>
      <c r="SON134" s="105"/>
      <c r="SOO134" s="105"/>
      <c r="SOP134" s="105"/>
      <c r="SOQ134" s="105"/>
      <c r="SOR134" s="105"/>
      <c r="SOS134" s="105"/>
      <c r="SOT134" s="105"/>
      <c r="SOU134" s="105"/>
      <c r="SOV134" s="105"/>
      <c r="SOW134" s="105"/>
      <c r="SOX134" s="105"/>
      <c r="SOY134" s="105"/>
      <c r="SOZ134" s="105"/>
      <c r="SPA134" s="105"/>
      <c r="SPB134" s="105"/>
      <c r="SPC134" s="105"/>
      <c r="SPD134" s="105"/>
      <c r="SPE134" s="105"/>
      <c r="SPF134" s="105"/>
      <c r="SPG134" s="105"/>
      <c r="SPH134" s="105"/>
      <c r="SPI134" s="105"/>
      <c r="SPJ134" s="105"/>
      <c r="SPK134" s="105"/>
      <c r="SPL134" s="105"/>
      <c r="SPM134" s="105"/>
      <c r="SPN134" s="105"/>
      <c r="SPO134" s="105"/>
      <c r="SPP134" s="105"/>
      <c r="SPQ134" s="105"/>
      <c r="SPR134" s="105"/>
      <c r="SPS134" s="105"/>
      <c r="SPT134" s="105"/>
      <c r="SPU134" s="105"/>
      <c r="SPV134" s="105"/>
      <c r="SPW134" s="105"/>
      <c r="SPX134" s="105"/>
      <c r="SPY134" s="105"/>
      <c r="SPZ134" s="105"/>
      <c r="SQA134" s="105"/>
      <c r="SQB134" s="105"/>
      <c r="SQC134" s="105"/>
      <c r="SQD134" s="105"/>
      <c r="SQE134" s="105"/>
      <c r="SQF134" s="105"/>
      <c r="SQG134" s="105"/>
      <c r="SQH134" s="105"/>
      <c r="SQI134" s="105"/>
      <c r="SQJ134" s="105"/>
      <c r="SQK134" s="105"/>
      <c r="SQL134" s="105"/>
      <c r="SQM134" s="105"/>
      <c r="SQN134" s="105"/>
      <c r="SQO134" s="105"/>
      <c r="SQP134" s="105"/>
      <c r="SQQ134" s="105"/>
      <c r="SQR134" s="105"/>
      <c r="SQS134" s="105"/>
      <c r="SQT134" s="105"/>
      <c r="SQU134" s="105"/>
      <c r="SQV134" s="105"/>
      <c r="SQW134" s="105"/>
      <c r="SQX134" s="105"/>
      <c r="SQY134" s="105"/>
      <c r="SQZ134" s="105"/>
      <c r="SRA134" s="105"/>
      <c r="SRB134" s="105"/>
      <c r="SRC134" s="105"/>
      <c r="SRD134" s="105"/>
      <c r="SRE134" s="105"/>
      <c r="SRF134" s="105"/>
      <c r="SRG134" s="105"/>
      <c r="SRH134" s="105"/>
      <c r="SRI134" s="105"/>
      <c r="SRJ134" s="105"/>
      <c r="SRK134" s="105"/>
      <c r="SRL134" s="105"/>
      <c r="SRM134" s="105"/>
      <c r="SRN134" s="105"/>
      <c r="SRO134" s="105"/>
      <c r="SRP134" s="105"/>
      <c r="SRQ134" s="105"/>
      <c r="SRR134" s="105"/>
      <c r="SRS134" s="105"/>
      <c r="SRT134" s="105"/>
      <c r="SRU134" s="105"/>
      <c r="SRV134" s="105"/>
      <c r="SRW134" s="105"/>
      <c r="SRX134" s="105"/>
      <c r="SRY134" s="105"/>
      <c r="SRZ134" s="105"/>
      <c r="SSA134" s="105"/>
      <c r="SSB134" s="105"/>
      <c r="SSC134" s="105"/>
      <c r="SSD134" s="105"/>
      <c r="SSE134" s="105"/>
      <c r="SSF134" s="105"/>
      <c r="SSG134" s="105"/>
      <c r="SSH134" s="105"/>
      <c r="SSI134" s="105"/>
      <c r="SSJ134" s="105"/>
      <c r="SSK134" s="105"/>
      <c r="SSL134" s="105"/>
      <c r="SSM134" s="105"/>
      <c r="SSN134" s="105"/>
      <c r="SSO134" s="105"/>
      <c r="SSP134" s="105"/>
      <c r="SSQ134" s="105"/>
      <c r="SSR134" s="105"/>
      <c r="SSS134" s="105"/>
      <c r="SST134" s="105"/>
      <c r="SSU134" s="105"/>
      <c r="SSV134" s="105"/>
      <c r="SSW134" s="105"/>
      <c r="SSX134" s="105"/>
      <c r="SSY134" s="105"/>
      <c r="SSZ134" s="105"/>
      <c r="STA134" s="105"/>
      <c r="STB134" s="105"/>
      <c r="STC134" s="105"/>
      <c r="STD134" s="105"/>
      <c r="STE134" s="105"/>
      <c r="STF134" s="105"/>
      <c r="STG134" s="105"/>
      <c r="STH134" s="105"/>
      <c r="STI134" s="105"/>
      <c r="STJ134" s="105"/>
      <c r="STK134" s="105"/>
      <c r="STL134" s="105"/>
      <c r="STM134" s="105"/>
      <c r="STN134" s="105"/>
      <c r="STO134" s="105"/>
      <c r="STP134" s="105"/>
      <c r="STQ134" s="105"/>
      <c r="STR134" s="105"/>
      <c r="STS134" s="105"/>
      <c r="STT134" s="105"/>
      <c r="STU134" s="105"/>
      <c r="STV134" s="105"/>
      <c r="STW134" s="105"/>
      <c r="STX134" s="105"/>
      <c r="STY134" s="105"/>
      <c r="STZ134" s="105"/>
      <c r="SUA134" s="105"/>
      <c r="SUB134" s="105"/>
      <c r="SUC134" s="105"/>
      <c r="SUD134" s="105"/>
      <c r="SUE134" s="105"/>
      <c r="SUF134" s="105"/>
      <c r="SUG134" s="105"/>
      <c r="SUH134" s="105"/>
      <c r="SUI134" s="105"/>
      <c r="SUJ134" s="105"/>
      <c r="SUK134" s="105"/>
      <c r="SUL134" s="105"/>
      <c r="SUM134" s="105"/>
      <c r="SUN134" s="105"/>
      <c r="SUO134" s="105"/>
      <c r="SUP134" s="105"/>
      <c r="SUQ134" s="105"/>
      <c r="SUR134" s="105"/>
      <c r="SUS134" s="105"/>
      <c r="SUT134" s="105"/>
      <c r="SUU134" s="105"/>
      <c r="SUV134" s="105"/>
      <c r="SUW134" s="105"/>
      <c r="SUX134" s="105"/>
      <c r="SUY134" s="105"/>
      <c r="SUZ134" s="105"/>
      <c r="SVA134" s="105"/>
      <c r="SVB134" s="105"/>
      <c r="SVC134" s="105"/>
      <c r="SVD134" s="105"/>
      <c r="SVE134" s="105"/>
      <c r="SVF134" s="105"/>
      <c r="SVG134" s="105"/>
      <c r="SVH134" s="105"/>
      <c r="SVI134" s="105"/>
      <c r="SVJ134" s="105"/>
      <c r="SVK134" s="105"/>
      <c r="SVL134" s="105"/>
      <c r="SVM134" s="105"/>
      <c r="SVN134" s="105"/>
      <c r="SVO134" s="105"/>
      <c r="SVP134" s="105"/>
      <c r="SVQ134" s="105"/>
      <c r="SVR134" s="105"/>
      <c r="SVS134" s="105"/>
      <c r="SVT134" s="105"/>
      <c r="SVU134" s="105"/>
      <c r="SVV134" s="105"/>
      <c r="SVW134" s="105"/>
      <c r="SVX134" s="105"/>
      <c r="SVY134" s="105"/>
      <c r="SVZ134" s="105"/>
      <c r="SWA134" s="105"/>
      <c r="SWB134" s="105"/>
      <c r="SWC134" s="105"/>
      <c r="SWD134" s="105"/>
      <c r="SWE134" s="105"/>
      <c r="SWF134" s="105"/>
      <c r="SWG134" s="105"/>
      <c r="SWH134" s="105"/>
      <c r="SWI134" s="105"/>
      <c r="SWJ134" s="105"/>
      <c r="SWK134" s="105"/>
      <c r="SWL134" s="105"/>
      <c r="SWM134" s="105"/>
      <c r="SWN134" s="105"/>
      <c r="SWO134" s="105"/>
      <c r="SWP134" s="105"/>
      <c r="SWQ134" s="105"/>
      <c r="SWR134" s="105"/>
      <c r="SWS134" s="105"/>
      <c r="SWT134" s="105"/>
      <c r="SWU134" s="105"/>
      <c r="SWV134" s="105"/>
      <c r="SWW134" s="105"/>
      <c r="SWX134" s="105"/>
      <c r="SWY134" s="105"/>
      <c r="SWZ134" s="105"/>
      <c r="SXA134" s="105"/>
      <c r="SXB134" s="105"/>
      <c r="SXC134" s="105"/>
      <c r="SXD134" s="105"/>
      <c r="SXE134" s="105"/>
      <c r="SXF134" s="105"/>
      <c r="SXG134" s="105"/>
      <c r="SXH134" s="105"/>
      <c r="SXI134" s="105"/>
      <c r="SXJ134" s="105"/>
      <c r="SXK134" s="105"/>
      <c r="SXL134" s="105"/>
      <c r="SXM134" s="105"/>
      <c r="SXN134" s="105"/>
      <c r="SXO134" s="105"/>
      <c r="SXP134" s="105"/>
      <c r="SXQ134" s="105"/>
      <c r="SXR134" s="105"/>
      <c r="SXS134" s="105"/>
      <c r="SXT134" s="105"/>
      <c r="SXU134" s="105"/>
      <c r="SXV134" s="105"/>
      <c r="SXW134" s="105"/>
      <c r="SXX134" s="105"/>
      <c r="SXY134" s="105"/>
      <c r="SXZ134" s="105"/>
      <c r="SYA134" s="105"/>
      <c r="SYB134" s="105"/>
      <c r="SYC134" s="105"/>
      <c r="SYD134" s="105"/>
      <c r="SYE134" s="105"/>
      <c r="SYF134" s="105"/>
      <c r="SYG134" s="105"/>
      <c r="SYH134" s="105"/>
      <c r="SYI134" s="105"/>
      <c r="SYJ134" s="105"/>
      <c r="SYK134" s="105"/>
      <c r="SYL134" s="105"/>
      <c r="SYM134" s="105"/>
      <c r="SYN134" s="105"/>
      <c r="SYO134" s="105"/>
      <c r="SYP134" s="105"/>
      <c r="SYQ134" s="105"/>
      <c r="SYR134" s="105"/>
      <c r="SYS134" s="105"/>
      <c r="SYT134" s="105"/>
      <c r="SYU134" s="105"/>
      <c r="SYV134" s="105"/>
      <c r="SYW134" s="105"/>
      <c r="SYX134" s="105"/>
      <c r="SYY134" s="105"/>
      <c r="SYZ134" s="105"/>
      <c r="SZA134" s="105"/>
      <c r="SZB134" s="105"/>
      <c r="SZC134" s="105"/>
      <c r="SZD134" s="105"/>
      <c r="SZE134" s="105"/>
      <c r="SZF134" s="105"/>
      <c r="SZG134" s="105"/>
      <c r="SZH134" s="105"/>
      <c r="SZI134" s="105"/>
      <c r="SZJ134" s="105"/>
      <c r="SZK134" s="105"/>
      <c r="SZL134" s="105"/>
      <c r="SZM134" s="105"/>
      <c r="SZN134" s="105"/>
      <c r="SZO134" s="105"/>
      <c r="SZP134" s="105"/>
      <c r="SZQ134" s="105"/>
      <c r="SZR134" s="105"/>
      <c r="SZS134" s="105"/>
      <c r="SZT134" s="105"/>
      <c r="SZU134" s="105"/>
      <c r="SZV134" s="105"/>
      <c r="SZW134" s="105"/>
      <c r="SZX134" s="105"/>
      <c r="SZY134" s="105"/>
      <c r="SZZ134" s="105"/>
      <c r="TAA134" s="105"/>
      <c r="TAB134" s="105"/>
      <c r="TAC134" s="105"/>
      <c r="TAD134" s="105"/>
      <c r="TAE134" s="105"/>
      <c r="TAF134" s="105"/>
      <c r="TAG134" s="105"/>
      <c r="TAH134" s="105"/>
      <c r="TAI134" s="105"/>
      <c r="TAJ134" s="105"/>
      <c r="TAK134" s="105"/>
      <c r="TAL134" s="105"/>
      <c r="TAM134" s="105"/>
      <c r="TAN134" s="105"/>
      <c r="TAO134" s="105"/>
      <c r="TAP134" s="105"/>
      <c r="TAQ134" s="105"/>
      <c r="TAR134" s="105"/>
      <c r="TAS134" s="105"/>
      <c r="TAT134" s="105"/>
      <c r="TAU134" s="105"/>
      <c r="TAV134" s="105"/>
      <c r="TAW134" s="105"/>
      <c r="TAX134" s="105"/>
      <c r="TAY134" s="105"/>
      <c r="TAZ134" s="105"/>
      <c r="TBA134" s="105"/>
      <c r="TBB134" s="105"/>
      <c r="TBC134" s="105"/>
      <c r="TBD134" s="105"/>
      <c r="TBE134" s="105"/>
      <c r="TBF134" s="105"/>
      <c r="TBG134" s="105"/>
      <c r="TBH134" s="105"/>
      <c r="TBI134" s="105"/>
      <c r="TBJ134" s="105"/>
      <c r="TBK134" s="105"/>
      <c r="TBL134" s="105"/>
      <c r="TBM134" s="105"/>
      <c r="TBN134" s="105"/>
      <c r="TBO134" s="105"/>
      <c r="TBP134" s="105"/>
      <c r="TBQ134" s="105"/>
      <c r="TBR134" s="105"/>
      <c r="TBS134" s="105"/>
      <c r="TBT134" s="105"/>
      <c r="TBU134" s="105"/>
      <c r="TBV134" s="105"/>
      <c r="TBW134" s="105"/>
      <c r="TBX134" s="105"/>
      <c r="TBY134" s="105"/>
      <c r="TBZ134" s="105"/>
      <c r="TCA134" s="105"/>
      <c r="TCB134" s="105"/>
      <c r="TCC134" s="105"/>
      <c r="TCD134" s="105"/>
      <c r="TCE134" s="105"/>
      <c r="TCF134" s="105"/>
      <c r="TCG134" s="105"/>
      <c r="TCH134" s="105"/>
      <c r="TCI134" s="105"/>
      <c r="TCJ134" s="105"/>
      <c r="TCK134" s="105"/>
      <c r="TCL134" s="105"/>
      <c r="TCM134" s="105"/>
      <c r="TCN134" s="105"/>
      <c r="TCO134" s="105"/>
      <c r="TCP134" s="105"/>
      <c r="TCQ134" s="105"/>
      <c r="TCR134" s="105"/>
      <c r="TCS134" s="105"/>
      <c r="TCT134" s="105"/>
      <c r="TCU134" s="105"/>
      <c r="TCV134" s="105"/>
      <c r="TCW134" s="105"/>
      <c r="TCX134" s="105"/>
      <c r="TCY134" s="105"/>
      <c r="TCZ134" s="105"/>
      <c r="TDA134" s="105"/>
      <c r="TDB134" s="105"/>
      <c r="TDC134" s="105"/>
      <c r="TDD134" s="105"/>
      <c r="TDE134" s="105"/>
      <c r="TDF134" s="105"/>
      <c r="TDG134" s="105"/>
      <c r="TDH134" s="105"/>
      <c r="TDI134" s="105"/>
      <c r="TDJ134" s="105"/>
      <c r="TDK134" s="105"/>
      <c r="TDL134" s="105"/>
      <c r="TDM134" s="105"/>
      <c r="TDN134" s="105"/>
      <c r="TDO134" s="105"/>
      <c r="TDP134" s="105"/>
      <c r="TDQ134" s="105"/>
      <c r="TDR134" s="105"/>
      <c r="TDS134" s="105"/>
      <c r="TDT134" s="105"/>
      <c r="TDU134" s="105"/>
      <c r="TDV134" s="105"/>
      <c r="TDW134" s="105"/>
      <c r="TDX134" s="105"/>
      <c r="TDY134" s="105"/>
      <c r="TDZ134" s="105"/>
      <c r="TEA134" s="105"/>
      <c r="TEB134" s="105"/>
      <c r="TEC134" s="105"/>
      <c r="TED134" s="105"/>
      <c r="TEE134" s="105"/>
      <c r="TEF134" s="105"/>
      <c r="TEG134" s="105"/>
      <c r="TEH134" s="105"/>
      <c r="TEI134" s="105"/>
      <c r="TEJ134" s="105"/>
      <c r="TEK134" s="105"/>
      <c r="TEL134" s="105"/>
      <c r="TEM134" s="105"/>
      <c r="TEN134" s="105"/>
      <c r="TEO134" s="105"/>
      <c r="TEP134" s="105"/>
      <c r="TEQ134" s="105"/>
      <c r="TER134" s="105"/>
      <c r="TES134" s="105"/>
      <c r="TET134" s="105"/>
      <c r="TEU134" s="105"/>
      <c r="TEV134" s="105"/>
      <c r="TEW134" s="105"/>
      <c r="TEX134" s="105"/>
      <c r="TEY134" s="105"/>
      <c r="TEZ134" s="105"/>
      <c r="TFA134" s="105"/>
      <c r="TFB134" s="105"/>
      <c r="TFC134" s="105"/>
      <c r="TFD134" s="105"/>
      <c r="TFE134" s="105"/>
      <c r="TFF134" s="105"/>
      <c r="TFG134" s="105"/>
      <c r="TFH134" s="105"/>
      <c r="TFI134" s="105"/>
      <c r="TFJ134" s="105"/>
      <c r="TFK134" s="105"/>
      <c r="TFL134" s="105"/>
      <c r="TFM134" s="105"/>
      <c r="TFN134" s="105"/>
      <c r="TFO134" s="105"/>
      <c r="TFP134" s="105"/>
      <c r="TFQ134" s="105"/>
      <c r="TFR134" s="105"/>
      <c r="TFS134" s="105"/>
      <c r="TFT134" s="105"/>
      <c r="TFU134" s="105"/>
      <c r="TFV134" s="105"/>
      <c r="TFW134" s="105"/>
      <c r="TFX134" s="105"/>
      <c r="TFY134" s="105"/>
      <c r="TFZ134" s="105"/>
      <c r="TGA134" s="105"/>
      <c r="TGB134" s="105"/>
      <c r="TGC134" s="105"/>
      <c r="TGD134" s="105"/>
      <c r="TGE134" s="105"/>
      <c r="TGF134" s="105"/>
      <c r="TGG134" s="105"/>
      <c r="TGH134" s="105"/>
      <c r="TGI134" s="105"/>
      <c r="TGJ134" s="105"/>
      <c r="TGK134" s="105"/>
      <c r="TGL134" s="105"/>
      <c r="TGM134" s="105"/>
      <c r="TGN134" s="105"/>
      <c r="TGO134" s="105"/>
      <c r="TGP134" s="105"/>
      <c r="TGQ134" s="105"/>
      <c r="TGR134" s="105"/>
      <c r="TGS134" s="105"/>
      <c r="TGT134" s="105"/>
      <c r="TGU134" s="105"/>
      <c r="TGV134" s="105"/>
      <c r="TGW134" s="105"/>
      <c r="TGX134" s="105"/>
      <c r="TGY134" s="105"/>
      <c r="TGZ134" s="105"/>
      <c r="THA134" s="105"/>
      <c r="THB134" s="105"/>
      <c r="THC134" s="105"/>
      <c r="THD134" s="105"/>
      <c r="THE134" s="105"/>
      <c r="THF134" s="105"/>
      <c r="THG134" s="105"/>
      <c r="THH134" s="105"/>
      <c r="THI134" s="105"/>
      <c r="THJ134" s="105"/>
      <c r="THK134" s="105"/>
      <c r="THL134" s="105"/>
      <c r="THM134" s="105"/>
      <c r="THN134" s="105"/>
      <c r="THO134" s="105"/>
      <c r="THP134" s="105"/>
      <c r="THQ134" s="105"/>
      <c r="THR134" s="105"/>
      <c r="THS134" s="105"/>
      <c r="THT134" s="105"/>
      <c r="THU134" s="105"/>
      <c r="THV134" s="105"/>
      <c r="THW134" s="105"/>
      <c r="THX134" s="105"/>
      <c r="THY134" s="105"/>
      <c r="THZ134" s="105"/>
      <c r="TIA134" s="105"/>
      <c r="TIB134" s="105"/>
      <c r="TIC134" s="105"/>
      <c r="TID134" s="105"/>
      <c r="TIE134" s="105"/>
      <c r="TIF134" s="105"/>
      <c r="TIG134" s="105"/>
      <c r="TIH134" s="105"/>
      <c r="TII134" s="105"/>
      <c r="TIJ134" s="105"/>
      <c r="TIK134" s="105"/>
      <c r="TIL134" s="105"/>
      <c r="TIM134" s="105"/>
      <c r="TIN134" s="105"/>
      <c r="TIO134" s="105"/>
      <c r="TIP134" s="105"/>
      <c r="TIQ134" s="105"/>
      <c r="TIR134" s="105"/>
      <c r="TIS134" s="105"/>
      <c r="TIT134" s="105"/>
      <c r="TIU134" s="105"/>
      <c r="TIV134" s="105"/>
      <c r="TIW134" s="105"/>
      <c r="TIX134" s="105"/>
      <c r="TIY134" s="105"/>
      <c r="TIZ134" s="105"/>
      <c r="TJA134" s="105"/>
      <c r="TJB134" s="105"/>
      <c r="TJC134" s="105"/>
      <c r="TJD134" s="105"/>
      <c r="TJE134" s="105"/>
      <c r="TJF134" s="105"/>
      <c r="TJG134" s="105"/>
      <c r="TJH134" s="105"/>
      <c r="TJI134" s="105"/>
      <c r="TJJ134" s="105"/>
      <c r="TJK134" s="105"/>
      <c r="TJL134" s="105"/>
      <c r="TJM134" s="105"/>
      <c r="TJN134" s="105"/>
      <c r="TJO134" s="105"/>
      <c r="TJP134" s="105"/>
      <c r="TJQ134" s="105"/>
      <c r="TJR134" s="105"/>
      <c r="TJS134" s="105"/>
      <c r="TJT134" s="105"/>
      <c r="TJU134" s="105"/>
      <c r="TJV134" s="105"/>
      <c r="TJW134" s="105"/>
      <c r="TJX134" s="105"/>
      <c r="TJY134" s="105"/>
      <c r="TJZ134" s="105"/>
      <c r="TKA134" s="105"/>
      <c r="TKB134" s="105"/>
      <c r="TKC134" s="105"/>
      <c r="TKD134" s="105"/>
      <c r="TKE134" s="105"/>
      <c r="TKF134" s="105"/>
      <c r="TKG134" s="105"/>
      <c r="TKH134" s="105"/>
      <c r="TKI134" s="105"/>
      <c r="TKJ134" s="105"/>
      <c r="TKK134" s="105"/>
      <c r="TKL134" s="105"/>
      <c r="TKM134" s="105"/>
      <c r="TKN134" s="105"/>
      <c r="TKO134" s="105"/>
      <c r="TKP134" s="105"/>
      <c r="TKQ134" s="105"/>
      <c r="TKR134" s="105"/>
      <c r="TKS134" s="105"/>
      <c r="TKT134" s="105"/>
      <c r="TKU134" s="105"/>
      <c r="TKV134" s="105"/>
      <c r="TKW134" s="105"/>
      <c r="TKX134" s="105"/>
      <c r="TKY134" s="105"/>
      <c r="TKZ134" s="105"/>
      <c r="TLA134" s="105"/>
      <c r="TLB134" s="105"/>
      <c r="TLC134" s="105"/>
      <c r="TLD134" s="105"/>
      <c r="TLE134" s="105"/>
      <c r="TLF134" s="105"/>
      <c r="TLG134" s="105"/>
      <c r="TLH134" s="105"/>
      <c r="TLI134" s="105"/>
      <c r="TLJ134" s="105"/>
      <c r="TLK134" s="105"/>
      <c r="TLL134" s="105"/>
      <c r="TLM134" s="105"/>
      <c r="TLN134" s="105"/>
      <c r="TLO134" s="105"/>
      <c r="TLP134" s="105"/>
      <c r="TLQ134" s="105"/>
      <c r="TLR134" s="105"/>
      <c r="TLS134" s="105"/>
      <c r="TLT134" s="105"/>
      <c r="TLU134" s="105"/>
      <c r="TLV134" s="105"/>
      <c r="TLW134" s="105"/>
      <c r="TLX134" s="105"/>
      <c r="TLY134" s="105"/>
      <c r="TLZ134" s="105"/>
      <c r="TMA134" s="105"/>
      <c r="TMB134" s="105"/>
      <c r="TMC134" s="105"/>
      <c r="TMD134" s="105"/>
      <c r="TME134" s="105"/>
      <c r="TMF134" s="105"/>
      <c r="TMG134" s="105"/>
      <c r="TMH134" s="105"/>
      <c r="TMI134" s="105"/>
      <c r="TMJ134" s="105"/>
      <c r="TMK134" s="105"/>
      <c r="TML134" s="105"/>
      <c r="TMM134" s="105"/>
      <c r="TMN134" s="105"/>
      <c r="TMO134" s="105"/>
      <c r="TMP134" s="105"/>
      <c r="TMQ134" s="105"/>
      <c r="TMR134" s="105"/>
      <c r="TMS134" s="105"/>
      <c r="TMT134" s="105"/>
      <c r="TMU134" s="105"/>
      <c r="TMV134" s="105"/>
      <c r="TMW134" s="105"/>
      <c r="TMX134" s="105"/>
      <c r="TMY134" s="105"/>
      <c r="TMZ134" s="105"/>
      <c r="TNA134" s="105"/>
      <c r="TNB134" s="105"/>
      <c r="TNC134" s="105"/>
      <c r="TND134" s="105"/>
      <c r="TNE134" s="105"/>
      <c r="TNF134" s="105"/>
      <c r="TNG134" s="105"/>
      <c r="TNH134" s="105"/>
      <c r="TNI134" s="105"/>
      <c r="TNJ134" s="105"/>
      <c r="TNK134" s="105"/>
      <c r="TNL134" s="105"/>
      <c r="TNM134" s="105"/>
      <c r="TNN134" s="105"/>
      <c r="TNO134" s="105"/>
      <c r="TNP134" s="105"/>
      <c r="TNQ134" s="105"/>
      <c r="TNR134" s="105"/>
      <c r="TNS134" s="105"/>
      <c r="TNT134" s="105"/>
      <c r="TNU134" s="105"/>
      <c r="TNV134" s="105"/>
      <c r="TNW134" s="105"/>
      <c r="TNX134" s="105"/>
      <c r="TNY134" s="105"/>
      <c r="TNZ134" s="105"/>
      <c r="TOA134" s="105"/>
      <c r="TOB134" s="105"/>
      <c r="TOC134" s="105"/>
      <c r="TOD134" s="105"/>
      <c r="TOE134" s="105"/>
      <c r="TOF134" s="105"/>
      <c r="TOG134" s="105"/>
      <c r="TOH134" s="105"/>
      <c r="TOI134" s="105"/>
      <c r="TOJ134" s="105"/>
      <c r="TOK134" s="105"/>
      <c r="TOL134" s="105"/>
      <c r="TOM134" s="105"/>
      <c r="TON134" s="105"/>
      <c r="TOO134" s="105"/>
      <c r="TOP134" s="105"/>
      <c r="TOQ134" s="105"/>
      <c r="TOR134" s="105"/>
      <c r="TOS134" s="105"/>
      <c r="TOT134" s="105"/>
      <c r="TOU134" s="105"/>
      <c r="TOV134" s="105"/>
      <c r="TOW134" s="105"/>
      <c r="TOX134" s="105"/>
      <c r="TOY134" s="105"/>
      <c r="TOZ134" s="105"/>
      <c r="TPA134" s="105"/>
      <c r="TPB134" s="105"/>
      <c r="TPC134" s="105"/>
      <c r="TPD134" s="105"/>
      <c r="TPE134" s="105"/>
      <c r="TPF134" s="105"/>
      <c r="TPG134" s="105"/>
      <c r="TPH134" s="105"/>
      <c r="TPI134" s="105"/>
      <c r="TPJ134" s="105"/>
      <c r="TPK134" s="105"/>
      <c r="TPL134" s="105"/>
      <c r="TPM134" s="105"/>
      <c r="TPN134" s="105"/>
      <c r="TPO134" s="105"/>
      <c r="TPP134" s="105"/>
      <c r="TPQ134" s="105"/>
      <c r="TPR134" s="105"/>
      <c r="TPS134" s="105"/>
      <c r="TPT134" s="105"/>
      <c r="TPU134" s="105"/>
      <c r="TPV134" s="105"/>
      <c r="TPW134" s="105"/>
      <c r="TPX134" s="105"/>
      <c r="TPY134" s="105"/>
      <c r="TPZ134" s="105"/>
      <c r="TQA134" s="105"/>
      <c r="TQB134" s="105"/>
      <c r="TQC134" s="105"/>
      <c r="TQD134" s="105"/>
      <c r="TQE134" s="105"/>
      <c r="TQF134" s="105"/>
      <c r="TQG134" s="105"/>
      <c r="TQH134" s="105"/>
      <c r="TQI134" s="105"/>
      <c r="TQJ134" s="105"/>
      <c r="TQK134" s="105"/>
      <c r="TQL134" s="105"/>
      <c r="TQM134" s="105"/>
      <c r="TQN134" s="105"/>
      <c r="TQO134" s="105"/>
      <c r="TQP134" s="105"/>
      <c r="TQQ134" s="105"/>
      <c r="TQR134" s="105"/>
      <c r="TQS134" s="105"/>
      <c r="TQT134" s="105"/>
      <c r="TQU134" s="105"/>
      <c r="TQV134" s="105"/>
      <c r="TQW134" s="105"/>
      <c r="TQX134" s="105"/>
      <c r="TQY134" s="105"/>
      <c r="TQZ134" s="105"/>
      <c r="TRA134" s="105"/>
      <c r="TRB134" s="105"/>
      <c r="TRC134" s="105"/>
      <c r="TRD134" s="105"/>
      <c r="TRE134" s="105"/>
      <c r="TRF134" s="105"/>
      <c r="TRG134" s="105"/>
      <c r="TRH134" s="105"/>
      <c r="TRI134" s="105"/>
      <c r="TRJ134" s="105"/>
      <c r="TRK134" s="105"/>
      <c r="TRL134" s="105"/>
      <c r="TRM134" s="105"/>
      <c r="TRN134" s="105"/>
      <c r="TRO134" s="105"/>
      <c r="TRP134" s="105"/>
      <c r="TRQ134" s="105"/>
      <c r="TRR134" s="105"/>
      <c r="TRS134" s="105"/>
      <c r="TRT134" s="105"/>
      <c r="TRU134" s="105"/>
      <c r="TRV134" s="105"/>
      <c r="TRW134" s="105"/>
      <c r="TRX134" s="105"/>
      <c r="TRY134" s="105"/>
      <c r="TRZ134" s="105"/>
      <c r="TSA134" s="105"/>
      <c r="TSB134" s="105"/>
      <c r="TSC134" s="105"/>
      <c r="TSD134" s="105"/>
      <c r="TSE134" s="105"/>
      <c r="TSF134" s="105"/>
      <c r="TSG134" s="105"/>
      <c r="TSH134" s="105"/>
      <c r="TSI134" s="105"/>
      <c r="TSJ134" s="105"/>
      <c r="TSK134" s="105"/>
      <c r="TSL134" s="105"/>
      <c r="TSM134" s="105"/>
      <c r="TSN134" s="105"/>
      <c r="TSO134" s="105"/>
      <c r="TSP134" s="105"/>
      <c r="TSQ134" s="105"/>
      <c r="TSR134" s="105"/>
      <c r="TSS134" s="105"/>
      <c r="TST134" s="105"/>
      <c r="TSU134" s="105"/>
      <c r="TSV134" s="105"/>
      <c r="TSW134" s="105"/>
      <c r="TSX134" s="105"/>
      <c r="TSY134" s="105"/>
      <c r="TSZ134" s="105"/>
      <c r="TTA134" s="105"/>
      <c r="TTB134" s="105"/>
      <c r="TTC134" s="105"/>
      <c r="TTD134" s="105"/>
      <c r="TTE134" s="105"/>
      <c r="TTF134" s="105"/>
      <c r="TTG134" s="105"/>
      <c r="TTH134" s="105"/>
      <c r="TTI134" s="105"/>
      <c r="TTJ134" s="105"/>
      <c r="TTK134" s="105"/>
      <c r="TTL134" s="105"/>
      <c r="TTM134" s="105"/>
      <c r="TTN134" s="105"/>
      <c r="TTO134" s="105"/>
      <c r="TTP134" s="105"/>
      <c r="TTQ134" s="105"/>
      <c r="TTR134" s="105"/>
      <c r="TTS134" s="105"/>
      <c r="TTT134" s="105"/>
      <c r="TTU134" s="105"/>
      <c r="TTV134" s="105"/>
      <c r="TTW134" s="105"/>
      <c r="TTX134" s="105"/>
      <c r="TTY134" s="105"/>
      <c r="TTZ134" s="105"/>
      <c r="TUA134" s="105"/>
      <c r="TUB134" s="105"/>
      <c r="TUC134" s="105"/>
      <c r="TUD134" s="105"/>
      <c r="TUE134" s="105"/>
      <c r="TUF134" s="105"/>
      <c r="TUG134" s="105"/>
      <c r="TUH134" s="105"/>
      <c r="TUI134" s="105"/>
      <c r="TUJ134" s="105"/>
      <c r="TUK134" s="105"/>
      <c r="TUL134" s="105"/>
      <c r="TUM134" s="105"/>
      <c r="TUN134" s="105"/>
      <c r="TUO134" s="105"/>
      <c r="TUP134" s="105"/>
      <c r="TUQ134" s="105"/>
      <c r="TUR134" s="105"/>
      <c r="TUS134" s="105"/>
      <c r="TUT134" s="105"/>
      <c r="TUU134" s="105"/>
      <c r="TUV134" s="105"/>
      <c r="TUW134" s="105"/>
      <c r="TUX134" s="105"/>
      <c r="TUY134" s="105"/>
      <c r="TUZ134" s="105"/>
      <c r="TVA134" s="105"/>
      <c r="TVB134" s="105"/>
      <c r="TVC134" s="105"/>
      <c r="TVD134" s="105"/>
      <c r="TVE134" s="105"/>
      <c r="TVF134" s="105"/>
      <c r="TVG134" s="105"/>
      <c r="TVH134" s="105"/>
      <c r="TVI134" s="105"/>
      <c r="TVJ134" s="105"/>
      <c r="TVK134" s="105"/>
      <c r="TVL134" s="105"/>
      <c r="TVM134" s="105"/>
      <c r="TVN134" s="105"/>
      <c r="TVO134" s="105"/>
      <c r="TVP134" s="105"/>
      <c r="TVQ134" s="105"/>
      <c r="TVR134" s="105"/>
      <c r="TVS134" s="105"/>
      <c r="TVT134" s="105"/>
      <c r="TVU134" s="105"/>
      <c r="TVV134" s="105"/>
      <c r="TVW134" s="105"/>
      <c r="TVX134" s="105"/>
      <c r="TVY134" s="105"/>
      <c r="TVZ134" s="105"/>
      <c r="TWA134" s="105"/>
      <c r="TWB134" s="105"/>
      <c r="TWC134" s="105"/>
      <c r="TWD134" s="105"/>
      <c r="TWE134" s="105"/>
      <c r="TWF134" s="105"/>
      <c r="TWG134" s="105"/>
      <c r="TWH134" s="105"/>
      <c r="TWI134" s="105"/>
      <c r="TWJ134" s="105"/>
      <c r="TWK134" s="105"/>
      <c r="TWL134" s="105"/>
      <c r="TWM134" s="105"/>
      <c r="TWN134" s="105"/>
      <c r="TWO134" s="105"/>
      <c r="TWP134" s="105"/>
      <c r="TWQ134" s="105"/>
      <c r="TWR134" s="105"/>
      <c r="TWS134" s="105"/>
      <c r="TWT134" s="105"/>
      <c r="TWU134" s="105"/>
      <c r="TWV134" s="105"/>
      <c r="TWW134" s="105"/>
      <c r="TWX134" s="105"/>
      <c r="TWY134" s="105"/>
      <c r="TWZ134" s="105"/>
      <c r="TXA134" s="105"/>
      <c r="TXB134" s="105"/>
      <c r="TXC134" s="105"/>
      <c r="TXD134" s="105"/>
      <c r="TXE134" s="105"/>
      <c r="TXF134" s="105"/>
      <c r="TXG134" s="105"/>
      <c r="TXH134" s="105"/>
      <c r="TXI134" s="105"/>
      <c r="TXJ134" s="105"/>
      <c r="TXK134" s="105"/>
      <c r="TXL134" s="105"/>
      <c r="TXM134" s="105"/>
      <c r="TXN134" s="105"/>
      <c r="TXO134" s="105"/>
      <c r="TXP134" s="105"/>
      <c r="TXQ134" s="105"/>
      <c r="TXR134" s="105"/>
      <c r="TXS134" s="105"/>
      <c r="TXT134" s="105"/>
      <c r="TXU134" s="105"/>
      <c r="TXV134" s="105"/>
      <c r="TXW134" s="105"/>
      <c r="TXX134" s="105"/>
      <c r="TXY134" s="105"/>
      <c r="TXZ134" s="105"/>
      <c r="TYA134" s="105"/>
      <c r="TYB134" s="105"/>
      <c r="TYC134" s="105"/>
      <c r="TYD134" s="105"/>
      <c r="TYE134" s="105"/>
      <c r="TYF134" s="105"/>
      <c r="TYG134" s="105"/>
      <c r="TYH134" s="105"/>
      <c r="TYI134" s="105"/>
      <c r="TYJ134" s="105"/>
      <c r="TYK134" s="105"/>
      <c r="TYL134" s="105"/>
      <c r="TYM134" s="105"/>
      <c r="TYN134" s="105"/>
      <c r="TYO134" s="105"/>
      <c r="TYP134" s="105"/>
      <c r="TYQ134" s="105"/>
      <c r="TYR134" s="105"/>
      <c r="TYS134" s="105"/>
      <c r="TYT134" s="105"/>
      <c r="TYU134" s="105"/>
      <c r="TYV134" s="105"/>
      <c r="TYW134" s="105"/>
      <c r="TYX134" s="105"/>
      <c r="TYY134" s="105"/>
      <c r="TYZ134" s="105"/>
      <c r="TZA134" s="105"/>
      <c r="TZB134" s="105"/>
      <c r="TZC134" s="105"/>
      <c r="TZD134" s="105"/>
      <c r="TZE134" s="105"/>
      <c r="TZF134" s="105"/>
      <c r="TZG134" s="105"/>
      <c r="TZH134" s="105"/>
      <c r="TZI134" s="105"/>
      <c r="TZJ134" s="105"/>
      <c r="TZK134" s="105"/>
      <c r="TZL134" s="105"/>
      <c r="TZM134" s="105"/>
      <c r="TZN134" s="105"/>
      <c r="TZO134" s="105"/>
      <c r="TZP134" s="105"/>
      <c r="TZQ134" s="105"/>
      <c r="TZR134" s="105"/>
      <c r="TZS134" s="105"/>
      <c r="TZT134" s="105"/>
      <c r="TZU134" s="105"/>
      <c r="TZV134" s="105"/>
      <c r="TZW134" s="105"/>
      <c r="TZX134" s="105"/>
      <c r="TZY134" s="105"/>
      <c r="TZZ134" s="105"/>
      <c r="UAA134" s="105"/>
      <c r="UAB134" s="105"/>
      <c r="UAC134" s="105"/>
      <c r="UAD134" s="105"/>
      <c r="UAE134" s="105"/>
      <c r="UAF134" s="105"/>
      <c r="UAG134" s="105"/>
      <c r="UAH134" s="105"/>
      <c r="UAI134" s="105"/>
      <c r="UAJ134" s="105"/>
      <c r="UAK134" s="105"/>
      <c r="UAL134" s="105"/>
      <c r="UAM134" s="105"/>
      <c r="UAN134" s="105"/>
      <c r="UAO134" s="105"/>
      <c r="UAP134" s="105"/>
      <c r="UAQ134" s="105"/>
      <c r="UAR134" s="105"/>
      <c r="UAS134" s="105"/>
      <c r="UAT134" s="105"/>
      <c r="UAU134" s="105"/>
      <c r="UAV134" s="105"/>
      <c r="UAW134" s="105"/>
      <c r="UAX134" s="105"/>
      <c r="UAY134" s="105"/>
      <c r="UAZ134" s="105"/>
      <c r="UBA134" s="105"/>
      <c r="UBB134" s="105"/>
      <c r="UBC134" s="105"/>
      <c r="UBD134" s="105"/>
      <c r="UBE134" s="105"/>
      <c r="UBF134" s="105"/>
      <c r="UBG134" s="105"/>
      <c r="UBH134" s="105"/>
      <c r="UBI134" s="105"/>
      <c r="UBJ134" s="105"/>
      <c r="UBK134" s="105"/>
      <c r="UBL134" s="105"/>
      <c r="UBM134" s="105"/>
      <c r="UBN134" s="105"/>
      <c r="UBO134" s="105"/>
      <c r="UBP134" s="105"/>
      <c r="UBQ134" s="105"/>
      <c r="UBR134" s="105"/>
      <c r="UBS134" s="105"/>
      <c r="UBT134" s="105"/>
      <c r="UBU134" s="105"/>
      <c r="UBV134" s="105"/>
      <c r="UBW134" s="105"/>
      <c r="UBX134" s="105"/>
      <c r="UBY134" s="105"/>
      <c r="UBZ134" s="105"/>
      <c r="UCA134" s="105"/>
      <c r="UCB134" s="105"/>
      <c r="UCC134" s="105"/>
      <c r="UCD134" s="105"/>
      <c r="UCE134" s="105"/>
      <c r="UCF134" s="105"/>
      <c r="UCG134" s="105"/>
      <c r="UCH134" s="105"/>
      <c r="UCI134" s="105"/>
      <c r="UCJ134" s="105"/>
      <c r="UCK134" s="105"/>
      <c r="UCL134" s="105"/>
      <c r="UCM134" s="105"/>
      <c r="UCN134" s="105"/>
      <c r="UCO134" s="105"/>
      <c r="UCP134" s="105"/>
      <c r="UCQ134" s="105"/>
      <c r="UCR134" s="105"/>
      <c r="UCS134" s="105"/>
      <c r="UCT134" s="105"/>
      <c r="UCU134" s="105"/>
      <c r="UCV134" s="105"/>
      <c r="UCW134" s="105"/>
      <c r="UCX134" s="105"/>
      <c r="UCY134" s="105"/>
      <c r="UCZ134" s="105"/>
      <c r="UDA134" s="105"/>
      <c r="UDB134" s="105"/>
      <c r="UDC134" s="105"/>
      <c r="UDD134" s="105"/>
      <c r="UDE134" s="105"/>
      <c r="UDF134" s="105"/>
      <c r="UDG134" s="105"/>
      <c r="UDH134" s="105"/>
      <c r="UDI134" s="105"/>
      <c r="UDJ134" s="105"/>
      <c r="UDK134" s="105"/>
      <c r="UDL134" s="105"/>
      <c r="UDM134" s="105"/>
      <c r="UDN134" s="105"/>
      <c r="UDO134" s="105"/>
      <c r="UDP134" s="105"/>
      <c r="UDQ134" s="105"/>
      <c r="UDR134" s="105"/>
      <c r="UDS134" s="105"/>
      <c r="UDT134" s="105"/>
      <c r="UDU134" s="105"/>
      <c r="UDV134" s="105"/>
      <c r="UDW134" s="105"/>
      <c r="UDX134" s="105"/>
      <c r="UDY134" s="105"/>
      <c r="UDZ134" s="105"/>
      <c r="UEA134" s="105"/>
      <c r="UEB134" s="105"/>
      <c r="UEC134" s="105"/>
      <c r="UED134" s="105"/>
      <c r="UEE134" s="105"/>
      <c r="UEF134" s="105"/>
      <c r="UEG134" s="105"/>
      <c r="UEH134" s="105"/>
      <c r="UEI134" s="105"/>
      <c r="UEJ134" s="105"/>
      <c r="UEK134" s="105"/>
      <c r="UEL134" s="105"/>
      <c r="UEM134" s="105"/>
      <c r="UEN134" s="105"/>
      <c r="UEO134" s="105"/>
      <c r="UEP134" s="105"/>
      <c r="UEQ134" s="105"/>
      <c r="UER134" s="105"/>
      <c r="UES134" s="105"/>
      <c r="UET134" s="105"/>
      <c r="UEU134" s="105"/>
      <c r="UEV134" s="105"/>
      <c r="UEW134" s="105"/>
      <c r="UEX134" s="105"/>
      <c r="UEY134" s="105"/>
      <c r="UEZ134" s="105"/>
      <c r="UFA134" s="105"/>
      <c r="UFB134" s="105"/>
      <c r="UFC134" s="105"/>
      <c r="UFD134" s="105"/>
      <c r="UFE134" s="105"/>
      <c r="UFF134" s="105"/>
      <c r="UFG134" s="105"/>
      <c r="UFH134" s="105"/>
      <c r="UFI134" s="105"/>
      <c r="UFJ134" s="105"/>
      <c r="UFK134" s="105"/>
      <c r="UFL134" s="105"/>
      <c r="UFM134" s="105"/>
      <c r="UFN134" s="105"/>
      <c r="UFO134" s="105"/>
      <c r="UFP134" s="105"/>
      <c r="UFQ134" s="105"/>
      <c r="UFR134" s="105"/>
      <c r="UFS134" s="105"/>
      <c r="UFT134" s="105"/>
      <c r="UFU134" s="105"/>
      <c r="UFV134" s="105"/>
      <c r="UFW134" s="105"/>
      <c r="UFX134" s="105"/>
      <c r="UFY134" s="105"/>
      <c r="UFZ134" s="105"/>
      <c r="UGA134" s="105"/>
      <c r="UGB134" s="105"/>
      <c r="UGC134" s="105"/>
      <c r="UGD134" s="105"/>
      <c r="UGE134" s="105"/>
      <c r="UGF134" s="105"/>
      <c r="UGG134" s="105"/>
      <c r="UGH134" s="105"/>
      <c r="UGI134" s="105"/>
      <c r="UGJ134" s="105"/>
      <c r="UGK134" s="105"/>
      <c r="UGL134" s="105"/>
      <c r="UGM134" s="105"/>
      <c r="UGN134" s="105"/>
      <c r="UGO134" s="105"/>
      <c r="UGP134" s="105"/>
      <c r="UGQ134" s="105"/>
      <c r="UGR134" s="105"/>
      <c r="UGS134" s="105"/>
      <c r="UGT134" s="105"/>
      <c r="UGU134" s="105"/>
      <c r="UGV134" s="105"/>
      <c r="UGW134" s="105"/>
      <c r="UGX134" s="105"/>
      <c r="UGY134" s="105"/>
      <c r="UGZ134" s="105"/>
      <c r="UHA134" s="105"/>
      <c r="UHB134" s="105"/>
      <c r="UHC134" s="105"/>
      <c r="UHD134" s="105"/>
      <c r="UHE134" s="105"/>
      <c r="UHF134" s="105"/>
      <c r="UHG134" s="105"/>
      <c r="UHH134" s="105"/>
      <c r="UHI134" s="105"/>
      <c r="UHJ134" s="105"/>
      <c r="UHK134" s="105"/>
      <c r="UHL134" s="105"/>
      <c r="UHM134" s="105"/>
      <c r="UHN134" s="105"/>
      <c r="UHO134" s="105"/>
      <c r="UHP134" s="105"/>
      <c r="UHQ134" s="105"/>
      <c r="UHR134" s="105"/>
      <c r="UHS134" s="105"/>
      <c r="UHT134" s="105"/>
      <c r="UHU134" s="105"/>
      <c r="UHV134" s="105"/>
      <c r="UHW134" s="105"/>
      <c r="UHX134" s="105"/>
      <c r="UHY134" s="105"/>
      <c r="UHZ134" s="105"/>
      <c r="UIA134" s="105"/>
      <c r="UIB134" s="105"/>
      <c r="UIC134" s="105"/>
      <c r="UID134" s="105"/>
      <c r="UIE134" s="105"/>
      <c r="UIF134" s="105"/>
      <c r="UIG134" s="105"/>
      <c r="UIH134" s="105"/>
      <c r="UII134" s="105"/>
      <c r="UIJ134" s="105"/>
      <c r="UIK134" s="105"/>
      <c r="UIL134" s="105"/>
      <c r="UIM134" s="105"/>
      <c r="UIN134" s="105"/>
      <c r="UIO134" s="105"/>
      <c r="UIP134" s="105"/>
      <c r="UIQ134" s="105"/>
      <c r="UIR134" s="105"/>
      <c r="UIS134" s="105"/>
      <c r="UIT134" s="105"/>
      <c r="UIU134" s="105"/>
      <c r="UIV134" s="105"/>
      <c r="UIW134" s="105"/>
      <c r="UIX134" s="105"/>
      <c r="UIY134" s="105"/>
      <c r="UIZ134" s="105"/>
      <c r="UJA134" s="105"/>
      <c r="UJB134" s="105"/>
      <c r="UJC134" s="105"/>
      <c r="UJD134" s="105"/>
      <c r="UJE134" s="105"/>
      <c r="UJF134" s="105"/>
      <c r="UJG134" s="105"/>
      <c r="UJH134" s="105"/>
      <c r="UJI134" s="105"/>
      <c r="UJJ134" s="105"/>
      <c r="UJK134" s="105"/>
      <c r="UJL134" s="105"/>
      <c r="UJM134" s="105"/>
      <c r="UJN134" s="105"/>
      <c r="UJO134" s="105"/>
      <c r="UJP134" s="105"/>
      <c r="UJQ134" s="105"/>
      <c r="UJR134" s="105"/>
      <c r="UJS134" s="105"/>
      <c r="UJT134" s="105"/>
      <c r="UJU134" s="105"/>
      <c r="UJV134" s="105"/>
      <c r="UJW134" s="105"/>
      <c r="UJX134" s="105"/>
      <c r="UJY134" s="105"/>
      <c r="UJZ134" s="105"/>
      <c r="UKA134" s="105"/>
      <c r="UKB134" s="105"/>
      <c r="UKC134" s="105"/>
      <c r="UKD134" s="105"/>
      <c r="UKE134" s="105"/>
      <c r="UKF134" s="105"/>
      <c r="UKG134" s="105"/>
      <c r="UKH134" s="105"/>
      <c r="UKI134" s="105"/>
      <c r="UKJ134" s="105"/>
      <c r="UKK134" s="105"/>
      <c r="UKL134" s="105"/>
      <c r="UKM134" s="105"/>
      <c r="UKN134" s="105"/>
      <c r="UKO134" s="105"/>
      <c r="UKP134" s="105"/>
      <c r="UKQ134" s="105"/>
      <c r="UKR134" s="105"/>
      <c r="UKS134" s="105"/>
      <c r="UKT134" s="105"/>
      <c r="UKU134" s="105"/>
      <c r="UKV134" s="105"/>
      <c r="UKW134" s="105"/>
      <c r="UKX134" s="105"/>
      <c r="UKY134" s="105"/>
      <c r="UKZ134" s="105"/>
      <c r="ULA134" s="105"/>
      <c r="ULB134" s="105"/>
      <c r="ULC134" s="105"/>
      <c r="ULD134" s="105"/>
      <c r="ULE134" s="105"/>
      <c r="ULF134" s="105"/>
      <c r="ULG134" s="105"/>
      <c r="ULH134" s="105"/>
      <c r="ULI134" s="105"/>
      <c r="ULJ134" s="105"/>
      <c r="ULK134" s="105"/>
      <c r="ULL134" s="105"/>
      <c r="ULM134" s="105"/>
      <c r="ULN134" s="105"/>
      <c r="ULO134" s="105"/>
      <c r="ULP134" s="105"/>
      <c r="ULQ134" s="105"/>
      <c r="ULR134" s="105"/>
      <c r="ULS134" s="105"/>
      <c r="ULT134" s="105"/>
      <c r="ULU134" s="105"/>
      <c r="ULV134" s="105"/>
      <c r="ULW134" s="105"/>
      <c r="ULX134" s="105"/>
      <c r="ULY134" s="105"/>
      <c r="ULZ134" s="105"/>
      <c r="UMA134" s="105"/>
      <c r="UMB134" s="105"/>
      <c r="UMC134" s="105"/>
      <c r="UMD134" s="105"/>
      <c r="UME134" s="105"/>
      <c r="UMF134" s="105"/>
      <c r="UMG134" s="105"/>
      <c r="UMH134" s="105"/>
      <c r="UMI134" s="105"/>
      <c r="UMJ134" s="105"/>
      <c r="UMK134" s="105"/>
      <c r="UML134" s="105"/>
      <c r="UMM134" s="105"/>
      <c r="UMN134" s="105"/>
      <c r="UMO134" s="105"/>
      <c r="UMP134" s="105"/>
      <c r="UMQ134" s="105"/>
      <c r="UMR134" s="105"/>
      <c r="UMS134" s="105"/>
      <c r="UMT134" s="105"/>
      <c r="UMU134" s="105"/>
      <c r="UMV134" s="105"/>
      <c r="UMW134" s="105"/>
      <c r="UMX134" s="105"/>
      <c r="UMY134" s="105"/>
      <c r="UMZ134" s="105"/>
      <c r="UNA134" s="105"/>
      <c r="UNB134" s="105"/>
      <c r="UNC134" s="105"/>
      <c r="UND134" s="105"/>
      <c r="UNE134" s="105"/>
      <c r="UNF134" s="105"/>
      <c r="UNG134" s="105"/>
      <c r="UNH134" s="105"/>
      <c r="UNI134" s="105"/>
      <c r="UNJ134" s="105"/>
      <c r="UNK134" s="105"/>
      <c r="UNL134" s="105"/>
      <c r="UNM134" s="105"/>
      <c r="UNN134" s="105"/>
      <c r="UNO134" s="105"/>
      <c r="UNP134" s="105"/>
      <c r="UNQ134" s="105"/>
      <c r="UNR134" s="105"/>
      <c r="UNS134" s="105"/>
      <c r="UNT134" s="105"/>
      <c r="UNU134" s="105"/>
      <c r="UNV134" s="105"/>
      <c r="UNW134" s="105"/>
      <c r="UNX134" s="105"/>
      <c r="UNY134" s="105"/>
      <c r="UNZ134" s="105"/>
      <c r="UOA134" s="105"/>
      <c r="UOB134" s="105"/>
      <c r="UOC134" s="105"/>
      <c r="UOD134" s="105"/>
      <c r="UOE134" s="105"/>
      <c r="UOF134" s="105"/>
      <c r="UOG134" s="105"/>
      <c r="UOH134" s="105"/>
      <c r="UOI134" s="105"/>
      <c r="UOJ134" s="105"/>
      <c r="UOK134" s="105"/>
      <c r="UOL134" s="105"/>
      <c r="UOM134" s="105"/>
      <c r="UON134" s="105"/>
      <c r="UOO134" s="105"/>
      <c r="UOP134" s="105"/>
      <c r="UOQ134" s="105"/>
      <c r="UOR134" s="105"/>
      <c r="UOS134" s="105"/>
      <c r="UOT134" s="105"/>
      <c r="UOU134" s="105"/>
      <c r="UOV134" s="105"/>
      <c r="UOW134" s="105"/>
      <c r="UOX134" s="105"/>
      <c r="UOY134" s="105"/>
      <c r="UOZ134" s="105"/>
      <c r="UPA134" s="105"/>
      <c r="UPB134" s="105"/>
      <c r="UPC134" s="105"/>
      <c r="UPD134" s="105"/>
      <c r="UPE134" s="105"/>
      <c r="UPF134" s="105"/>
      <c r="UPG134" s="105"/>
      <c r="UPH134" s="105"/>
      <c r="UPI134" s="105"/>
      <c r="UPJ134" s="105"/>
      <c r="UPK134" s="105"/>
      <c r="UPL134" s="105"/>
      <c r="UPM134" s="105"/>
      <c r="UPN134" s="105"/>
      <c r="UPO134" s="105"/>
      <c r="UPP134" s="105"/>
      <c r="UPQ134" s="105"/>
      <c r="UPR134" s="105"/>
      <c r="UPS134" s="105"/>
      <c r="UPT134" s="105"/>
      <c r="UPU134" s="105"/>
      <c r="UPV134" s="105"/>
      <c r="UPW134" s="105"/>
      <c r="UPX134" s="105"/>
      <c r="UPY134" s="105"/>
      <c r="UPZ134" s="105"/>
      <c r="UQA134" s="105"/>
      <c r="UQB134" s="105"/>
      <c r="UQC134" s="105"/>
      <c r="UQD134" s="105"/>
      <c r="UQE134" s="105"/>
      <c r="UQF134" s="105"/>
      <c r="UQG134" s="105"/>
      <c r="UQH134" s="105"/>
      <c r="UQI134" s="105"/>
      <c r="UQJ134" s="105"/>
      <c r="UQK134" s="105"/>
      <c r="UQL134" s="105"/>
      <c r="UQM134" s="105"/>
      <c r="UQN134" s="105"/>
      <c r="UQO134" s="105"/>
      <c r="UQP134" s="105"/>
      <c r="UQQ134" s="105"/>
      <c r="UQR134" s="105"/>
      <c r="UQS134" s="105"/>
      <c r="UQT134" s="105"/>
      <c r="UQU134" s="105"/>
      <c r="UQV134" s="105"/>
      <c r="UQW134" s="105"/>
      <c r="UQX134" s="105"/>
      <c r="UQY134" s="105"/>
      <c r="UQZ134" s="105"/>
      <c r="URA134" s="105"/>
      <c r="URB134" s="105"/>
      <c r="URC134" s="105"/>
      <c r="URD134" s="105"/>
      <c r="URE134" s="105"/>
      <c r="URF134" s="105"/>
      <c r="URG134" s="105"/>
      <c r="URH134" s="105"/>
      <c r="URI134" s="105"/>
      <c r="URJ134" s="105"/>
      <c r="URK134" s="105"/>
      <c r="URL134" s="105"/>
      <c r="URM134" s="105"/>
      <c r="URN134" s="105"/>
      <c r="URO134" s="105"/>
      <c r="URP134" s="105"/>
      <c r="URQ134" s="105"/>
      <c r="URR134" s="105"/>
      <c r="URS134" s="105"/>
      <c r="URT134" s="105"/>
      <c r="URU134" s="105"/>
      <c r="URV134" s="105"/>
      <c r="URW134" s="105"/>
      <c r="URX134" s="105"/>
      <c r="URY134" s="105"/>
      <c r="URZ134" s="105"/>
      <c r="USA134" s="105"/>
      <c r="USB134" s="105"/>
      <c r="USC134" s="105"/>
      <c r="USD134" s="105"/>
      <c r="USE134" s="105"/>
      <c r="USF134" s="105"/>
      <c r="USG134" s="105"/>
      <c r="USH134" s="105"/>
      <c r="USI134" s="105"/>
      <c r="USJ134" s="105"/>
      <c r="USK134" s="105"/>
      <c r="USL134" s="105"/>
      <c r="USM134" s="105"/>
      <c r="USN134" s="105"/>
      <c r="USO134" s="105"/>
      <c r="USP134" s="105"/>
      <c r="USQ134" s="105"/>
      <c r="USR134" s="105"/>
      <c r="USS134" s="105"/>
      <c r="UST134" s="105"/>
      <c r="USU134" s="105"/>
      <c r="USV134" s="105"/>
      <c r="USW134" s="105"/>
      <c r="USX134" s="105"/>
      <c r="USY134" s="105"/>
      <c r="USZ134" s="105"/>
      <c r="UTA134" s="105"/>
      <c r="UTB134" s="105"/>
      <c r="UTC134" s="105"/>
      <c r="UTD134" s="105"/>
      <c r="UTE134" s="105"/>
      <c r="UTF134" s="105"/>
      <c r="UTG134" s="105"/>
      <c r="UTH134" s="105"/>
      <c r="UTI134" s="105"/>
      <c r="UTJ134" s="105"/>
      <c r="UTK134" s="105"/>
      <c r="UTL134" s="105"/>
      <c r="UTM134" s="105"/>
      <c r="UTN134" s="105"/>
      <c r="UTO134" s="105"/>
      <c r="UTP134" s="105"/>
      <c r="UTQ134" s="105"/>
      <c r="UTR134" s="105"/>
      <c r="UTS134" s="105"/>
      <c r="UTT134" s="105"/>
      <c r="UTU134" s="105"/>
      <c r="UTV134" s="105"/>
      <c r="UTW134" s="105"/>
      <c r="UTX134" s="105"/>
      <c r="UTY134" s="105"/>
      <c r="UTZ134" s="105"/>
      <c r="UUA134" s="105"/>
      <c r="UUB134" s="105"/>
      <c r="UUC134" s="105"/>
      <c r="UUD134" s="105"/>
      <c r="UUE134" s="105"/>
      <c r="UUF134" s="105"/>
      <c r="UUG134" s="105"/>
      <c r="UUH134" s="105"/>
      <c r="UUI134" s="105"/>
      <c r="UUJ134" s="105"/>
      <c r="UUK134" s="105"/>
      <c r="UUL134" s="105"/>
      <c r="UUM134" s="105"/>
      <c r="UUN134" s="105"/>
      <c r="UUO134" s="105"/>
      <c r="UUP134" s="105"/>
      <c r="UUQ134" s="105"/>
      <c r="UUR134" s="105"/>
      <c r="UUS134" s="105"/>
      <c r="UUT134" s="105"/>
      <c r="UUU134" s="105"/>
      <c r="UUV134" s="105"/>
      <c r="UUW134" s="105"/>
      <c r="UUX134" s="105"/>
      <c r="UUY134" s="105"/>
      <c r="UUZ134" s="105"/>
      <c r="UVA134" s="105"/>
      <c r="UVB134" s="105"/>
      <c r="UVC134" s="105"/>
      <c r="UVD134" s="105"/>
      <c r="UVE134" s="105"/>
      <c r="UVF134" s="105"/>
      <c r="UVG134" s="105"/>
      <c r="UVH134" s="105"/>
      <c r="UVI134" s="105"/>
      <c r="UVJ134" s="105"/>
      <c r="UVK134" s="105"/>
      <c r="UVL134" s="105"/>
      <c r="UVM134" s="105"/>
      <c r="UVN134" s="105"/>
      <c r="UVO134" s="105"/>
      <c r="UVP134" s="105"/>
      <c r="UVQ134" s="105"/>
      <c r="UVR134" s="105"/>
      <c r="UVS134" s="105"/>
      <c r="UVT134" s="105"/>
      <c r="UVU134" s="105"/>
      <c r="UVV134" s="105"/>
      <c r="UVW134" s="105"/>
      <c r="UVX134" s="105"/>
      <c r="UVY134" s="105"/>
      <c r="UVZ134" s="105"/>
      <c r="UWA134" s="105"/>
      <c r="UWB134" s="105"/>
      <c r="UWC134" s="105"/>
      <c r="UWD134" s="105"/>
      <c r="UWE134" s="105"/>
      <c r="UWF134" s="105"/>
      <c r="UWG134" s="105"/>
      <c r="UWH134" s="105"/>
      <c r="UWI134" s="105"/>
      <c r="UWJ134" s="105"/>
      <c r="UWK134" s="105"/>
      <c r="UWL134" s="105"/>
      <c r="UWM134" s="105"/>
      <c r="UWN134" s="105"/>
      <c r="UWO134" s="105"/>
      <c r="UWP134" s="105"/>
      <c r="UWQ134" s="105"/>
      <c r="UWR134" s="105"/>
      <c r="UWS134" s="105"/>
      <c r="UWT134" s="105"/>
      <c r="UWU134" s="105"/>
      <c r="UWV134" s="105"/>
      <c r="UWW134" s="105"/>
      <c r="UWX134" s="105"/>
      <c r="UWY134" s="105"/>
      <c r="UWZ134" s="105"/>
      <c r="UXA134" s="105"/>
      <c r="UXB134" s="105"/>
      <c r="UXC134" s="105"/>
      <c r="UXD134" s="105"/>
      <c r="UXE134" s="105"/>
      <c r="UXF134" s="105"/>
      <c r="UXG134" s="105"/>
      <c r="UXH134" s="105"/>
      <c r="UXI134" s="105"/>
      <c r="UXJ134" s="105"/>
      <c r="UXK134" s="105"/>
      <c r="UXL134" s="105"/>
      <c r="UXM134" s="105"/>
      <c r="UXN134" s="105"/>
      <c r="UXO134" s="105"/>
      <c r="UXP134" s="105"/>
      <c r="UXQ134" s="105"/>
      <c r="UXR134" s="105"/>
      <c r="UXS134" s="105"/>
      <c r="UXT134" s="105"/>
      <c r="UXU134" s="105"/>
      <c r="UXV134" s="105"/>
      <c r="UXW134" s="105"/>
      <c r="UXX134" s="105"/>
      <c r="UXY134" s="105"/>
      <c r="UXZ134" s="105"/>
      <c r="UYA134" s="105"/>
      <c r="UYB134" s="105"/>
      <c r="UYC134" s="105"/>
      <c r="UYD134" s="105"/>
      <c r="UYE134" s="105"/>
      <c r="UYF134" s="105"/>
      <c r="UYG134" s="105"/>
      <c r="UYH134" s="105"/>
      <c r="UYI134" s="105"/>
      <c r="UYJ134" s="105"/>
      <c r="UYK134" s="105"/>
      <c r="UYL134" s="105"/>
      <c r="UYM134" s="105"/>
      <c r="UYN134" s="105"/>
      <c r="UYO134" s="105"/>
      <c r="UYP134" s="105"/>
      <c r="UYQ134" s="105"/>
      <c r="UYR134" s="105"/>
      <c r="UYS134" s="105"/>
      <c r="UYT134" s="105"/>
      <c r="UYU134" s="105"/>
      <c r="UYV134" s="105"/>
      <c r="UYW134" s="105"/>
      <c r="UYX134" s="105"/>
      <c r="UYY134" s="105"/>
      <c r="UYZ134" s="105"/>
      <c r="UZA134" s="105"/>
      <c r="UZB134" s="105"/>
      <c r="UZC134" s="105"/>
      <c r="UZD134" s="105"/>
      <c r="UZE134" s="105"/>
      <c r="UZF134" s="105"/>
      <c r="UZG134" s="105"/>
      <c r="UZH134" s="105"/>
      <c r="UZI134" s="105"/>
      <c r="UZJ134" s="105"/>
      <c r="UZK134" s="105"/>
      <c r="UZL134" s="105"/>
      <c r="UZM134" s="105"/>
      <c r="UZN134" s="105"/>
      <c r="UZO134" s="105"/>
      <c r="UZP134" s="105"/>
      <c r="UZQ134" s="105"/>
      <c r="UZR134" s="105"/>
      <c r="UZS134" s="105"/>
      <c r="UZT134" s="105"/>
      <c r="UZU134" s="105"/>
      <c r="UZV134" s="105"/>
      <c r="UZW134" s="105"/>
      <c r="UZX134" s="105"/>
      <c r="UZY134" s="105"/>
      <c r="UZZ134" s="105"/>
      <c r="VAA134" s="105"/>
      <c r="VAB134" s="105"/>
      <c r="VAC134" s="105"/>
      <c r="VAD134" s="105"/>
      <c r="VAE134" s="105"/>
      <c r="VAF134" s="105"/>
      <c r="VAG134" s="105"/>
      <c r="VAH134" s="105"/>
      <c r="VAI134" s="105"/>
      <c r="VAJ134" s="105"/>
      <c r="VAK134" s="105"/>
      <c r="VAL134" s="105"/>
      <c r="VAM134" s="105"/>
      <c r="VAN134" s="105"/>
      <c r="VAO134" s="105"/>
      <c r="VAP134" s="105"/>
      <c r="VAQ134" s="105"/>
      <c r="VAR134" s="105"/>
      <c r="VAS134" s="105"/>
      <c r="VAT134" s="105"/>
      <c r="VAU134" s="105"/>
      <c r="VAV134" s="105"/>
      <c r="VAW134" s="105"/>
      <c r="VAX134" s="105"/>
      <c r="VAY134" s="105"/>
      <c r="VAZ134" s="105"/>
      <c r="VBA134" s="105"/>
      <c r="VBB134" s="105"/>
      <c r="VBC134" s="105"/>
      <c r="VBD134" s="105"/>
      <c r="VBE134" s="105"/>
      <c r="VBF134" s="105"/>
      <c r="VBG134" s="105"/>
      <c r="VBH134" s="105"/>
      <c r="VBI134" s="105"/>
      <c r="VBJ134" s="105"/>
      <c r="VBK134" s="105"/>
      <c r="VBL134" s="105"/>
      <c r="VBM134" s="105"/>
      <c r="VBN134" s="105"/>
      <c r="VBO134" s="105"/>
      <c r="VBP134" s="105"/>
      <c r="VBQ134" s="105"/>
      <c r="VBR134" s="105"/>
      <c r="VBS134" s="105"/>
      <c r="VBT134" s="105"/>
      <c r="VBU134" s="105"/>
      <c r="VBV134" s="105"/>
      <c r="VBW134" s="105"/>
      <c r="VBX134" s="105"/>
      <c r="VBY134" s="105"/>
      <c r="VBZ134" s="105"/>
      <c r="VCA134" s="105"/>
      <c r="VCB134" s="105"/>
      <c r="VCC134" s="105"/>
      <c r="VCD134" s="105"/>
      <c r="VCE134" s="105"/>
      <c r="VCF134" s="105"/>
      <c r="VCG134" s="105"/>
      <c r="VCH134" s="105"/>
      <c r="VCI134" s="105"/>
      <c r="VCJ134" s="105"/>
      <c r="VCK134" s="105"/>
      <c r="VCL134" s="105"/>
      <c r="VCM134" s="105"/>
      <c r="VCN134" s="105"/>
      <c r="VCO134" s="105"/>
      <c r="VCP134" s="105"/>
      <c r="VCQ134" s="105"/>
      <c r="VCR134" s="105"/>
      <c r="VCS134" s="105"/>
      <c r="VCT134" s="105"/>
      <c r="VCU134" s="105"/>
      <c r="VCV134" s="105"/>
      <c r="VCW134" s="105"/>
      <c r="VCX134" s="105"/>
      <c r="VCY134" s="105"/>
      <c r="VCZ134" s="105"/>
      <c r="VDA134" s="105"/>
      <c r="VDB134" s="105"/>
      <c r="VDC134" s="105"/>
      <c r="VDD134" s="105"/>
      <c r="VDE134" s="105"/>
      <c r="VDF134" s="105"/>
      <c r="VDG134" s="105"/>
      <c r="VDH134" s="105"/>
      <c r="VDI134" s="105"/>
      <c r="VDJ134" s="105"/>
      <c r="VDK134" s="105"/>
      <c r="VDL134" s="105"/>
      <c r="VDM134" s="105"/>
      <c r="VDN134" s="105"/>
      <c r="VDO134" s="105"/>
      <c r="VDP134" s="105"/>
      <c r="VDQ134" s="105"/>
      <c r="VDR134" s="105"/>
      <c r="VDS134" s="105"/>
      <c r="VDT134" s="105"/>
      <c r="VDU134" s="105"/>
      <c r="VDV134" s="105"/>
      <c r="VDW134" s="105"/>
      <c r="VDX134" s="105"/>
      <c r="VDY134" s="105"/>
      <c r="VDZ134" s="105"/>
      <c r="VEA134" s="105"/>
      <c r="VEB134" s="105"/>
      <c r="VEC134" s="105"/>
      <c r="VED134" s="105"/>
      <c r="VEE134" s="105"/>
      <c r="VEF134" s="105"/>
      <c r="VEG134" s="105"/>
      <c r="VEH134" s="105"/>
      <c r="VEI134" s="105"/>
      <c r="VEJ134" s="105"/>
      <c r="VEK134" s="105"/>
      <c r="VEL134" s="105"/>
      <c r="VEM134" s="105"/>
      <c r="VEN134" s="105"/>
      <c r="VEO134" s="105"/>
      <c r="VEP134" s="105"/>
      <c r="VEQ134" s="105"/>
      <c r="VER134" s="105"/>
      <c r="VES134" s="105"/>
      <c r="VET134" s="105"/>
      <c r="VEU134" s="105"/>
      <c r="VEV134" s="105"/>
      <c r="VEW134" s="105"/>
      <c r="VEX134" s="105"/>
      <c r="VEY134" s="105"/>
      <c r="VEZ134" s="105"/>
      <c r="VFA134" s="105"/>
      <c r="VFB134" s="105"/>
      <c r="VFC134" s="105"/>
      <c r="VFD134" s="105"/>
      <c r="VFE134" s="105"/>
      <c r="VFF134" s="105"/>
      <c r="VFG134" s="105"/>
      <c r="VFH134" s="105"/>
      <c r="VFI134" s="105"/>
      <c r="VFJ134" s="105"/>
      <c r="VFK134" s="105"/>
      <c r="VFL134" s="105"/>
      <c r="VFM134" s="105"/>
      <c r="VFN134" s="105"/>
      <c r="VFO134" s="105"/>
      <c r="VFP134" s="105"/>
      <c r="VFQ134" s="105"/>
      <c r="VFR134" s="105"/>
      <c r="VFS134" s="105"/>
      <c r="VFT134" s="105"/>
      <c r="VFU134" s="105"/>
      <c r="VFV134" s="105"/>
      <c r="VFW134" s="105"/>
      <c r="VFX134" s="105"/>
      <c r="VFY134" s="105"/>
      <c r="VFZ134" s="105"/>
      <c r="VGA134" s="105"/>
      <c r="VGB134" s="105"/>
      <c r="VGC134" s="105"/>
      <c r="VGD134" s="105"/>
      <c r="VGE134" s="105"/>
      <c r="VGF134" s="105"/>
      <c r="VGG134" s="105"/>
      <c r="VGH134" s="105"/>
      <c r="VGI134" s="105"/>
      <c r="VGJ134" s="105"/>
      <c r="VGK134" s="105"/>
      <c r="VGL134" s="105"/>
      <c r="VGM134" s="105"/>
      <c r="VGN134" s="105"/>
      <c r="VGO134" s="105"/>
      <c r="VGP134" s="105"/>
      <c r="VGQ134" s="105"/>
      <c r="VGR134" s="105"/>
      <c r="VGS134" s="105"/>
      <c r="VGT134" s="105"/>
      <c r="VGU134" s="105"/>
      <c r="VGV134" s="105"/>
      <c r="VGW134" s="105"/>
      <c r="VGX134" s="105"/>
      <c r="VGY134" s="105"/>
      <c r="VGZ134" s="105"/>
      <c r="VHA134" s="105"/>
      <c r="VHB134" s="105"/>
      <c r="VHC134" s="105"/>
      <c r="VHD134" s="105"/>
      <c r="VHE134" s="105"/>
      <c r="VHF134" s="105"/>
      <c r="VHG134" s="105"/>
      <c r="VHH134" s="105"/>
      <c r="VHI134" s="105"/>
      <c r="VHJ134" s="105"/>
      <c r="VHK134" s="105"/>
      <c r="VHL134" s="105"/>
      <c r="VHM134" s="105"/>
      <c r="VHN134" s="105"/>
      <c r="VHO134" s="105"/>
      <c r="VHP134" s="105"/>
      <c r="VHQ134" s="105"/>
      <c r="VHR134" s="105"/>
      <c r="VHS134" s="105"/>
      <c r="VHT134" s="105"/>
      <c r="VHU134" s="105"/>
      <c r="VHV134" s="105"/>
      <c r="VHW134" s="105"/>
      <c r="VHX134" s="105"/>
      <c r="VHY134" s="105"/>
      <c r="VHZ134" s="105"/>
      <c r="VIA134" s="105"/>
      <c r="VIB134" s="105"/>
      <c r="VIC134" s="105"/>
      <c r="VID134" s="105"/>
      <c r="VIE134" s="105"/>
      <c r="VIF134" s="105"/>
      <c r="VIG134" s="105"/>
      <c r="VIH134" s="105"/>
      <c r="VII134" s="105"/>
      <c r="VIJ134" s="105"/>
      <c r="VIK134" s="105"/>
      <c r="VIL134" s="105"/>
      <c r="VIM134" s="105"/>
      <c r="VIN134" s="105"/>
      <c r="VIO134" s="105"/>
      <c r="VIP134" s="105"/>
      <c r="VIQ134" s="105"/>
      <c r="VIR134" s="105"/>
      <c r="VIS134" s="105"/>
      <c r="VIT134" s="105"/>
      <c r="VIU134" s="105"/>
      <c r="VIV134" s="105"/>
      <c r="VIW134" s="105"/>
      <c r="VIX134" s="105"/>
      <c r="VIY134" s="105"/>
      <c r="VIZ134" s="105"/>
      <c r="VJA134" s="105"/>
      <c r="VJB134" s="105"/>
      <c r="VJC134" s="105"/>
      <c r="VJD134" s="105"/>
      <c r="VJE134" s="105"/>
      <c r="VJF134" s="105"/>
      <c r="VJG134" s="105"/>
      <c r="VJH134" s="105"/>
      <c r="VJI134" s="105"/>
      <c r="VJJ134" s="105"/>
      <c r="VJK134" s="105"/>
      <c r="VJL134" s="105"/>
      <c r="VJM134" s="105"/>
      <c r="VJN134" s="105"/>
      <c r="VJO134" s="105"/>
      <c r="VJP134" s="105"/>
      <c r="VJQ134" s="105"/>
      <c r="VJR134" s="105"/>
      <c r="VJS134" s="105"/>
      <c r="VJT134" s="105"/>
      <c r="VJU134" s="105"/>
      <c r="VJV134" s="105"/>
      <c r="VJW134" s="105"/>
      <c r="VJX134" s="105"/>
      <c r="VJY134" s="105"/>
      <c r="VJZ134" s="105"/>
      <c r="VKA134" s="105"/>
      <c r="VKB134" s="105"/>
      <c r="VKC134" s="105"/>
      <c r="VKD134" s="105"/>
      <c r="VKE134" s="105"/>
      <c r="VKF134" s="105"/>
      <c r="VKG134" s="105"/>
      <c r="VKH134" s="105"/>
      <c r="VKI134" s="105"/>
      <c r="VKJ134" s="105"/>
      <c r="VKK134" s="105"/>
      <c r="VKL134" s="105"/>
      <c r="VKM134" s="105"/>
      <c r="VKN134" s="105"/>
      <c r="VKO134" s="105"/>
      <c r="VKP134" s="105"/>
      <c r="VKQ134" s="105"/>
      <c r="VKR134" s="105"/>
      <c r="VKS134" s="105"/>
      <c r="VKT134" s="105"/>
      <c r="VKU134" s="105"/>
      <c r="VKV134" s="105"/>
      <c r="VKW134" s="105"/>
      <c r="VKX134" s="105"/>
      <c r="VKY134" s="105"/>
      <c r="VKZ134" s="105"/>
      <c r="VLA134" s="105"/>
      <c r="VLB134" s="105"/>
      <c r="VLC134" s="105"/>
      <c r="VLD134" s="105"/>
      <c r="VLE134" s="105"/>
      <c r="VLF134" s="105"/>
      <c r="VLG134" s="105"/>
      <c r="VLH134" s="105"/>
      <c r="VLI134" s="105"/>
      <c r="VLJ134" s="105"/>
      <c r="VLK134" s="105"/>
      <c r="VLL134" s="105"/>
      <c r="VLM134" s="105"/>
      <c r="VLN134" s="105"/>
      <c r="VLO134" s="105"/>
      <c r="VLP134" s="105"/>
      <c r="VLQ134" s="105"/>
      <c r="VLR134" s="105"/>
      <c r="VLS134" s="105"/>
      <c r="VLT134" s="105"/>
      <c r="VLU134" s="105"/>
      <c r="VLV134" s="105"/>
      <c r="VLW134" s="105"/>
      <c r="VLX134" s="105"/>
      <c r="VLY134" s="105"/>
      <c r="VLZ134" s="105"/>
      <c r="VMA134" s="105"/>
      <c r="VMB134" s="105"/>
      <c r="VMC134" s="105"/>
      <c r="VMD134" s="105"/>
      <c r="VME134" s="105"/>
      <c r="VMF134" s="105"/>
      <c r="VMG134" s="105"/>
      <c r="VMH134" s="105"/>
      <c r="VMI134" s="105"/>
      <c r="VMJ134" s="105"/>
      <c r="VMK134" s="105"/>
      <c r="VML134" s="105"/>
      <c r="VMM134" s="105"/>
      <c r="VMN134" s="105"/>
      <c r="VMO134" s="105"/>
      <c r="VMP134" s="105"/>
      <c r="VMQ134" s="105"/>
      <c r="VMR134" s="105"/>
      <c r="VMS134" s="105"/>
      <c r="VMT134" s="105"/>
      <c r="VMU134" s="105"/>
      <c r="VMV134" s="105"/>
      <c r="VMW134" s="105"/>
      <c r="VMX134" s="105"/>
      <c r="VMY134" s="105"/>
      <c r="VMZ134" s="105"/>
      <c r="VNA134" s="105"/>
      <c r="VNB134" s="105"/>
      <c r="VNC134" s="105"/>
      <c r="VND134" s="105"/>
      <c r="VNE134" s="105"/>
      <c r="VNF134" s="105"/>
      <c r="VNG134" s="105"/>
      <c r="VNH134" s="105"/>
      <c r="VNI134" s="105"/>
      <c r="VNJ134" s="105"/>
      <c r="VNK134" s="105"/>
      <c r="VNL134" s="105"/>
      <c r="VNM134" s="105"/>
      <c r="VNN134" s="105"/>
      <c r="VNO134" s="105"/>
      <c r="VNP134" s="105"/>
      <c r="VNQ134" s="105"/>
      <c r="VNR134" s="105"/>
      <c r="VNS134" s="105"/>
      <c r="VNT134" s="105"/>
      <c r="VNU134" s="105"/>
      <c r="VNV134" s="105"/>
      <c r="VNW134" s="105"/>
      <c r="VNX134" s="105"/>
      <c r="VNY134" s="105"/>
      <c r="VNZ134" s="105"/>
      <c r="VOA134" s="105"/>
      <c r="VOB134" s="105"/>
      <c r="VOC134" s="105"/>
      <c r="VOD134" s="105"/>
      <c r="VOE134" s="105"/>
      <c r="VOF134" s="105"/>
      <c r="VOG134" s="105"/>
      <c r="VOH134" s="105"/>
      <c r="VOI134" s="105"/>
      <c r="VOJ134" s="105"/>
      <c r="VOK134" s="105"/>
      <c r="VOL134" s="105"/>
      <c r="VOM134" s="105"/>
      <c r="VON134" s="105"/>
      <c r="VOO134" s="105"/>
      <c r="VOP134" s="105"/>
      <c r="VOQ134" s="105"/>
      <c r="VOR134" s="105"/>
      <c r="VOS134" s="105"/>
      <c r="VOT134" s="105"/>
      <c r="VOU134" s="105"/>
      <c r="VOV134" s="105"/>
      <c r="VOW134" s="105"/>
      <c r="VOX134" s="105"/>
      <c r="VOY134" s="105"/>
      <c r="VOZ134" s="105"/>
      <c r="VPA134" s="105"/>
      <c r="VPB134" s="105"/>
      <c r="VPC134" s="105"/>
      <c r="VPD134" s="105"/>
      <c r="VPE134" s="105"/>
      <c r="VPF134" s="105"/>
      <c r="VPG134" s="105"/>
      <c r="VPH134" s="105"/>
      <c r="VPI134" s="105"/>
      <c r="VPJ134" s="105"/>
      <c r="VPK134" s="105"/>
      <c r="VPL134" s="105"/>
      <c r="VPM134" s="105"/>
      <c r="VPN134" s="105"/>
      <c r="VPO134" s="105"/>
      <c r="VPP134" s="105"/>
      <c r="VPQ134" s="105"/>
      <c r="VPR134" s="105"/>
      <c r="VPS134" s="105"/>
      <c r="VPT134" s="105"/>
      <c r="VPU134" s="105"/>
      <c r="VPV134" s="105"/>
      <c r="VPW134" s="105"/>
      <c r="VPX134" s="105"/>
      <c r="VPY134" s="105"/>
      <c r="VPZ134" s="105"/>
      <c r="VQA134" s="105"/>
      <c r="VQB134" s="105"/>
      <c r="VQC134" s="105"/>
      <c r="VQD134" s="105"/>
      <c r="VQE134" s="105"/>
      <c r="VQF134" s="105"/>
      <c r="VQG134" s="105"/>
      <c r="VQH134" s="105"/>
      <c r="VQI134" s="105"/>
      <c r="VQJ134" s="105"/>
      <c r="VQK134" s="105"/>
      <c r="VQL134" s="105"/>
      <c r="VQM134" s="105"/>
      <c r="VQN134" s="105"/>
      <c r="VQO134" s="105"/>
      <c r="VQP134" s="105"/>
      <c r="VQQ134" s="105"/>
      <c r="VQR134" s="105"/>
      <c r="VQS134" s="105"/>
      <c r="VQT134" s="105"/>
      <c r="VQU134" s="105"/>
      <c r="VQV134" s="105"/>
      <c r="VQW134" s="105"/>
      <c r="VQX134" s="105"/>
      <c r="VQY134" s="105"/>
      <c r="VQZ134" s="105"/>
      <c r="VRA134" s="105"/>
      <c r="VRB134" s="105"/>
      <c r="VRC134" s="105"/>
      <c r="VRD134" s="105"/>
      <c r="VRE134" s="105"/>
      <c r="VRF134" s="105"/>
      <c r="VRG134" s="105"/>
      <c r="VRH134" s="105"/>
      <c r="VRI134" s="105"/>
      <c r="VRJ134" s="105"/>
      <c r="VRK134" s="105"/>
      <c r="VRL134" s="105"/>
      <c r="VRM134" s="105"/>
      <c r="VRN134" s="105"/>
      <c r="VRO134" s="105"/>
      <c r="VRP134" s="105"/>
      <c r="VRQ134" s="105"/>
      <c r="VRR134" s="105"/>
      <c r="VRS134" s="105"/>
      <c r="VRT134" s="105"/>
      <c r="VRU134" s="105"/>
      <c r="VRV134" s="105"/>
      <c r="VRW134" s="105"/>
      <c r="VRX134" s="105"/>
      <c r="VRY134" s="105"/>
      <c r="VRZ134" s="105"/>
      <c r="VSA134" s="105"/>
      <c r="VSB134" s="105"/>
      <c r="VSC134" s="105"/>
      <c r="VSD134" s="105"/>
      <c r="VSE134" s="105"/>
      <c r="VSF134" s="105"/>
      <c r="VSG134" s="105"/>
      <c r="VSH134" s="105"/>
      <c r="VSI134" s="105"/>
      <c r="VSJ134" s="105"/>
      <c r="VSK134" s="105"/>
      <c r="VSL134" s="105"/>
      <c r="VSM134" s="105"/>
      <c r="VSN134" s="105"/>
      <c r="VSO134" s="105"/>
      <c r="VSP134" s="105"/>
      <c r="VSQ134" s="105"/>
      <c r="VSR134" s="105"/>
      <c r="VSS134" s="105"/>
      <c r="VST134" s="105"/>
      <c r="VSU134" s="105"/>
      <c r="VSV134" s="105"/>
      <c r="VSW134" s="105"/>
      <c r="VSX134" s="105"/>
      <c r="VSY134" s="105"/>
      <c r="VSZ134" s="105"/>
      <c r="VTA134" s="105"/>
      <c r="VTB134" s="105"/>
      <c r="VTC134" s="105"/>
      <c r="VTD134" s="105"/>
      <c r="VTE134" s="105"/>
      <c r="VTF134" s="105"/>
      <c r="VTG134" s="105"/>
      <c r="VTH134" s="105"/>
      <c r="VTI134" s="105"/>
      <c r="VTJ134" s="105"/>
      <c r="VTK134" s="105"/>
      <c r="VTL134" s="105"/>
      <c r="VTM134" s="105"/>
      <c r="VTN134" s="105"/>
      <c r="VTO134" s="105"/>
      <c r="VTP134" s="105"/>
      <c r="VTQ134" s="105"/>
      <c r="VTR134" s="105"/>
      <c r="VTS134" s="105"/>
      <c r="VTT134" s="105"/>
      <c r="VTU134" s="105"/>
      <c r="VTV134" s="105"/>
      <c r="VTW134" s="105"/>
      <c r="VTX134" s="105"/>
      <c r="VTY134" s="105"/>
      <c r="VTZ134" s="105"/>
      <c r="VUA134" s="105"/>
      <c r="VUB134" s="105"/>
      <c r="VUC134" s="105"/>
      <c r="VUD134" s="105"/>
      <c r="VUE134" s="105"/>
      <c r="VUF134" s="105"/>
      <c r="VUG134" s="105"/>
      <c r="VUH134" s="105"/>
      <c r="VUI134" s="105"/>
      <c r="VUJ134" s="105"/>
      <c r="VUK134" s="105"/>
      <c r="VUL134" s="105"/>
      <c r="VUM134" s="105"/>
      <c r="VUN134" s="105"/>
      <c r="VUO134" s="105"/>
      <c r="VUP134" s="105"/>
      <c r="VUQ134" s="105"/>
      <c r="VUR134" s="105"/>
      <c r="VUS134" s="105"/>
      <c r="VUT134" s="105"/>
      <c r="VUU134" s="105"/>
      <c r="VUV134" s="105"/>
      <c r="VUW134" s="105"/>
      <c r="VUX134" s="105"/>
      <c r="VUY134" s="105"/>
      <c r="VUZ134" s="105"/>
      <c r="VVA134" s="105"/>
      <c r="VVB134" s="105"/>
      <c r="VVC134" s="105"/>
      <c r="VVD134" s="105"/>
      <c r="VVE134" s="105"/>
      <c r="VVF134" s="105"/>
      <c r="VVG134" s="105"/>
      <c r="VVH134" s="105"/>
      <c r="VVI134" s="105"/>
      <c r="VVJ134" s="105"/>
      <c r="VVK134" s="105"/>
      <c r="VVL134" s="105"/>
      <c r="VVM134" s="105"/>
      <c r="VVN134" s="105"/>
      <c r="VVO134" s="105"/>
      <c r="VVP134" s="105"/>
      <c r="VVQ134" s="105"/>
      <c r="VVR134" s="105"/>
      <c r="VVS134" s="105"/>
      <c r="VVT134" s="105"/>
      <c r="VVU134" s="105"/>
      <c r="VVV134" s="105"/>
      <c r="VVW134" s="105"/>
      <c r="VVX134" s="105"/>
      <c r="VVY134" s="105"/>
      <c r="VVZ134" s="105"/>
      <c r="VWA134" s="105"/>
      <c r="VWB134" s="105"/>
      <c r="VWC134" s="105"/>
      <c r="VWD134" s="105"/>
      <c r="VWE134" s="105"/>
      <c r="VWF134" s="105"/>
      <c r="VWG134" s="105"/>
      <c r="VWH134" s="105"/>
      <c r="VWI134" s="105"/>
      <c r="VWJ134" s="105"/>
      <c r="VWK134" s="105"/>
      <c r="VWL134" s="105"/>
      <c r="VWM134" s="105"/>
      <c r="VWN134" s="105"/>
      <c r="VWO134" s="105"/>
      <c r="VWP134" s="105"/>
      <c r="VWQ134" s="105"/>
      <c r="VWR134" s="105"/>
      <c r="VWS134" s="105"/>
      <c r="VWT134" s="105"/>
      <c r="VWU134" s="105"/>
      <c r="VWV134" s="105"/>
      <c r="VWW134" s="105"/>
      <c r="VWX134" s="105"/>
      <c r="VWY134" s="105"/>
      <c r="VWZ134" s="105"/>
      <c r="VXA134" s="105"/>
      <c r="VXB134" s="105"/>
      <c r="VXC134" s="105"/>
      <c r="VXD134" s="105"/>
      <c r="VXE134" s="105"/>
      <c r="VXF134" s="105"/>
      <c r="VXG134" s="105"/>
      <c r="VXH134" s="105"/>
      <c r="VXI134" s="105"/>
      <c r="VXJ134" s="105"/>
      <c r="VXK134" s="105"/>
      <c r="VXL134" s="105"/>
      <c r="VXM134" s="105"/>
      <c r="VXN134" s="105"/>
      <c r="VXO134" s="105"/>
      <c r="VXP134" s="105"/>
      <c r="VXQ134" s="105"/>
      <c r="VXR134" s="105"/>
      <c r="VXS134" s="105"/>
      <c r="VXT134" s="105"/>
      <c r="VXU134" s="105"/>
      <c r="VXV134" s="105"/>
      <c r="VXW134" s="105"/>
      <c r="VXX134" s="105"/>
      <c r="VXY134" s="105"/>
      <c r="VXZ134" s="105"/>
      <c r="VYA134" s="105"/>
      <c r="VYB134" s="105"/>
      <c r="VYC134" s="105"/>
      <c r="VYD134" s="105"/>
      <c r="VYE134" s="105"/>
      <c r="VYF134" s="105"/>
      <c r="VYG134" s="105"/>
      <c r="VYH134" s="105"/>
      <c r="VYI134" s="105"/>
      <c r="VYJ134" s="105"/>
      <c r="VYK134" s="105"/>
      <c r="VYL134" s="105"/>
      <c r="VYM134" s="105"/>
      <c r="VYN134" s="105"/>
      <c r="VYO134" s="105"/>
      <c r="VYP134" s="105"/>
      <c r="VYQ134" s="105"/>
      <c r="VYR134" s="105"/>
      <c r="VYS134" s="105"/>
      <c r="VYT134" s="105"/>
      <c r="VYU134" s="105"/>
      <c r="VYV134" s="105"/>
      <c r="VYW134" s="105"/>
      <c r="VYX134" s="105"/>
      <c r="VYY134" s="105"/>
      <c r="VYZ134" s="105"/>
      <c r="VZA134" s="105"/>
      <c r="VZB134" s="105"/>
      <c r="VZC134" s="105"/>
      <c r="VZD134" s="105"/>
      <c r="VZE134" s="105"/>
      <c r="VZF134" s="105"/>
      <c r="VZG134" s="105"/>
      <c r="VZH134" s="105"/>
      <c r="VZI134" s="105"/>
      <c r="VZJ134" s="105"/>
      <c r="VZK134" s="105"/>
      <c r="VZL134" s="105"/>
      <c r="VZM134" s="105"/>
      <c r="VZN134" s="105"/>
      <c r="VZO134" s="105"/>
      <c r="VZP134" s="105"/>
      <c r="VZQ134" s="105"/>
      <c r="VZR134" s="105"/>
      <c r="VZS134" s="105"/>
      <c r="VZT134" s="105"/>
      <c r="VZU134" s="105"/>
      <c r="VZV134" s="105"/>
      <c r="VZW134" s="105"/>
      <c r="VZX134" s="105"/>
      <c r="VZY134" s="105"/>
      <c r="VZZ134" s="105"/>
      <c r="WAA134" s="105"/>
      <c r="WAB134" s="105"/>
      <c r="WAC134" s="105"/>
      <c r="WAD134" s="105"/>
      <c r="WAE134" s="105"/>
      <c r="WAF134" s="105"/>
      <c r="WAG134" s="105"/>
      <c r="WAH134" s="105"/>
      <c r="WAI134" s="105"/>
      <c r="WAJ134" s="105"/>
      <c r="WAK134" s="105"/>
      <c r="WAL134" s="105"/>
      <c r="WAM134" s="105"/>
      <c r="WAN134" s="105"/>
      <c r="WAO134" s="105"/>
      <c r="WAP134" s="105"/>
      <c r="WAQ134" s="105"/>
      <c r="WAR134" s="105"/>
      <c r="WAS134" s="105"/>
      <c r="WAT134" s="105"/>
      <c r="WAU134" s="105"/>
      <c r="WAV134" s="105"/>
      <c r="WAW134" s="105"/>
      <c r="WAX134" s="105"/>
      <c r="WAY134" s="105"/>
      <c r="WAZ134" s="105"/>
      <c r="WBA134" s="105"/>
      <c r="WBB134" s="105"/>
      <c r="WBC134" s="105"/>
      <c r="WBD134" s="105"/>
      <c r="WBE134" s="105"/>
      <c r="WBF134" s="105"/>
      <c r="WBG134" s="105"/>
      <c r="WBH134" s="105"/>
      <c r="WBI134" s="105"/>
      <c r="WBJ134" s="105"/>
      <c r="WBK134" s="105"/>
      <c r="WBL134" s="105"/>
      <c r="WBM134" s="105"/>
      <c r="WBN134" s="105"/>
      <c r="WBO134" s="105"/>
      <c r="WBP134" s="105"/>
      <c r="WBQ134" s="105"/>
      <c r="WBR134" s="105"/>
      <c r="WBS134" s="105"/>
      <c r="WBT134" s="105"/>
      <c r="WBU134" s="105"/>
      <c r="WBV134" s="105"/>
      <c r="WBW134" s="105"/>
      <c r="WBX134" s="105"/>
      <c r="WBY134" s="105"/>
      <c r="WBZ134" s="105"/>
      <c r="WCA134" s="105"/>
      <c r="WCB134" s="105"/>
      <c r="WCC134" s="105"/>
      <c r="WCD134" s="105"/>
      <c r="WCE134" s="105"/>
      <c r="WCF134" s="105"/>
      <c r="WCG134" s="105"/>
      <c r="WCH134" s="105"/>
      <c r="WCI134" s="105"/>
      <c r="WCJ134" s="105"/>
      <c r="WCK134" s="105"/>
      <c r="WCL134" s="105"/>
      <c r="WCM134" s="105"/>
      <c r="WCN134" s="105"/>
      <c r="WCO134" s="105"/>
      <c r="WCP134" s="105"/>
      <c r="WCQ134" s="105"/>
      <c r="WCR134" s="105"/>
      <c r="WCS134" s="105"/>
      <c r="WCT134" s="105"/>
      <c r="WCU134" s="105"/>
      <c r="WCV134" s="105"/>
      <c r="WCW134" s="105"/>
      <c r="WCX134" s="105"/>
      <c r="WCY134" s="105"/>
      <c r="WCZ134" s="105"/>
      <c r="WDA134" s="105"/>
      <c r="WDB134" s="105"/>
      <c r="WDC134" s="105"/>
      <c r="WDD134" s="105"/>
      <c r="WDE134" s="105"/>
      <c r="WDF134" s="105"/>
      <c r="WDG134" s="105"/>
      <c r="WDH134" s="105"/>
      <c r="WDI134" s="105"/>
      <c r="WDJ134" s="105"/>
      <c r="WDK134" s="105"/>
      <c r="WDL134" s="105"/>
      <c r="WDM134" s="105"/>
      <c r="WDN134" s="105"/>
      <c r="WDO134" s="105"/>
      <c r="WDP134" s="105"/>
      <c r="WDQ134" s="105"/>
      <c r="WDR134" s="105"/>
      <c r="WDS134" s="105"/>
      <c r="WDT134" s="105"/>
      <c r="WDU134" s="105"/>
      <c r="WDV134" s="105"/>
      <c r="WDW134" s="105"/>
      <c r="WDX134" s="105"/>
      <c r="WDY134" s="105"/>
      <c r="WDZ134" s="105"/>
      <c r="WEA134" s="105"/>
      <c r="WEB134" s="105"/>
      <c r="WEC134" s="105"/>
      <c r="WED134" s="105"/>
      <c r="WEE134" s="105"/>
      <c r="WEF134" s="105"/>
      <c r="WEG134" s="105"/>
      <c r="WEH134" s="105"/>
      <c r="WEI134" s="105"/>
      <c r="WEJ134" s="105"/>
      <c r="WEK134" s="105"/>
      <c r="WEL134" s="105"/>
      <c r="WEM134" s="105"/>
      <c r="WEN134" s="105"/>
      <c r="WEO134" s="105"/>
      <c r="WEP134" s="105"/>
      <c r="WEQ134" s="105"/>
      <c r="WER134" s="105"/>
      <c r="WES134" s="105"/>
      <c r="WET134" s="105"/>
      <c r="WEU134" s="105"/>
      <c r="WEV134" s="105"/>
      <c r="WEW134" s="105"/>
      <c r="WEX134" s="105"/>
      <c r="WEY134" s="105"/>
      <c r="WEZ134" s="105"/>
      <c r="WFA134" s="105"/>
      <c r="WFB134" s="105"/>
      <c r="WFC134" s="105"/>
      <c r="WFD134" s="105"/>
      <c r="WFE134" s="105"/>
      <c r="WFF134" s="105"/>
      <c r="WFG134" s="105"/>
      <c r="WFH134" s="105"/>
      <c r="WFI134" s="105"/>
      <c r="WFJ134" s="105"/>
      <c r="WFK134" s="105"/>
      <c r="WFL134" s="105"/>
      <c r="WFM134" s="105"/>
      <c r="WFN134" s="105"/>
      <c r="WFO134" s="105"/>
      <c r="WFP134" s="105"/>
      <c r="WFQ134" s="105"/>
      <c r="WFR134" s="105"/>
      <c r="WFS134" s="105"/>
      <c r="WFT134" s="105"/>
      <c r="WFU134" s="105"/>
      <c r="WFV134" s="105"/>
      <c r="WFW134" s="105"/>
      <c r="WFX134" s="105"/>
      <c r="WFY134" s="105"/>
      <c r="WFZ134" s="105"/>
      <c r="WGA134" s="105"/>
      <c r="WGB134" s="105"/>
      <c r="WGC134" s="105"/>
      <c r="WGD134" s="105"/>
      <c r="WGE134" s="105"/>
      <c r="WGF134" s="105"/>
      <c r="WGG134" s="105"/>
      <c r="WGH134" s="105"/>
      <c r="WGI134" s="105"/>
      <c r="WGJ134" s="105"/>
      <c r="WGK134" s="105"/>
      <c r="WGL134" s="105"/>
      <c r="WGM134" s="105"/>
      <c r="WGN134" s="105"/>
      <c r="WGO134" s="105"/>
      <c r="WGP134" s="105"/>
      <c r="WGQ134" s="105"/>
      <c r="WGR134" s="105"/>
      <c r="WGS134" s="105"/>
      <c r="WGT134" s="105"/>
      <c r="WGU134" s="105"/>
      <c r="WGV134" s="105"/>
      <c r="WGW134" s="105"/>
      <c r="WGX134" s="105"/>
      <c r="WGY134" s="105"/>
      <c r="WGZ134" s="105"/>
      <c r="WHA134" s="105"/>
      <c r="WHB134" s="105"/>
      <c r="WHC134" s="105"/>
      <c r="WHD134" s="105"/>
      <c r="WHE134" s="105"/>
      <c r="WHF134" s="105"/>
      <c r="WHG134" s="105"/>
      <c r="WHH134" s="105"/>
      <c r="WHI134" s="105"/>
      <c r="WHJ134" s="105"/>
      <c r="WHK134" s="105"/>
      <c r="WHL134" s="105"/>
      <c r="WHM134" s="105"/>
      <c r="WHN134" s="105"/>
      <c r="WHO134" s="105"/>
      <c r="WHP134" s="105"/>
      <c r="WHQ134" s="105"/>
      <c r="WHR134" s="105"/>
      <c r="WHS134" s="105"/>
      <c r="WHT134" s="105"/>
      <c r="WHU134" s="105"/>
      <c r="WHV134" s="105"/>
      <c r="WHW134" s="105"/>
      <c r="WHX134" s="105"/>
      <c r="WHY134" s="105"/>
      <c r="WHZ134" s="105"/>
      <c r="WIA134" s="105"/>
      <c r="WIB134" s="105"/>
      <c r="WIC134" s="105"/>
      <c r="WID134" s="105"/>
      <c r="WIE134" s="105"/>
      <c r="WIF134" s="105"/>
      <c r="WIG134" s="105"/>
      <c r="WIH134" s="105"/>
      <c r="WII134" s="105"/>
      <c r="WIJ134" s="105"/>
      <c r="WIK134" s="105"/>
      <c r="WIL134" s="105"/>
      <c r="WIM134" s="105"/>
      <c r="WIN134" s="105"/>
      <c r="WIO134" s="105"/>
      <c r="WIP134" s="105"/>
      <c r="WIQ134" s="105"/>
      <c r="WIR134" s="105"/>
      <c r="WIS134" s="105"/>
      <c r="WIT134" s="105"/>
      <c r="WIU134" s="105"/>
      <c r="WIV134" s="105"/>
      <c r="WIW134" s="105"/>
      <c r="WIX134" s="105"/>
      <c r="WIY134" s="105"/>
      <c r="WIZ134" s="105"/>
      <c r="WJA134" s="105"/>
      <c r="WJB134" s="105"/>
      <c r="WJC134" s="105"/>
      <c r="WJD134" s="105"/>
      <c r="WJE134" s="105"/>
      <c r="WJF134" s="105"/>
      <c r="WJG134" s="105"/>
      <c r="WJH134" s="105"/>
      <c r="WJI134" s="105"/>
      <c r="WJJ134" s="105"/>
      <c r="WJK134" s="105"/>
      <c r="WJL134" s="105"/>
      <c r="WJM134" s="105"/>
      <c r="WJN134" s="105"/>
      <c r="WJO134" s="105"/>
      <c r="WJP134" s="105"/>
      <c r="WJQ134" s="105"/>
      <c r="WJR134" s="105"/>
      <c r="WJS134" s="105"/>
      <c r="WJT134" s="105"/>
      <c r="WJU134" s="105"/>
      <c r="WJV134" s="105"/>
      <c r="WJW134" s="105"/>
      <c r="WJX134" s="105"/>
      <c r="WJY134" s="105"/>
      <c r="WJZ134" s="105"/>
      <c r="WKA134" s="105"/>
      <c r="WKB134" s="105"/>
      <c r="WKC134" s="105"/>
      <c r="WKD134" s="105"/>
      <c r="WKE134" s="105"/>
      <c r="WKF134" s="105"/>
      <c r="WKG134" s="105"/>
      <c r="WKH134" s="105"/>
      <c r="WKI134" s="105"/>
      <c r="WKJ134" s="105"/>
      <c r="WKK134" s="105"/>
      <c r="WKL134" s="105"/>
      <c r="WKM134" s="105"/>
      <c r="WKN134" s="105"/>
      <c r="WKO134" s="105"/>
      <c r="WKP134" s="105"/>
      <c r="WKQ134" s="105"/>
      <c r="WKR134" s="105"/>
      <c r="WKS134" s="105"/>
      <c r="WKT134" s="105"/>
      <c r="WKU134" s="105"/>
      <c r="WKV134" s="105"/>
      <c r="WKW134" s="105"/>
      <c r="WKX134" s="105"/>
      <c r="WKY134" s="105"/>
      <c r="WKZ134" s="105"/>
      <c r="WLA134" s="105"/>
      <c r="WLB134" s="105"/>
      <c r="WLC134" s="105"/>
      <c r="WLD134" s="105"/>
      <c r="WLE134" s="105"/>
      <c r="WLF134" s="105"/>
      <c r="WLG134" s="105"/>
      <c r="WLH134" s="105"/>
      <c r="WLI134" s="105"/>
      <c r="WLJ134" s="105"/>
      <c r="WLK134" s="105"/>
      <c r="WLL134" s="105"/>
      <c r="WLM134" s="105"/>
      <c r="WLN134" s="105"/>
      <c r="WLO134" s="105"/>
      <c r="WLP134" s="105"/>
      <c r="WLQ134" s="105"/>
      <c r="WLR134" s="105"/>
      <c r="WLS134" s="105"/>
      <c r="WLT134" s="105"/>
      <c r="WLU134" s="105"/>
      <c r="WLV134" s="105"/>
      <c r="WLW134" s="105"/>
      <c r="WLX134" s="105"/>
      <c r="WLY134" s="105"/>
      <c r="WLZ134" s="105"/>
      <c r="WMA134" s="105"/>
      <c r="WMB134" s="105"/>
      <c r="WMC134" s="105"/>
      <c r="WMD134" s="105"/>
      <c r="WME134" s="105"/>
      <c r="WMF134" s="105"/>
      <c r="WMG134" s="105"/>
      <c r="WMH134" s="105"/>
      <c r="WMI134" s="105"/>
      <c r="WMJ134" s="105"/>
      <c r="WMK134" s="105"/>
      <c r="WML134" s="105"/>
      <c r="WMM134" s="105"/>
      <c r="WMN134" s="105"/>
      <c r="WMO134" s="105"/>
      <c r="WMP134" s="105"/>
      <c r="WMQ134" s="105"/>
      <c r="WMR134" s="105"/>
      <c r="WMS134" s="105"/>
      <c r="WMT134" s="105"/>
      <c r="WMU134" s="105"/>
      <c r="WMV134" s="105"/>
      <c r="WMW134" s="105"/>
      <c r="WMX134" s="105"/>
      <c r="WMY134" s="105"/>
      <c r="WMZ134" s="105"/>
      <c r="WNA134" s="105"/>
      <c r="WNB134" s="105"/>
      <c r="WNC134" s="105"/>
      <c r="WND134" s="105"/>
      <c r="WNE134" s="105"/>
      <c r="WNF134" s="105"/>
      <c r="WNG134" s="105"/>
      <c r="WNH134" s="105"/>
      <c r="WNI134" s="105"/>
      <c r="WNJ134" s="105"/>
      <c r="WNK134" s="105"/>
      <c r="WNL134" s="105"/>
      <c r="WNM134" s="105"/>
      <c r="WNN134" s="105"/>
      <c r="WNO134" s="105"/>
      <c r="WNP134" s="105"/>
      <c r="WNQ134" s="105"/>
      <c r="WNR134" s="105"/>
      <c r="WNS134" s="105"/>
      <c r="WNT134" s="105"/>
      <c r="WNU134" s="105"/>
      <c r="WNV134" s="105"/>
      <c r="WNW134" s="105"/>
      <c r="WNX134" s="105"/>
      <c r="WNY134" s="105"/>
      <c r="WNZ134" s="105"/>
      <c r="WOA134" s="105"/>
      <c r="WOB134" s="105"/>
      <c r="WOC134" s="105"/>
      <c r="WOD134" s="105"/>
      <c r="WOE134" s="105"/>
      <c r="WOF134" s="105"/>
      <c r="WOG134" s="105"/>
      <c r="WOH134" s="105"/>
      <c r="WOI134" s="105"/>
      <c r="WOJ134" s="105"/>
      <c r="WOK134" s="105"/>
      <c r="WOL134" s="105"/>
      <c r="WOM134" s="105"/>
      <c r="WON134" s="105"/>
      <c r="WOO134" s="105"/>
      <c r="WOP134" s="105"/>
      <c r="WOQ134" s="105"/>
      <c r="WOR134" s="105"/>
      <c r="WOS134" s="105"/>
      <c r="WOT134" s="105"/>
      <c r="WOU134" s="105"/>
      <c r="WOV134" s="105"/>
      <c r="WOW134" s="105"/>
      <c r="WOX134" s="105"/>
      <c r="WOY134" s="105"/>
      <c r="WOZ134" s="105"/>
      <c r="WPA134" s="105"/>
      <c r="WPB134" s="105"/>
      <c r="WPC134" s="105"/>
      <c r="WPD134" s="105"/>
      <c r="WPE134" s="105"/>
      <c r="WPF134" s="105"/>
      <c r="WPG134" s="105"/>
      <c r="WPH134" s="105"/>
      <c r="WPI134" s="105"/>
      <c r="WPJ134" s="105"/>
      <c r="WPK134" s="105"/>
      <c r="WPL134" s="105"/>
      <c r="WPM134" s="105"/>
      <c r="WPN134" s="105"/>
      <c r="WPO134" s="105"/>
      <c r="WPP134" s="105"/>
      <c r="WPQ134" s="105"/>
      <c r="WPR134" s="105"/>
      <c r="WPS134" s="105"/>
      <c r="WPT134" s="105"/>
      <c r="WPU134" s="105"/>
      <c r="WPV134" s="105"/>
      <c r="WPW134" s="105"/>
      <c r="WPX134" s="105"/>
      <c r="WPY134" s="105"/>
      <c r="WPZ134" s="105"/>
      <c r="WQA134" s="105"/>
      <c r="WQB134" s="105"/>
      <c r="WQC134" s="105"/>
      <c r="WQD134" s="105"/>
      <c r="WQE134" s="105"/>
      <c r="WQF134" s="105"/>
      <c r="WQG134" s="105"/>
      <c r="WQH134" s="105"/>
      <c r="WQI134" s="105"/>
      <c r="WQJ134" s="105"/>
      <c r="WQK134" s="105"/>
      <c r="WQL134" s="105"/>
      <c r="WQM134" s="105"/>
      <c r="WQN134" s="105"/>
      <c r="WQO134" s="105"/>
      <c r="WQP134" s="105"/>
      <c r="WQQ134" s="105"/>
      <c r="WQR134" s="105"/>
      <c r="WQS134" s="105"/>
      <c r="WQT134" s="105"/>
      <c r="WQU134" s="105"/>
      <c r="WQV134" s="105"/>
      <c r="WQW134" s="105"/>
      <c r="WQX134" s="105"/>
      <c r="WQY134" s="105"/>
      <c r="WQZ134" s="105"/>
      <c r="WRA134" s="105"/>
      <c r="WRB134" s="105"/>
      <c r="WRC134" s="105"/>
      <c r="WRD134" s="105"/>
      <c r="WRE134" s="105"/>
      <c r="WRF134" s="105"/>
      <c r="WRG134" s="105"/>
      <c r="WRH134" s="105"/>
      <c r="WRI134" s="105"/>
      <c r="WRJ134" s="105"/>
      <c r="WRK134" s="105"/>
      <c r="WRL134" s="105"/>
      <c r="WRM134" s="105"/>
      <c r="WRN134" s="105"/>
      <c r="WRO134" s="105"/>
      <c r="WRP134" s="105"/>
      <c r="WRQ134" s="105"/>
      <c r="WRR134" s="105"/>
      <c r="WRS134" s="105"/>
      <c r="WRT134" s="105"/>
      <c r="WRU134" s="105"/>
      <c r="WRV134" s="105"/>
      <c r="WRW134" s="105"/>
      <c r="WRX134" s="105"/>
      <c r="WRY134" s="105"/>
      <c r="WRZ134" s="105"/>
      <c r="WSA134" s="105"/>
      <c r="WSB134" s="105"/>
      <c r="WSC134" s="105"/>
      <c r="WSD134" s="105"/>
      <c r="WSE134" s="105"/>
      <c r="WSF134" s="105"/>
      <c r="WSG134" s="105"/>
      <c r="WSH134" s="105"/>
      <c r="WSI134" s="105"/>
      <c r="WSJ134" s="105"/>
      <c r="WSK134" s="105"/>
      <c r="WSL134" s="105"/>
      <c r="WSM134" s="105"/>
      <c r="WSN134" s="105"/>
      <c r="WSO134" s="105"/>
      <c r="WSP134" s="105"/>
      <c r="WSQ134" s="105"/>
      <c r="WSR134" s="105"/>
      <c r="WSS134" s="105"/>
      <c r="WST134" s="105"/>
      <c r="WSU134" s="105"/>
      <c r="WSV134" s="105"/>
      <c r="WSW134" s="105"/>
      <c r="WSX134" s="105"/>
      <c r="WSY134" s="105"/>
      <c r="WSZ134" s="105"/>
      <c r="WTA134" s="105"/>
      <c r="WTB134" s="105"/>
      <c r="WTC134" s="105"/>
      <c r="WTD134" s="105"/>
      <c r="WTE134" s="105"/>
      <c r="WTF134" s="105"/>
      <c r="WTG134" s="105"/>
      <c r="WTH134" s="105"/>
      <c r="WTI134" s="105"/>
      <c r="WTJ134" s="105"/>
      <c r="WTK134" s="105"/>
      <c r="WTL134" s="105"/>
      <c r="WTM134" s="105"/>
      <c r="WTN134" s="105"/>
      <c r="WTO134" s="105"/>
      <c r="WTP134" s="105"/>
      <c r="WTQ134" s="105"/>
      <c r="WTR134" s="105"/>
      <c r="WTS134" s="105"/>
      <c r="WTT134" s="105"/>
      <c r="WTU134" s="105"/>
      <c r="WTV134" s="105"/>
      <c r="WTW134" s="105"/>
      <c r="WTX134" s="105"/>
      <c r="WTY134" s="105"/>
      <c r="WTZ134" s="105"/>
      <c r="WUA134" s="105"/>
      <c r="WUB134" s="105"/>
      <c r="WUC134" s="105"/>
      <c r="WUD134" s="105"/>
      <c r="WUE134" s="105"/>
      <c r="WUF134" s="105"/>
      <c r="WUG134" s="105"/>
      <c r="WUH134" s="105"/>
      <c r="WUI134" s="105"/>
      <c r="WUJ134" s="105"/>
      <c r="WUK134" s="105"/>
      <c r="WUL134" s="105"/>
      <c r="WUM134" s="105"/>
      <c r="WUN134" s="105"/>
      <c r="WUO134" s="105"/>
      <c r="WUP134" s="105"/>
      <c r="WUQ134" s="105"/>
      <c r="WUR134" s="105"/>
      <c r="WUS134" s="105"/>
      <c r="WUT134" s="105"/>
      <c r="WUU134" s="105"/>
      <c r="WUV134" s="105"/>
      <c r="WUW134" s="105"/>
      <c r="WUX134" s="105"/>
      <c r="WUY134" s="105"/>
      <c r="WUZ134" s="105"/>
      <c r="WVA134" s="105"/>
      <c r="WVB134" s="105"/>
      <c r="WVC134" s="105"/>
      <c r="WVD134" s="105"/>
      <c r="WVE134" s="105"/>
      <c r="WVF134" s="105"/>
      <c r="WVG134" s="105"/>
      <c r="WVH134" s="105"/>
      <c r="WVI134" s="105"/>
      <c r="WVJ134" s="105"/>
      <c r="WVK134" s="105"/>
      <c r="WVL134" s="105"/>
      <c r="WVM134" s="105"/>
      <c r="WVN134" s="105"/>
      <c r="WVO134" s="105"/>
      <c r="WVP134" s="105"/>
      <c r="WVQ134" s="105"/>
      <c r="WVR134" s="105"/>
      <c r="WVS134" s="105"/>
      <c r="WVT134" s="105"/>
      <c r="WVU134" s="105"/>
      <c r="WVV134" s="105"/>
      <c r="WVW134" s="105"/>
      <c r="WVX134" s="105"/>
      <c r="WVY134" s="105"/>
      <c r="WVZ134" s="105"/>
      <c r="WWA134" s="105"/>
      <c r="WWB134" s="105"/>
      <c r="WWC134" s="105"/>
      <c r="WWD134" s="105"/>
      <c r="WWE134" s="105"/>
      <c r="WWF134" s="105"/>
      <c r="WWG134" s="105"/>
      <c r="WWH134" s="105"/>
      <c r="WWI134" s="105"/>
      <c r="WWJ134" s="105"/>
      <c r="WWK134" s="105"/>
      <c r="WWL134" s="105"/>
      <c r="WWM134" s="105"/>
      <c r="WWN134" s="105"/>
      <c r="WWO134" s="105"/>
      <c r="WWP134" s="105"/>
      <c r="WWQ134" s="105"/>
      <c r="WWR134" s="105"/>
      <c r="WWS134" s="105"/>
      <c r="WWT134" s="105"/>
      <c r="WWU134" s="105"/>
      <c r="WWV134" s="105"/>
      <c r="WWW134" s="105"/>
      <c r="WWX134" s="105"/>
      <c r="WWY134" s="105"/>
      <c r="WWZ134" s="105"/>
      <c r="WXA134" s="105"/>
      <c r="WXB134" s="105"/>
      <c r="WXC134" s="105"/>
      <c r="WXD134" s="105"/>
      <c r="WXE134" s="105"/>
      <c r="WXF134" s="105"/>
      <c r="WXG134" s="105"/>
      <c r="WXH134" s="105"/>
      <c r="WXI134" s="105"/>
      <c r="WXJ134" s="105"/>
      <c r="WXK134" s="105"/>
      <c r="WXL134" s="105"/>
      <c r="WXM134" s="105"/>
      <c r="WXN134" s="105"/>
      <c r="WXO134" s="105"/>
      <c r="WXP134" s="105"/>
      <c r="WXQ134" s="105"/>
      <c r="WXR134" s="105"/>
      <c r="WXS134" s="105"/>
      <c r="WXT134" s="105"/>
      <c r="WXU134" s="105"/>
      <c r="WXV134" s="105"/>
      <c r="WXW134" s="105"/>
      <c r="WXX134" s="105"/>
      <c r="WXY134" s="105"/>
      <c r="WXZ134" s="105"/>
      <c r="WYA134" s="105"/>
      <c r="WYB134" s="105"/>
      <c r="WYC134" s="105"/>
      <c r="WYD134" s="105"/>
      <c r="WYE134" s="105"/>
      <c r="WYF134" s="105"/>
      <c r="WYG134" s="105"/>
      <c r="WYH134" s="105"/>
      <c r="WYI134" s="105"/>
      <c r="WYJ134" s="105"/>
      <c r="WYK134" s="105"/>
      <c r="WYL134" s="105"/>
      <c r="WYM134" s="105"/>
      <c r="WYN134" s="105"/>
      <c r="WYO134" s="105"/>
      <c r="WYP134" s="105"/>
      <c r="WYQ134" s="105"/>
      <c r="WYR134" s="105"/>
      <c r="WYS134" s="105"/>
      <c r="WYT134" s="105"/>
      <c r="WYU134" s="105"/>
      <c r="WYV134" s="105"/>
      <c r="WYW134" s="105"/>
      <c r="WYX134" s="105"/>
      <c r="WYY134" s="105"/>
      <c r="WYZ134" s="105"/>
      <c r="WZA134" s="105"/>
      <c r="WZB134" s="105"/>
      <c r="WZC134" s="105"/>
      <c r="WZD134" s="105"/>
      <c r="WZE134" s="105"/>
      <c r="WZF134" s="105"/>
      <c r="WZG134" s="105"/>
      <c r="WZH134" s="105"/>
      <c r="WZI134" s="105"/>
      <c r="WZJ134" s="105"/>
      <c r="WZK134" s="105"/>
      <c r="WZL134" s="105"/>
      <c r="WZM134" s="105"/>
      <c r="WZN134" s="105"/>
      <c r="WZO134" s="105"/>
      <c r="WZP134" s="105"/>
      <c r="WZQ134" s="105"/>
      <c r="WZR134" s="105"/>
      <c r="WZS134" s="105"/>
      <c r="WZT134" s="105"/>
      <c r="WZU134" s="105"/>
      <c r="WZV134" s="105"/>
      <c r="WZW134" s="105"/>
      <c r="WZX134" s="105"/>
      <c r="WZY134" s="105"/>
      <c r="WZZ134" s="105"/>
      <c r="XAA134" s="105"/>
      <c r="XAB134" s="105"/>
      <c r="XAC134" s="105"/>
      <c r="XAD134" s="105"/>
      <c r="XAE134" s="105"/>
      <c r="XAF134" s="105"/>
      <c r="XAG134" s="105"/>
      <c r="XAH134" s="105"/>
      <c r="XAI134" s="105"/>
      <c r="XAJ134" s="105"/>
      <c r="XAK134" s="105"/>
      <c r="XAL134" s="105"/>
      <c r="XAM134" s="105"/>
      <c r="XAN134" s="105"/>
      <c r="XAO134" s="105"/>
      <c r="XAP134" s="105"/>
      <c r="XAQ134" s="105"/>
      <c r="XAR134" s="105"/>
      <c r="XAS134" s="105"/>
      <c r="XAT134" s="105"/>
      <c r="XAU134" s="105"/>
      <c r="XAV134" s="105"/>
      <c r="XAW134" s="105"/>
      <c r="XAX134" s="105"/>
      <c r="XAY134" s="105"/>
      <c r="XAZ134" s="105"/>
      <c r="XBA134" s="105"/>
      <c r="XBB134" s="105"/>
      <c r="XBC134" s="105"/>
      <c r="XBD134" s="105"/>
      <c r="XBE134" s="105"/>
      <c r="XBF134" s="105"/>
      <c r="XBG134" s="105"/>
      <c r="XBH134" s="105"/>
      <c r="XBI134" s="105"/>
      <c r="XBJ134" s="105"/>
      <c r="XBK134" s="105"/>
      <c r="XBL134" s="105"/>
      <c r="XBM134" s="105"/>
      <c r="XBN134" s="105"/>
      <c r="XBO134" s="105"/>
      <c r="XBP134" s="105"/>
      <c r="XBQ134" s="105"/>
      <c r="XBR134" s="105"/>
      <c r="XBS134" s="105"/>
      <c r="XBT134" s="105"/>
      <c r="XBU134" s="105"/>
      <c r="XBV134" s="105"/>
      <c r="XBW134" s="105"/>
      <c r="XBX134" s="105"/>
      <c r="XBY134" s="105"/>
      <c r="XBZ134" s="105"/>
      <c r="XCA134" s="105"/>
      <c r="XCB134" s="105"/>
      <c r="XCC134" s="105"/>
      <c r="XCD134" s="105"/>
      <c r="XCE134" s="105"/>
      <c r="XCF134" s="105"/>
      <c r="XCG134" s="105"/>
      <c r="XCH134" s="105"/>
      <c r="XCI134" s="105"/>
      <c r="XCJ134" s="105"/>
      <c r="XCK134" s="105"/>
      <c r="XCL134" s="105"/>
      <c r="XCM134" s="105"/>
      <c r="XCN134" s="105"/>
      <c r="XCO134" s="105"/>
      <c r="XCP134" s="105"/>
      <c r="XCQ134" s="105"/>
      <c r="XCR134" s="105"/>
      <c r="XCS134" s="105"/>
      <c r="XCT134" s="105"/>
      <c r="XCU134" s="105"/>
      <c r="XCV134" s="105"/>
      <c r="XCW134" s="105"/>
      <c r="XCX134" s="105"/>
      <c r="XCY134" s="105"/>
      <c r="XCZ134" s="105"/>
      <c r="XDA134" s="105"/>
      <c r="XDB134" s="105"/>
      <c r="XDC134" s="105"/>
      <c r="XDD134" s="105"/>
      <c r="XDE134" s="105"/>
      <c r="XDF134" s="105"/>
      <c r="XDG134" s="105"/>
      <c r="XDH134" s="105"/>
      <c r="XDI134" s="105"/>
      <c r="XDJ134" s="105"/>
      <c r="XDK134" s="105"/>
      <c r="XDL134" s="105"/>
      <c r="XDM134" s="105"/>
      <c r="XDN134" s="105"/>
      <c r="XDO134" s="105"/>
      <c r="XDP134" s="105"/>
      <c r="XDQ134" s="105"/>
      <c r="XDR134" s="105"/>
      <c r="XDS134" s="105"/>
      <c r="XDT134" s="105"/>
      <c r="XDU134" s="105"/>
      <c r="XDV134" s="105"/>
      <c r="XDW134" s="105"/>
      <c r="XDX134" s="105"/>
      <c r="XDY134" s="105"/>
      <c r="XDZ134" s="105"/>
      <c r="XEA134" s="105"/>
      <c r="XEB134" s="105"/>
      <c r="XEC134" s="105"/>
      <c r="XED134" s="105"/>
      <c r="XEE134" s="105"/>
      <c r="XEF134" s="105"/>
      <c r="XEG134" s="105"/>
      <c r="XEH134" s="105"/>
      <c r="XEI134" s="105"/>
      <c r="XEJ134" s="105"/>
      <c r="XEK134" s="105"/>
      <c r="XEL134" s="105"/>
      <c r="XEM134" s="105"/>
      <c r="XEN134" s="105"/>
      <c r="XEO134" s="105"/>
      <c r="XEP134" s="105"/>
      <c r="XEQ134" s="105"/>
      <c r="XER134" s="105"/>
      <c r="XES134" s="105"/>
      <c r="XET134" s="105"/>
      <c r="XEU134" s="105"/>
      <c r="XEV134" s="105"/>
      <c r="XEW134" s="105"/>
    </row>
    <row r="135" spans="1:16377">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c r="AA135" s="105"/>
      <c r="AB135" s="105"/>
      <c r="AC135" s="105"/>
      <c r="AD135" s="105"/>
      <c r="AE135" s="105"/>
      <c r="AF135" s="105"/>
      <c r="AG135" s="105"/>
      <c r="AH135" s="105"/>
      <c r="AI135" s="105"/>
      <c r="AJ135" s="105"/>
      <c r="AK135" s="105"/>
      <c r="AL135" s="105"/>
      <c r="AM135" s="105"/>
      <c r="AN135" s="105"/>
      <c r="AO135" s="105"/>
      <c r="AP135" s="105"/>
      <c r="AQ135" s="105"/>
      <c r="AR135" s="105"/>
      <c r="AS135" s="105"/>
      <c r="AT135" s="105"/>
      <c r="AU135" s="105"/>
      <c r="AV135" s="105"/>
      <c r="AW135" s="105"/>
      <c r="AX135" s="105"/>
      <c r="AY135" s="105"/>
      <c r="AZ135" s="105"/>
      <c r="BA135" s="105"/>
      <c r="BB135" s="105"/>
      <c r="BC135" s="105"/>
      <c r="BD135" s="105"/>
      <c r="BE135" s="105"/>
      <c r="BF135" s="105"/>
      <c r="BG135" s="105"/>
      <c r="BH135" s="105"/>
      <c r="BI135" s="105"/>
      <c r="BJ135" s="105"/>
      <c r="BK135" s="105"/>
      <c r="BL135" s="105"/>
      <c r="BM135" s="105"/>
      <c r="BN135" s="105"/>
      <c r="BO135" s="105"/>
      <c r="BP135" s="105"/>
      <c r="BQ135" s="105"/>
      <c r="BR135" s="105"/>
      <c r="BS135" s="105"/>
      <c r="BT135" s="105"/>
      <c r="BU135" s="105"/>
      <c r="BV135" s="105"/>
      <c r="BW135" s="105"/>
      <c r="BX135" s="105"/>
      <c r="BY135" s="105"/>
      <c r="BZ135" s="105"/>
      <c r="CA135" s="105"/>
      <c r="CB135" s="105"/>
      <c r="CC135" s="105"/>
      <c r="CD135" s="105"/>
      <c r="CE135" s="105"/>
      <c r="CF135" s="105"/>
      <c r="CG135" s="105"/>
      <c r="CH135" s="105"/>
      <c r="CI135" s="105"/>
      <c r="CJ135" s="105"/>
      <c r="CK135" s="105"/>
      <c r="CL135" s="105"/>
      <c r="CM135" s="105"/>
      <c r="CN135" s="105"/>
      <c r="CO135" s="105"/>
      <c r="CP135" s="105"/>
      <c r="CQ135" s="105"/>
      <c r="CR135" s="105"/>
      <c r="CS135" s="105"/>
      <c r="CT135" s="105"/>
      <c r="CU135" s="105"/>
      <c r="CV135" s="105"/>
      <c r="CW135" s="105"/>
      <c r="CX135" s="105"/>
      <c r="CY135" s="105"/>
      <c r="CZ135" s="105"/>
      <c r="DA135" s="105"/>
      <c r="DB135" s="105"/>
      <c r="DC135" s="105"/>
      <c r="DD135" s="105"/>
      <c r="DE135" s="105"/>
      <c r="DF135" s="105"/>
      <c r="DG135" s="105"/>
      <c r="DH135" s="105"/>
      <c r="DI135" s="105"/>
      <c r="DJ135" s="105"/>
      <c r="DK135" s="105"/>
      <c r="DL135" s="105"/>
      <c r="DM135" s="105"/>
      <c r="DN135" s="105"/>
      <c r="DO135" s="105"/>
      <c r="DP135" s="105"/>
      <c r="DQ135" s="105"/>
      <c r="DR135" s="105"/>
      <c r="DS135" s="105"/>
      <c r="DT135" s="105"/>
      <c r="DU135" s="105"/>
      <c r="DV135" s="105"/>
      <c r="DW135" s="105"/>
      <c r="DX135" s="105"/>
      <c r="DY135" s="105"/>
      <c r="DZ135" s="105"/>
      <c r="EA135" s="105"/>
      <c r="EB135" s="105"/>
      <c r="EC135" s="105"/>
      <c r="ED135" s="105"/>
      <c r="EE135" s="105"/>
      <c r="EF135" s="105"/>
      <c r="EG135" s="105"/>
      <c r="EH135" s="105"/>
      <c r="EI135" s="105"/>
      <c r="EJ135" s="105"/>
      <c r="EK135" s="105"/>
      <c r="EL135" s="105"/>
      <c r="EM135" s="105"/>
      <c r="EN135" s="105"/>
      <c r="EO135" s="105"/>
      <c r="EP135" s="105"/>
      <c r="EQ135" s="105"/>
      <c r="ER135" s="105"/>
      <c r="ES135" s="105"/>
      <c r="ET135" s="105"/>
      <c r="EU135" s="105"/>
      <c r="EV135" s="105"/>
      <c r="EW135" s="105"/>
      <c r="EX135" s="105"/>
      <c r="EY135" s="105"/>
      <c r="EZ135" s="105"/>
      <c r="FA135" s="105"/>
      <c r="FB135" s="105"/>
      <c r="FC135" s="105"/>
      <c r="FD135" s="105"/>
      <c r="FE135" s="105"/>
      <c r="FF135" s="105"/>
      <c r="FG135" s="105"/>
      <c r="FH135" s="105"/>
      <c r="FI135" s="105"/>
      <c r="FJ135" s="105"/>
      <c r="FK135" s="105"/>
      <c r="FL135" s="105"/>
      <c r="FM135" s="105"/>
      <c r="FN135" s="105"/>
      <c r="FO135" s="105"/>
      <c r="FP135" s="105"/>
      <c r="FQ135" s="105"/>
      <c r="FR135" s="105"/>
      <c r="FS135" s="105"/>
      <c r="FT135" s="105"/>
      <c r="FU135" s="105"/>
      <c r="FV135" s="105"/>
      <c r="FW135" s="105"/>
      <c r="FX135" s="105"/>
      <c r="FY135" s="105"/>
      <c r="FZ135" s="105"/>
      <c r="GA135" s="105"/>
      <c r="GB135" s="105"/>
      <c r="GC135" s="105"/>
      <c r="GD135" s="105"/>
      <c r="GE135" s="105"/>
      <c r="GF135" s="105"/>
      <c r="GG135" s="105"/>
      <c r="GH135" s="105"/>
      <c r="GI135" s="105"/>
      <c r="GJ135" s="105"/>
      <c r="GK135" s="105"/>
      <c r="GL135" s="105"/>
      <c r="GM135" s="105"/>
      <c r="GN135" s="105"/>
      <c r="GO135" s="105"/>
      <c r="GP135" s="105"/>
      <c r="GQ135" s="105"/>
      <c r="GR135" s="105"/>
      <c r="GS135" s="105"/>
      <c r="GT135" s="105"/>
      <c r="GU135" s="105"/>
      <c r="GV135" s="105"/>
      <c r="GW135" s="105"/>
      <c r="GX135" s="105"/>
      <c r="GY135" s="105"/>
      <c r="GZ135" s="105"/>
      <c r="HA135" s="105"/>
      <c r="HB135" s="105"/>
      <c r="HC135" s="105"/>
      <c r="HD135" s="105"/>
      <c r="HE135" s="105"/>
      <c r="HF135" s="105"/>
      <c r="HG135" s="105"/>
      <c r="HH135" s="105"/>
      <c r="HI135" s="105"/>
      <c r="HJ135" s="105"/>
      <c r="HK135" s="105"/>
      <c r="HL135" s="105"/>
      <c r="HM135" s="105"/>
      <c r="HN135" s="105"/>
      <c r="HO135" s="105"/>
      <c r="HP135" s="105"/>
      <c r="HQ135" s="105"/>
      <c r="HR135" s="105"/>
      <c r="HS135" s="105"/>
      <c r="HT135" s="105"/>
      <c r="HU135" s="105"/>
      <c r="HV135" s="105"/>
      <c r="HW135" s="105"/>
      <c r="HX135" s="105"/>
      <c r="HY135" s="105"/>
      <c r="HZ135" s="105"/>
      <c r="IA135" s="105"/>
      <c r="IB135" s="105"/>
      <c r="IC135" s="105"/>
      <c r="ID135" s="105"/>
      <c r="IE135" s="105"/>
      <c r="IF135" s="105"/>
      <c r="IG135" s="105"/>
      <c r="IH135" s="105"/>
      <c r="II135" s="105"/>
      <c r="IJ135" s="105"/>
      <c r="IK135" s="105"/>
      <c r="IL135" s="105"/>
      <c r="IM135" s="105"/>
      <c r="IN135" s="105"/>
      <c r="IO135" s="105"/>
      <c r="IP135" s="105"/>
      <c r="IQ135" s="105"/>
      <c r="IR135" s="105"/>
      <c r="IS135" s="105"/>
      <c r="IT135" s="105"/>
      <c r="IU135" s="105"/>
      <c r="IV135" s="105"/>
      <c r="IW135" s="105"/>
      <c r="IX135" s="105"/>
      <c r="IY135" s="105"/>
      <c r="IZ135" s="105"/>
      <c r="JA135" s="105"/>
      <c r="JB135" s="105"/>
      <c r="JC135" s="105"/>
      <c r="JD135" s="105"/>
      <c r="JE135" s="105"/>
      <c r="JF135" s="105"/>
      <c r="JG135" s="105"/>
      <c r="JH135" s="105"/>
      <c r="JI135" s="105"/>
      <c r="JJ135" s="105"/>
      <c r="JK135" s="105"/>
      <c r="JL135" s="105"/>
      <c r="JM135" s="105"/>
      <c r="JN135" s="105"/>
      <c r="JO135" s="105"/>
      <c r="JP135" s="105"/>
      <c r="JQ135" s="105"/>
      <c r="JR135" s="105"/>
      <c r="JS135" s="105"/>
      <c r="JT135" s="105"/>
      <c r="JU135" s="105"/>
      <c r="JV135" s="105"/>
      <c r="JW135" s="105"/>
      <c r="JX135" s="105"/>
      <c r="JY135" s="105"/>
      <c r="JZ135" s="105"/>
      <c r="KA135" s="105"/>
      <c r="KB135" s="105"/>
      <c r="KC135" s="105"/>
      <c r="KD135" s="105"/>
      <c r="KE135" s="105"/>
      <c r="KF135" s="105"/>
      <c r="KG135" s="105"/>
      <c r="KH135" s="105"/>
      <c r="KI135" s="105"/>
      <c r="KJ135" s="105"/>
      <c r="KK135" s="105"/>
      <c r="KL135" s="105"/>
      <c r="KM135" s="105"/>
      <c r="KN135" s="105"/>
      <c r="KO135" s="105"/>
      <c r="KP135" s="105"/>
      <c r="KQ135" s="105"/>
      <c r="KR135" s="105"/>
      <c r="KS135" s="105"/>
      <c r="KT135" s="105"/>
      <c r="KU135" s="105"/>
      <c r="KV135" s="105"/>
      <c r="KW135" s="105"/>
      <c r="KX135" s="105"/>
      <c r="KY135" s="105"/>
      <c r="KZ135" s="105"/>
      <c r="LA135" s="105"/>
      <c r="LB135" s="105"/>
      <c r="LC135" s="105"/>
      <c r="LD135" s="105"/>
      <c r="LE135" s="105"/>
      <c r="LF135" s="105"/>
      <c r="LG135" s="105"/>
      <c r="LH135" s="105"/>
      <c r="LI135" s="105"/>
      <c r="LJ135" s="105"/>
      <c r="LK135" s="105"/>
      <c r="LL135" s="105"/>
      <c r="LM135" s="105"/>
      <c r="LN135" s="105"/>
      <c r="LO135" s="105"/>
      <c r="LP135" s="105"/>
      <c r="LQ135" s="105"/>
      <c r="LR135" s="105"/>
      <c r="LS135" s="105"/>
      <c r="LT135" s="105"/>
      <c r="LU135" s="105"/>
      <c r="LV135" s="105"/>
      <c r="LW135" s="105"/>
      <c r="LX135" s="105"/>
      <c r="LY135" s="105"/>
      <c r="LZ135" s="105"/>
      <c r="MA135" s="105"/>
      <c r="MB135" s="105"/>
      <c r="MC135" s="105"/>
      <c r="MD135" s="105"/>
      <c r="ME135" s="105"/>
      <c r="MF135" s="105"/>
      <c r="MG135" s="105"/>
      <c r="MH135" s="105"/>
      <c r="MI135" s="105"/>
      <c r="MJ135" s="105"/>
      <c r="MK135" s="105"/>
      <c r="ML135" s="105"/>
      <c r="MM135" s="105"/>
      <c r="MN135" s="105"/>
      <c r="MO135" s="105"/>
      <c r="MP135" s="105"/>
      <c r="MQ135" s="105"/>
      <c r="MR135" s="105"/>
      <c r="MS135" s="105"/>
      <c r="MT135" s="105"/>
      <c r="MU135" s="105"/>
      <c r="MV135" s="105"/>
      <c r="MW135" s="105"/>
      <c r="MX135" s="105"/>
      <c r="MY135" s="105"/>
      <c r="MZ135" s="105"/>
      <c r="NA135" s="105"/>
      <c r="NB135" s="105"/>
      <c r="NC135" s="105"/>
      <c r="ND135" s="105"/>
      <c r="NE135" s="105"/>
      <c r="NF135" s="105"/>
      <c r="NG135" s="105"/>
      <c r="NH135" s="105"/>
      <c r="NI135" s="105"/>
      <c r="NJ135" s="105"/>
      <c r="NK135" s="105"/>
      <c r="NL135" s="105"/>
      <c r="NM135" s="105"/>
      <c r="NN135" s="105"/>
      <c r="NO135" s="105"/>
      <c r="NP135" s="105"/>
      <c r="NQ135" s="105"/>
      <c r="NR135" s="105"/>
      <c r="NS135" s="105"/>
      <c r="NT135" s="105"/>
      <c r="NU135" s="105"/>
      <c r="NV135" s="105"/>
      <c r="NW135" s="105"/>
      <c r="NX135" s="105"/>
      <c r="NY135" s="105"/>
      <c r="NZ135" s="105"/>
      <c r="OA135" s="105"/>
      <c r="OB135" s="105"/>
      <c r="OC135" s="105"/>
      <c r="OD135" s="105"/>
      <c r="OE135" s="105"/>
      <c r="OF135" s="105"/>
      <c r="OG135" s="105"/>
      <c r="OH135" s="105"/>
      <c r="OI135" s="105"/>
      <c r="OJ135" s="105"/>
      <c r="OK135" s="105"/>
      <c r="OL135" s="105"/>
      <c r="OM135" s="105"/>
      <c r="ON135" s="105"/>
      <c r="OO135" s="105"/>
      <c r="OP135" s="105"/>
      <c r="OQ135" s="105"/>
      <c r="OR135" s="105"/>
      <c r="OS135" s="105"/>
      <c r="OT135" s="105"/>
      <c r="OU135" s="105"/>
      <c r="OV135" s="105"/>
      <c r="OW135" s="105"/>
      <c r="OX135" s="105"/>
      <c r="OY135" s="105"/>
      <c r="OZ135" s="105"/>
      <c r="PA135" s="105"/>
      <c r="PB135" s="105"/>
      <c r="PC135" s="105"/>
      <c r="PD135" s="105"/>
      <c r="PE135" s="105"/>
      <c r="PF135" s="105"/>
      <c r="PG135" s="105"/>
      <c r="PH135" s="105"/>
      <c r="PI135" s="105"/>
      <c r="PJ135" s="105"/>
      <c r="PK135" s="105"/>
      <c r="PL135" s="105"/>
      <c r="PM135" s="105"/>
      <c r="PN135" s="105"/>
      <c r="PO135" s="105"/>
      <c r="PP135" s="105"/>
      <c r="PQ135" s="105"/>
      <c r="PR135" s="105"/>
      <c r="PS135" s="105"/>
      <c r="PT135" s="105"/>
      <c r="PU135" s="105"/>
      <c r="PV135" s="105"/>
      <c r="PW135" s="105"/>
      <c r="PX135" s="105"/>
      <c r="PY135" s="105"/>
      <c r="PZ135" s="105"/>
      <c r="QA135" s="105"/>
      <c r="QB135" s="105"/>
      <c r="QC135" s="105"/>
      <c r="QD135" s="105"/>
      <c r="QE135" s="105"/>
      <c r="QF135" s="105"/>
      <c r="QG135" s="105"/>
      <c r="QH135" s="105"/>
      <c r="QI135" s="105"/>
      <c r="QJ135" s="105"/>
      <c r="QK135" s="105"/>
      <c r="QL135" s="105"/>
      <c r="QM135" s="105"/>
      <c r="QN135" s="105"/>
      <c r="QO135" s="105"/>
      <c r="QP135" s="105"/>
      <c r="QQ135" s="105"/>
      <c r="QR135" s="105"/>
      <c r="QS135" s="105"/>
      <c r="QT135" s="105"/>
      <c r="QU135" s="105"/>
      <c r="QV135" s="105"/>
      <c r="QW135" s="105"/>
      <c r="QX135" s="105"/>
      <c r="QY135" s="105"/>
      <c r="QZ135" s="105"/>
      <c r="RA135" s="105"/>
      <c r="RB135" s="105"/>
      <c r="RC135" s="105"/>
      <c r="RD135" s="105"/>
      <c r="RE135" s="105"/>
      <c r="RF135" s="105"/>
      <c r="RG135" s="105"/>
      <c r="RH135" s="105"/>
      <c r="RI135" s="105"/>
      <c r="RJ135" s="105"/>
      <c r="RK135" s="105"/>
      <c r="RL135" s="105"/>
      <c r="RM135" s="105"/>
      <c r="RN135" s="105"/>
      <c r="RO135" s="105"/>
      <c r="RP135" s="105"/>
      <c r="RQ135" s="105"/>
      <c r="RR135" s="105"/>
      <c r="RS135" s="105"/>
      <c r="RT135" s="105"/>
      <c r="RU135" s="105"/>
      <c r="RV135" s="105"/>
      <c r="RW135" s="105"/>
      <c r="RX135" s="105"/>
      <c r="RY135" s="105"/>
      <c r="RZ135" s="105"/>
      <c r="SA135" s="105"/>
      <c r="SB135" s="105"/>
      <c r="SC135" s="105"/>
      <c r="SD135" s="105"/>
      <c r="SE135" s="105"/>
      <c r="SF135" s="105"/>
      <c r="SG135" s="105"/>
      <c r="SH135" s="105"/>
      <c r="SI135" s="105"/>
      <c r="SJ135" s="105"/>
      <c r="SK135" s="105"/>
      <c r="SL135" s="105"/>
      <c r="SM135" s="105"/>
      <c r="SN135" s="105"/>
      <c r="SO135" s="105"/>
      <c r="SP135" s="105"/>
      <c r="SQ135" s="105"/>
      <c r="SR135" s="105"/>
      <c r="SS135" s="105"/>
      <c r="ST135" s="105"/>
      <c r="SU135" s="105"/>
      <c r="SV135" s="105"/>
      <c r="SW135" s="105"/>
      <c r="SX135" s="105"/>
      <c r="SY135" s="105"/>
      <c r="SZ135" s="105"/>
      <c r="TA135" s="105"/>
      <c r="TB135" s="105"/>
      <c r="TC135" s="105"/>
      <c r="TD135" s="105"/>
      <c r="TE135" s="105"/>
      <c r="TF135" s="105"/>
      <c r="TG135" s="105"/>
      <c r="TH135" s="105"/>
      <c r="TI135" s="105"/>
      <c r="TJ135" s="105"/>
      <c r="TK135" s="105"/>
      <c r="TL135" s="105"/>
      <c r="TM135" s="105"/>
      <c r="TN135" s="105"/>
      <c r="TO135" s="105"/>
      <c r="TP135" s="105"/>
      <c r="TQ135" s="105"/>
      <c r="TR135" s="105"/>
      <c r="TS135" s="105"/>
      <c r="TT135" s="105"/>
      <c r="TU135" s="105"/>
      <c r="TV135" s="105"/>
      <c r="TW135" s="105"/>
      <c r="TX135" s="105"/>
      <c r="TY135" s="105"/>
      <c r="TZ135" s="105"/>
      <c r="UA135" s="105"/>
      <c r="UB135" s="105"/>
      <c r="UC135" s="105"/>
      <c r="UD135" s="105"/>
      <c r="UE135" s="105"/>
      <c r="UF135" s="105"/>
      <c r="UG135" s="105"/>
      <c r="UH135" s="105"/>
      <c r="UI135" s="105"/>
      <c r="UJ135" s="105"/>
      <c r="UK135" s="105"/>
      <c r="UL135" s="105"/>
      <c r="UM135" s="105"/>
      <c r="UN135" s="105"/>
      <c r="UO135" s="105"/>
      <c r="UP135" s="105"/>
      <c r="UQ135" s="105"/>
      <c r="UR135" s="105"/>
      <c r="US135" s="105"/>
      <c r="UT135" s="105"/>
      <c r="UU135" s="105"/>
      <c r="UV135" s="105"/>
      <c r="UW135" s="105"/>
      <c r="UX135" s="105"/>
      <c r="UY135" s="105"/>
      <c r="UZ135" s="105"/>
      <c r="VA135" s="105"/>
      <c r="VB135" s="105"/>
      <c r="VC135" s="105"/>
      <c r="VD135" s="105"/>
      <c r="VE135" s="105"/>
      <c r="VF135" s="105"/>
      <c r="VG135" s="105"/>
      <c r="VH135" s="105"/>
      <c r="VI135" s="105"/>
      <c r="VJ135" s="105"/>
      <c r="VK135" s="105"/>
      <c r="VL135" s="105"/>
      <c r="VM135" s="105"/>
      <c r="VN135" s="105"/>
      <c r="VO135" s="105"/>
      <c r="VP135" s="105"/>
      <c r="VQ135" s="105"/>
      <c r="VR135" s="105"/>
      <c r="VS135" s="105"/>
      <c r="VT135" s="105"/>
      <c r="VU135" s="105"/>
      <c r="VV135" s="105"/>
      <c r="VW135" s="105"/>
      <c r="VX135" s="105"/>
      <c r="VY135" s="105"/>
      <c r="VZ135" s="105"/>
      <c r="WA135" s="105"/>
      <c r="WB135" s="105"/>
      <c r="WC135" s="105"/>
      <c r="WD135" s="105"/>
      <c r="WE135" s="105"/>
      <c r="WF135" s="105"/>
      <c r="WG135" s="105"/>
      <c r="WH135" s="105"/>
      <c r="WI135" s="105"/>
      <c r="WJ135" s="105"/>
      <c r="WK135" s="105"/>
      <c r="WL135" s="105"/>
      <c r="WM135" s="105"/>
      <c r="WN135" s="105"/>
      <c r="WO135" s="105"/>
      <c r="WP135" s="105"/>
      <c r="WQ135" s="105"/>
      <c r="WR135" s="105"/>
      <c r="WS135" s="105"/>
      <c r="WT135" s="105"/>
      <c r="WU135" s="105"/>
      <c r="WV135" s="105"/>
      <c r="WW135" s="105"/>
      <c r="WX135" s="105"/>
      <c r="WY135" s="105"/>
      <c r="WZ135" s="105"/>
      <c r="XA135" s="105"/>
      <c r="XB135" s="105"/>
      <c r="XC135" s="105"/>
      <c r="XD135" s="105"/>
      <c r="XE135" s="105"/>
      <c r="XF135" s="105"/>
      <c r="XG135" s="105"/>
      <c r="XH135" s="105"/>
      <c r="XI135" s="105"/>
      <c r="XJ135" s="105"/>
      <c r="XK135" s="105"/>
      <c r="XL135" s="105"/>
      <c r="XM135" s="105"/>
      <c r="XN135" s="105"/>
      <c r="XO135" s="105"/>
      <c r="XP135" s="105"/>
      <c r="XQ135" s="105"/>
      <c r="XR135" s="105"/>
      <c r="XS135" s="105"/>
      <c r="XT135" s="105"/>
      <c r="XU135" s="105"/>
      <c r="XV135" s="105"/>
      <c r="XW135" s="105"/>
      <c r="XX135" s="105"/>
      <c r="XY135" s="105"/>
      <c r="XZ135" s="105"/>
      <c r="YA135" s="105"/>
      <c r="YB135" s="105"/>
      <c r="YC135" s="105"/>
      <c r="YD135" s="105"/>
      <c r="YE135" s="105"/>
      <c r="YF135" s="105"/>
      <c r="YG135" s="105"/>
      <c r="YH135" s="105"/>
      <c r="YI135" s="105"/>
      <c r="YJ135" s="105"/>
      <c r="YK135" s="105"/>
      <c r="YL135" s="105"/>
      <c r="YM135" s="105"/>
      <c r="YN135" s="105"/>
      <c r="YO135" s="105"/>
      <c r="YP135" s="105"/>
      <c r="YQ135" s="105"/>
      <c r="YR135" s="105"/>
      <c r="YS135" s="105"/>
      <c r="YT135" s="105"/>
      <c r="YU135" s="105"/>
      <c r="YV135" s="105"/>
      <c r="YW135" s="105"/>
      <c r="YX135" s="105"/>
      <c r="YY135" s="105"/>
      <c r="YZ135" s="105"/>
      <c r="ZA135" s="105"/>
      <c r="ZB135" s="105"/>
      <c r="ZC135" s="105"/>
      <c r="ZD135" s="105"/>
      <c r="ZE135" s="105"/>
      <c r="ZF135" s="105"/>
      <c r="ZG135" s="105"/>
      <c r="ZH135" s="105"/>
      <c r="ZI135" s="105"/>
      <c r="ZJ135" s="105"/>
      <c r="ZK135" s="105"/>
      <c r="ZL135" s="105"/>
      <c r="ZM135" s="105"/>
      <c r="ZN135" s="105"/>
      <c r="ZO135" s="105"/>
      <c r="ZP135" s="105"/>
      <c r="ZQ135" s="105"/>
      <c r="ZR135" s="105"/>
      <c r="ZS135" s="105"/>
      <c r="ZT135" s="105"/>
      <c r="ZU135" s="105"/>
      <c r="ZV135" s="105"/>
      <c r="ZW135" s="105"/>
      <c r="ZX135" s="105"/>
      <c r="ZY135" s="105"/>
      <c r="ZZ135" s="105"/>
      <c r="AAA135" s="105"/>
      <c r="AAB135" s="105"/>
      <c r="AAC135" s="105"/>
      <c r="AAD135" s="105"/>
      <c r="AAE135" s="105"/>
      <c r="AAF135" s="105"/>
      <c r="AAG135" s="105"/>
      <c r="AAH135" s="105"/>
      <c r="AAI135" s="105"/>
      <c r="AAJ135" s="105"/>
      <c r="AAK135" s="105"/>
      <c r="AAL135" s="105"/>
      <c r="AAM135" s="105"/>
      <c r="AAN135" s="105"/>
      <c r="AAO135" s="105"/>
      <c r="AAP135" s="105"/>
      <c r="AAQ135" s="105"/>
      <c r="AAR135" s="105"/>
      <c r="AAS135" s="105"/>
      <c r="AAT135" s="105"/>
      <c r="AAU135" s="105"/>
      <c r="AAV135" s="105"/>
      <c r="AAW135" s="105"/>
      <c r="AAX135" s="105"/>
      <c r="AAY135" s="105"/>
      <c r="AAZ135" s="105"/>
      <c r="ABA135" s="105"/>
      <c r="ABB135" s="105"/>
      <c r="ABC135" s="105"/>
      <c r="ABD135" s="105"/>
      <c r="ABE135" s="105"/>
      <c r="ABF135" s="105"/>
      <c r="ABG135" s="105"/>
      <c r="ABH135" s="105"/>
      <c r="ABI135" s="105"/>
      <c r="ABJ135" s="105"/>
      <c r="ABK135" s="105"/>
      <c r="ABL135" s="105"/>
      <c r="ABM135" s="105"/>
      <c r="ABN135" s="105"/>
      <c r="ABO135" s="105"/>
      <c r="ABP135" s="105"/>
      <c r="ABQ135" s="105"/>
      <c r="ABR135" s="105"/>
      <c r="ABS135" s="105"/>
      <c r="ABT135" s="105"/>
      <c r="ABU135" s="105"/>
      <c r="ABV135" s="105"/>
      <c r="ABW135" s="105"/>
      <c r="ABX135" s="105"/>
      <c r="ABY135" s="105"/>
      <c r="ABZ135" s="105"/>
      <c r="ACA135" s="105"/>
      <c r="ACB135" s="105"/>
      <c r="ACC135" s="105"/>
      <c r="ACD135" s="105"/>
      <c r="ACE135" s="105"/>
      <c r="ACF135" s="105"/>
      <c r="ACG135" s="105"/>
      <c r="ACH135" s="105"/>
      <c r="ACI135" s="105"/>
      <c r="ACJ135" s="105"/>
      <c r="ACK135" s="105"/>
      <c r="ACL135" s="105"/>
      <c r="ACM135" s="105"/>
      <c r="ACN135" s="105"/>
      <c r="ACO135" s="105"/>
      <c r="ACP135" s="105"/>
      <c r="ACQ135" s="105"/>
      <c r="ACR135" s="105"/>
      <c r="ACS135" s="105"/>
      <c r="ACT135" s="105"/>
      <c r="ACU135" s="105"/>
      <c r="ACV135" s="105"/>
      <c r="ACW135" s="105"/>
      <c r="ACX135" s="105"/>
      <c r="ACY135" s="105"/>
      <c r="ACZ135" s="105"/>
      <c r="ADA135" s="105"/>
      <c r="ADB135" s="105"/>
      <c r="ADC135" s="105"/>
      <c r="ADD135" s="105"/>
      <c r="ADE135" s="105"/>
      <c r="ADF135" s="105"/>
      <c r="ADG135" s="105"/>
      <c r="ADH135" s="105"/>
      <c r="ADI135" s="105"/>
      <c r="ADJ135" s="105"/>
      <c r="ADK135" s="105"/>
      <c r="ADL135" s="105"/>
      <c r="ADM135" s="105"/>
      <c r="ADN135" s="105"/>
      <c r="ADO135" s="105"/>
      <c r="ADP135" s="105"/>
      <c r="ADQ135" s="105"/>
      <c r="ADR135" s="105"/>
      <c r="ADS135" s="105"/>
      <c r="ADT135" s="105"/>
      <c r="ADU135" s="105"/>
      <c r="ADV135" s="105"/>
      <c r="ADW135" s="105"/>
      <c r="ADX135" s="105"/>
      <c r="ADY135" s="105"/>
      <c r="ADZ135" s="105"/>
      <c r="AEA135" s="105"/>
      <c r="AEB135" s="105"/>
      <c r="AEC135" s="105"/>
      <c r="AED135" s="105"/>
      <c r="AEE135" s="105"/>
      <c r="AEF135" s="105"/>
      <c r="AEG135" s="105"/>
      <c r="AEH135" s="105"/>
      <c r="AEI135" s="105"/>
      <c r="AEJ135" s="105"/>
      <c r="AEK135" s="105"/>
      <c r="AEL135" s="105"/>
      <c r="AEM135" s="105"/>
      <c r="AEN135" s="105"/>
      <c r="AEO135" s="105"/>
      <c r="AEP135" s="105"/>
      <c r="AEQ135" s="105"/>
      <c r="AER135" s="105"/>
      <c r="AES135" s="105"/>
      <c r="AET135" s="105"/>
      <c r="AEU135" s="105"/>
      <c r="AEV135" s="105"/>
      <c r="AEW135" s="105"/>
      <c r="AEX135" s="105"/>
      <c r="AEY135" s="105"/>
      <c r="AEZ135" s="105"/>
      <c r="AFA135" s="105"/>
      <c r="AFB135" s="105"/>
      <c r="AFC135" s="105"/>
      <c r="AFD135" s="105"/>
      <c r="AFE135" s="105"/>
      <c r="AFF135" s="105"/>
      <c r="AFG135" s="105"/>
      <c r="AFH135" s="105"/>
      <c r="AFI135" s="105"/>
      <c r="AFJ135" s="105"/>
      <c r="AFK135" s="105"/>
      <c r="AFL135" s="105"/>
      <c r="AFM135" s="105"/>
      <c r="AFN135" s="105"/>
      <c r="AFO135" s="105"/>
      <c r="AFP135" s="105"/>
      <c r="AFQ135" s="105"/>
      <c r="AFR135" s="105"/>
      <c r="AFS135" s="105"/>
      <c r="AFT135" s="105"/>
      <c r="AFU135" s="105"/>
      <c r="AFV135" s="105"/>
      <c r="AFW135" s="105"/>
      <c r="AFX135" s="105"/>
      <c r="AFY135" s="105"/>
      <c r="AFZ135" s="105"/>
      <c r="AGA135" s="105"/>
      <c r="AGB135" s="105"/>
      <c r="AGC135" s="105"/>
      <c r="AGD135" s="105"/>
      <c r="AGE135" s="105"/>
      <c r="AGF135" s="105"/>
      <c r="AGG135" s="105"/>
      <c r="AGH135" s="105"/>
      <c r="AGI135" s="105"/>
      <c r="AGJ135" s="105"/>
      <c r="AGK135" s="105"/>
      <c r="AGL135" s="105"/>
      <c r="AGM135" s="105"/>
      <c r="AGN135" s="105"/>
      <c r="AGO135" s="105"/>
      <c r="AGP135" s="105"/>
      <c r="AGQ135" s="105"/>
      <c r="AGR135" s="105"/>
      <c r="AGS135" s="105"/>
      <c r="AGT135" s="105"/>
      <c r="AGU135" s="105"/>
      <c r="AGV135" s="105"/>
      <c r="AGW135" s="105"/>
      <c r="AGX135" s="105"/>
      <c r="AGY135" s="105"/>
      <c r="AGZ135" s="105"/>
      <c r="AHA135" s="105"/>
      <c r="AHB135" s="105"/>
      <c r="AHC135" s="105"/>
      <c r="AHD135" s="105"/>
      <c r="AHE135" s="105"/>
      <c r="AHF135" s="105"/>
      <c r="AHG135" s="105"/>
      <c r="AHH135" s="105"/>
      <c r="AHI135" s="105"/>
      <c r="AHJ135" s="105"/>
      <c r="AHK135" s="105"/>
      <c r="AHL135" s="105"/>
      <c r="AHM135" s="105"/>
      <c r="AHN135" s="105"/>
      <c r="AHO135" s="105"/>
      <c r="AHP135" s="105"/>
      <c r="AHQ135" s="105"/>
      <c r="AHR135" s="105"/>
      <c r="AHS135" s="105"/>
      <c r="AHT135" s="105"/>
      <c r="AHU135" s="105"/>
      <c r="AHV135" s="105"/>
      <c r="AHW135" s="105"/>
      <c r="AHX135" s="105"/>
      <c r="AHY135" s="105"/>
      <c r="AHZ135" s="105"/>
      <c r="AIA135" s="105"/>
      <c r="AIB135" s="105"/>
      <c r="AIC135" s="105"/>
      <c r="AID135" s="105"/>
      <c r="AIE135" s="105"/>
      <c r="AIF135" s="105"/>
      <c r="AIG135" s="105"/>
      <c r="AIH135" s="105"/>
      <c r="AII135" s="105"/>
      <c r="AIJ135" s="105"/>
      <c r="AIK135" s="105"/>
      <c r="AIL135" s="105"/>
      <c r="AIM135" s="105"/>
      <c r="AIN135" s="105"/>
      <c r="AIO135" s="105"/>
      <c r="AIP135" s="105"/>
      <c r="AIQ135" s="105"/>
      <c r="AIR135" s="105"/>
      <c r="AIS135" s="105"/>
      <c r="AIT135" s="105"/>
      <c r="AIU135" s="105"/>
      <c r="AIV135" s="105"/>
      <c r="AIW135" s="105"/>
      <c r="AIX135" s="105"/>
      <c r="AIY135" s="105"/>
      <c r="AIZ135" s="105"/>
      <c r="AJA135" s="105"/>
      <c r="AJB135" s="105"/>
      <c r="AJC135" s="105"/>
      <c r="AJD135" s="105"/>
      <c r="AJE135" s="105"/>
      <c r="AJF135" s="105"/>
      <c r="AJG135" s="105"/>
      <c r="AJH135" s="105"/>
      <c r="AJI135" s="105"/>
      <c r="AJJ135" s="105"/>
      <c r="AJK135" s="105"/>
      <c r="AJL135" s="105"/>
      <c r="AJM135" s="105"/>
      <c r="AJN135" s="105"/>
      <c r="AJO135" s="105"/>
      <c r="AJP135" s="105"/>
      <c r="AJQ135" s="105"/>
      <c r="AJR135" s="105"/>
      <c r="AJS135" s="105"/>
      <c r="AJT135" s="105"/>
      <c r="AJU135" s="105"/>
      <c r="AJV135" s="105"/>
      <c r="AJW135" s="105"/>
      <c r="AJX135" s="105"/>
      <c r="AJY135" s="105"/>
      <c r="AJZ135" s="105"/>
      <c r="AKA135" s="105"/>
      <c r="AKB135" s="105"/>
      <c r="AKC135" s="105"/>
      <c r="AKD135" s="105"/>
      <c r="AKE135" s="105"/>
      <c r="AKF135" s="105"/>
      <c r="AKG135" s="105"/>
      <c r="AKH135" s="105"/>
      <c r="AKI135" s="105"/>
      <c r="AKJ135" s="105"/>
      <c r="AKK135" s="105"/>
      <c r="AKL135" s="105"/>
      <c r="AKM135" s="105"/>
      <c r="AKN135" s="105"/>
      <c r="AKO135" s="105"/>
      <c r="AKP135" s="105"/>
      <c r="AKQ135" s="105"/>
      <c r="AKR135" s="105"/>
      <c r="AKS135" s="105"/>
      <c r="AKT135" s="105"/>
      <c r="AKU135" s="105"/>
      <c r="AKV135" s="105"/>
      <c r="AKW135" s="105"/>
      <c r="AKX135" s="105"/>
      <c r="AKY135" s="105"/>
      <c r="AKZ135" s="105"/>
      <c r="ALA135" s="105"/>
      <c r="ALB135" s="105"/>
      <c r="ALC135" s="105"/>
      <c r="ALD135" s="105"/>
      <c r="ALE135" s="105"/>
      <c r="ALF135" s="105"/>
      <c r="ALG135" s="105"/>
      <c r="ALH135" s="105"/>
      <c r="ALI135" s="105"/>
      <c r="ALJ135" s="105"/>
      <c r="ALK135" s="105"/>
      <c r="ALL135" s="105"/>
      <c r="ALM135" s="105"/>
      <c r="ALN135" s="105"/>
      <c r="ALO135" s="105"/>
      <c r="ALP135" s="105"/>
      <c r="ALQ135" s="105"/>
      <c r="ALR135" s="105"/>
      <c r="ALS135" s="105"/>
      <c r="ALT135" s="105"/>
      <c r="ALU135" s="105"/>
      <c r="ALV135" s="105"/>
      <c r="ALW135" s="105"/>
      <c r="ALX135" s="105"/>
      <c r="ALY135" s="105"/>
      <c r="ALZ135" s="105"/>
      <c r="AMA135" s="105"/>
      <c r="AMB135" s="105"/>
      <c r="AMC135" s="105"/>
      <c r="AMD135" s="105"/>
      <c r="AME135" s="105"/>
      <c r="AMF135" s="105"/>
      <c r="AMG135" s="105"/>
      <c r="AMH135" s="105"/>
      <c r="AMI135" s="105"/>
      <c r="AMJ135" s="105"/>
      <c r="AMK135" s="105"/>
      <c r="AML135" s="105"/>
      <c r="AMM135" s="105"/>
      <c r="AMN135" s="105"/>
      <c r="AMO135" s="105"/>
      <c r="AMP135" s="105"/>
      <c r="AMQ135" s="105"/>
      <c r="AMR135" s="105"/>
      <c r="AMS135" s="105"/>
      <c r="AMT135" s="105"/>
      <c r="AMU135" s="105"/>
      <c r="AMV135" s="105"/>
      <c r="AMW135" s="105"/>
      <c r="AMX135" s="105"/>
      <c r="AMY135" s="105"/>
      <c r="AMZ135" s="105"/>
      <c r="ANA135" s="105"/>
      <c r="ANB135" s="105"/>
      <c r="ANC135" s="105"/>
      <c r="AND135" s="105"/>
      <c r="ANE135" s="105"/>
      <c r="ANF135" s="105"/>
      <c r="ANG135" s="105"/>
      <c r="ANH135" s="105"/>
      <c r="ANI135" s="105"/>
      <c r="ANJ135" s="105"/>
      <c r="ANK135" s="105"/>
      <c r="ANL135" s="105"/>
      <c r="ANM135" s="105"/>
      <c r="ANN135" s="105"/>
      <c r="ANO135" s="105"/>
      <c r="ANP135" s="105"/>
      <c r="ANQ135" s="105"/>
      <c r="ANR135" s="105"/>
      <c r="ANS135" s="105"/>
      <c r="ANT135" s="105"/>
      <c r="ANU135" s="105"/>
      <c r="ANV135" s="105"/>
      <c r="ANW135" s="105"/>
      <c r="ANX135" s="105"/>
      <c r="ANY135" s="105"/>
      <c r="ANZ135" s="105"/>
      <c r="AOA135" s="105"/>
      <c r="AOB135" s="105"/>
      <c r="AOC135" s="105"/>
      <c r="AOD135" s="105"/>
      <c r="AOE135" s="105"/>
      <c r="AOF135" s="105"/>
      <c r="AOG135" s="105"/>
      <c r="AOH135" s="105"/>
      <c r="AOI135" s="105"/>
      <c r="AOJ135" s="105"/>
      <c r="AOK135" s="105"/>
      <c r="AOL135" s="105"/>
      <c r="AOM135" s="105"/>
      <c r="AON135" s="105"/>
      <c r="AOO135" s="105"/>
      <c r="AOP135" s="105"/>
      <c r="AOQ135" s="105"/>
      <c r="AOR135" s="105"/>
      <c r="AOS135" s="105"/>
      <c r="AOT135" s="105"/>
      <c r="AOU135" s="105"/>
      <c r="AOV135" s="105"/>
      <c r="AOW135" s="105"/>
      <c r="AOX135" s="105"/>
      <c r="AOY135" s="105"/>
      <c r="AOZ135" s="105"/>
      <c r="APA135" s="105"/>
      <c r="APB135" s="105"/>
      <c r="APC135" s="105"/>
      <c r="APD135" s="105"/>
      <c r="APE135" s="105"/>
      <c r="APF135" s="105"/>
      <c r="APG135" s="105"/>
      <c r="APH135" s="105"/>
      <c r="API135" s="105"/>
      <c r="APJ135" s="105"/>
      <c r="APK135" s="105"/>
      <c r="APL135" s="105"/>
      <c r="APM135" s="105"/>
      <c r="APN135" s="105"/>
      <c r="APO135" s="105"/>
      <c r="APP135" s="105"/>
      <c r="APQ135" s="105"/>
      <c r="APR135" s="105"/>
      <c r="APS135" s="105"/>
      <c r="APT135" s="105"/>
      <c r="APU135" s="105"/>
      <c r="APV135" s="105"/>
      <c r="APW135" s="105"/>
      <c r="APX135" s="105"/>
      <c r="APY135" s="105"/>
      <c r="APZ135" s="105"/>
      <c r="AQA135" s="105"/>
      <c r="AQB135" s="105"/>
      <c r="AQC135" s="105"/>
      <c r="AQD135" s="105"/>
      <c r="AQE135" s="105"/>
      <c r="AQF135" s="105"/>
      <c r="AQG135" s="105"/>
      <c r="AQH135" s="105"/>
      <c r="AQI135" s="105"/>
      <c r="AQJ135" s="105"/>
      <c r="AQK135" s="105"/>
      <c r="AQL135" s="105"/>
      <c r="AQM135" s="105"/>
      <c r="AQN135" s="105"/>
      <c r="AQO135" s="105"/>
      <c r="AQP135" s="105"/>
      <c r="AQQ135" s="105"/>
      <c r="AQR135" s="105"/>
      <c r="AQS135" s="105"/>
      <c r="AQT135" s="105"/>
      <c r="AQU135" s="105"/>
      <c r="AQV135" s="105"/>
      <c r="AQW135" s="105"/>
      <c r="AQX135" s="105"/>
      <c r="AQY135" s="105"/>
      <c r="AQZ135" s="105"/>
      <c r="ARA135" s="105"/>
      <c r="ARB135" s="105"/>
      <c r="ARC135" s="105"/>
      <c r="ARD135" s="105"/>
      <c r="ARE135" s="105"/>
      <c r="ARF135" s="105"/>
      <c r="ARG135" s="105"/>
      <c r="ARH135" s="105"/>
      <c r="ARI135" s="105"/>
      <c r="ARJ135" s="105"/>
      <c r="ARK135" s="105"/>
      <c r="ARL135" s="105"/>
      <c r="ARM135" s="105"/>
      <c r="ARN135" s="105"/>
      <c r="ARO135" s="105"/>
      <c r="ARP135" s="105"/>
      <c r="ARQ135" s="105"/>
      <c r="ARR135" s="105"/>
      <c r="ARS135" s="105"/>
      <c r="ART135" s="105"/>
      <c r="ARU135" s="105"/>
      <c r="ARV135" s="105"/>
      <c r="ARW135" s="105"/>
      <c r="ARX135" s="105"/>
      <c r="ARY135" s="105"/>
      <c r="ARZ135" s="105"/>
      <c r="ASA135" s="105"/>
      <c r="ASB135" s="105"/>
      <c r="ASC135" s="105"/>
      <c r="ASD135" s="105"/>
      <c r="ASE135" s="105"/>
      <c r="ASF135" s="105"/>
      <c r="ASG135" s="105"/>
      <c r="ASH135" s="105"/>
      <c r="ASI135" s="105"/>
      <c r="ASJ135" s="105"/>
      <c r="ASK135" s="105"/>
      <c r="ASL135" s="105"/>
      <c r="ASM135" s="105"/>
      <c r="ASN135" s="105"/>
      <c r="ASO135" s="105"/>
      <c r="ASP135" s="105"/>
      <c r="ASQ135" s="105"/>
      <c r="ASR135" s="105"/>
      <c r="ASS135" s="105"/>
      <c r="AST135" s="105"/>
      <c r="ASU135" s="105"/>
      <c r="ASV135" s="105"/>
      <c r="ASW135" s="105"/>
      <c r="ASX135" s="105"/>
      <c r="ASY135" s="105"/>
      <c r="ASZ135" s="105"/>
      <c r="ATA135" s="105"/>
      <c r="ATB135" s="105"/>
      <c r="ATC135" s="105"/>
      <c r="ATD135" s="105"/>
      <c r="ATE135" s="105"/>
      <c r="ATF135" s="105"/>
      <c r="ATG135" s="105"/>
      <c r="ATH135" s="105"/>
      <c r="ATI135" s="105"/>
      <c r="ATJ135" s="105"/>
      <c r="ATK135" s="105"/>
      <c r="ATL135" s="105"/>
      <c r="ATM135" s="105"/>
      <c r="ATN135" s="105"/>
      <c r="ATO135" s="105"/>
      <c r="ATP135" s="105"/>
      <c r="ATQ135" s="105"/>
      <c r="ATR135" s="105"/>
      <c r="ATS135" s="105"/>
      <c r="ATT135" s="105"/>
      <c r="ATU135" s="105"/>
      <c r="ATV135" s="105"/>
      <c r="ATW135" s="105"/>
      <c r="ATX135" s="105"/>
      <c r="ATY135" s="105"/>
      <c r="ATZ135" s="105"/>
      <c r="AUA135" s="105"/>
      <c r="AUB135" s="105"/>
      <c r="AUC135" s="105"/>
      <c r="AUD135" s="105"/>
      <c r="AUE135" s="105"/>
      <c r="AUF135" s="105"/>
      <c r="AUG135" s="105"/>
      <c r="AUH135" s="105"/>
      <c r="AUI135" s="105"/>
      <c r="AUJ135" s="105"/>
      <c r="AUK135" s="105"/>
      <c r="AUL135" s="105"/>
      <c r="AUM135" s="105"/>
      <c r="AUN135" s="105"/>
      <c r="AUO135" s="105"/>
      <c r="AUP135" s="105"/>
      <c r="AUQ135" s="105"/>
      <c r="AUR135" s="105"/>
      <c r="AUS135" s="105"/>
      <c r="AUT135" s="105"/>
      <c r="AUU135" s="105"/>
      <c r="AUV135" s="105"/>
      <c r="AUW135" s="105"/>
      <c r="AUX135" s="105"/>
      <c r="AUY135" s="105"/>
      <c r="AUZ135" s="105"/>
      <c r="AVA135" s="105"/>
      <c r="AVB135" s="105"/>
      <c r="AVC135" s="105"/>
      <c r="AVD135" s="105"/>
      <c r="AVE135" s="105"/>
      <c r="AVF135" s="105"/>
      <c r="AVG135" s="105"/>
      <c r="AVH135" s="105"/>
      <c r="AVI135" s="105"/>
      <c r="AVJ135" s="105"/>
      <c r="AVK135" s="105"/>
      <c r="AVL135" s="105"/>
      <c r="AVM135" s="105"/>
      <c r="AVN135" s="105"/>
      <c r="AVO135" s="105"/>
      <c r="AVP135" s="105"/>
      <c r="AVQ135" s="105"/>
      <c r="AVR135" s="105"/>
      <c r="AVS135" s="105"/>
      <c r="AVT135" s="105"/>
      <c r="AVU135" s="105"/>
      <c r="AVV135" s="105"/>
      <c r="AVW135" s="105"/>
      <c r="AVX135" s="105"/>
      <c r="AVY135" s="105"/>
      <c r="AVZ135" s="105"/>
      <c r="AWA135" s="105"/>
      <c r="AWB135" s="105"/>
      <c r="AWC135" s="105"/>
      <c r="AWD135" s="105"/>
      <c r="AWE135" s="105"/>
      <c r="AWF135" s="105"/>
      <c r="AWG135" s="105"/>
      <c r="AWH135" s="105"/>
      <c r="AWI135" s="105"/>
      <c r="AWJ135" s="105"/>
      <c r="AWK135" s="105"/>
      <c r="AWL135" s="105"/>
      <c r="AWM135" s="105"/>
      <c r="AWN135" s="105"/>
      <c r="AWO135" s="105"/>
      <c r="AWP135" s="105"/>
      <c r="AWQ135" s="105"/>
      <c r="AWR135" s="105"/>
      <c r="AWS135" s="105"/>
      <c r="AWT135" s="105"/>
      <c r="AWU135" s="105"/>
      <c r="AWV135" s="105"/>
      <c r="AWW135" s="105"/>
      <c r="AWX135" s="105"/>
      <c r="AWY135" s="105"/>
      <c r="AWZ135" s="105"/>
      <c r="AXA135" s="105"/>
      <c r="AXB135" s="105"/>
      <c r="AXC135" s="105"/>
      <c r="AXD135" s="105"/>
      <c r="AXE135" s="105"/>
      <c r="AXF135" s="105"/>
      <c r="AXG135" s="105"/>
      <c r="AXH135" s="105"/>
      <c r="AXI135" s="105"/>
      <c r="AXJ135" s="105"/>
      <c r="AXK135" s="105"/>
      <c r="AXL135" s="105"/>
      <c r="AXM135" s="105"/>
      <c r="AXN135" s="105"/>
      <c r="AXO135" s="105"/>
      <c r="AXP135" s="105"/>
      <c r="AXQ135" s="105"/>
      <c r="AXR135" s="105"/>
      <c r="AXS135" s="105"/>
      <c r="AXT135" s="105"/>
      <c r="AXU135" s="105"/>
      <c r="AXV135" s="105"/>
      <c r="AXW135" s="105"/>
      <c r="AXX135" s="105"/>
      <c r="AXY135" s="105"/>
      <c r="AXZ135" s="105"/>
      <c r="AYA135" s="105"/>
      <c r="AYB135" s="105"/>
      <c r="AYC135" s="105"/>
      <c r="AYD135" s="105"/>
      <c r="AYE135" s="105"/>
      <c r="AYF135" s="105"/>
      <c r="AYG135" s="105"/>
      <c r="AYH135" s="105"/>
      <c r="AYI135" s="105"/>
      <c r="AYJ135" s="105"/>
      <c r="AYK135" s="105"/>
      <c r="AYL135" s="105"/>
      <c r="AYM135" s="105"/>
      <c r="AYN135" s="105"/>
      <c r="AYO135" s="105"/>
      <c r="AYP135" s="105"/>
      <c r="AYQ135" s="105"/>
      <c r="AYR135" s="105"/>
      <c r="AYS135" s="105"/>
      <c r="AYT135" s="105"/>
      <c r="AYU135" s="105"/>
      <c r="AYV135" s="105"/>
      <c r="AYW135" s="105"/>
      <c r="AYX135" s="105"/>
      <c r="AYY135" s="105"/>
      <c r="AYZ135" s="105"/>
      <c r="AZA135" s="105"/>
      <c r="AZB135" s="105"/>
      <c r="AZC135" s="105"/>
      <c r="AZD135" s="105"/>
      <c r="AZE135" s="105"/>
      <c r="AZF135" s="105"/>
      <c r="AZG135" s="105"/>
      <c r="AZH135" s="105"/>
      <c r="AZI135" s="105"/>
      <c r="AZJ135" s="105"/>
      <c r="AZK135" s="105"/>
      <c r="AZL135" s="105"/>
      <c r="AZM135" s="105"/>
      <c r="AZN135" s="105"/>
      <c r="AZO135" s="105"/>
      <c r="AZP135" s="105"/>
      <c r="AZQ135" s="105"/>
      <c r="AZR135" s="105"/>
      <c r="AZS135" s="105"/>
      <c r="AZT135" s="105"/>
      <c r="AZU135" s="105"/>
      <c r="AZV135" s="105"/>
      <c r="AZW135" s="105"/>
      <c r="AZX135" s="105"/>
      <c r="AZY135" s="105"/>
      <c r="AZZ135" s="105"/>
      <c r="BAA135" s="105"/>
      <c r="BAB135" s="105"/>
      <c r="BAC135" s="105"/>
      <c r="BAD135" s="105"/>
      <c r="BAE135" s="105"/>
      <c r="BAF135" s="105"/>
      <c r="BAG135" s="105"/>
      <c r="BAH135" s="105"/>
      <c r="BAI135" s="105"/>
      <c r="BAJ135" s="105"/>
      <c r="BAK135" s="105"/>
      <c r="BAL135" s="105"/>
      <c r="BAM135" s="105"/>
      <c r="BAN135" s="105"/>
      <c r="BAO135" s="105"/>
      <c r="BAP135" s="105"/>
      <c r="BAQ135" s="105"/>
      <c r="BAR135" s="105"/>
      <c r="BAS135" s="105"/>
      <c r="BAT135" s="105"/>
      <c r="BAU135" s="105"/>
      <c r="BAV135" s="105"/>
      <c r="BAW135" s="105"/>
      <c r="BAX135" s="105"/>
      <c r="BAY135" s="105"/>
      <c r="BAZ135" s="105"/>
      <c r="BBA135" s="105"/>
      <c r="BBB135" s="105"/>
      <c r="BBC135" s="105"/>
      <c r="BBD135" s="105"/>
      <c r="BBE135" s="105"/>
      <c r="BBF135" s="105"/>
      <c r="BBG135" s="105"/>
      <c r="BBH135" s="105"/>
      <c r="BBI135" s="105"/>
      <c r="BBJ135" s="105"/>
      <c r="BBK135" s="105"/>
      <c r="BBL135" s="105"/>
      <c r="BBM135" s="105"/>
      <c r="BBN135" s="105"/>
      <c r="BBO135" s="105"/>
      <c r="BBP135" s="105"/>
      <c r="BBQ135" s="105"/>
      <c r="BBR135" s="105"/>
      <c r="BBS135" s="105"/>
      <c r="BBT135" s="105"/>
      <c r="BBU135" s="105"/>
      <c r="BBV135" s="105"/>
      <c r="BBW135" s="105"/>
      <c r="BBX135" s="105"/>
      <c r="BBY135" s="105"/>
      <c r="BBZ135" s="105"/>
      <c r="BCA135" s="105"/>
      <c r="BCB135" s="105"/>
      <c r="BCC135" s="105"/>
      <c r="BCD135" s="105"/>
      <c r="BCE135" s="105"/>
      <c r="BCF135" s="105"/>
      <c r="BCG135" s="105"/>
      <c r="BCH135" s="105"/>
      <c r="BCI135" s="105"/>
      <c r="BCJ135" s="105"/>
      <c r="BCK135" s="105"/>
      <c r="BCL135" s="105"/>
      <c r="BCM135" s="105"/>
      <c r="BCN135" s="105"/>
      <c r="BCO135" s="105"/>
      <c r="BCP135" s="105"/>
      <c r="BCQ135" s="105"/>
      <c r="BCR135" s="105"/>
      <c r="BCS135" s="105"/>
      <c r="BCT135" s="105"/>
      <c r="BCU135" s="105"/>
      <c r="BCV135" s="105"/>
      <c r="BCW135" s="105"/>
      <c r="BCX135" s="105"/>
      <c r="BCY135" s="105"/>
      <c r="BCZ135" s="105"/>
      <c r="BDA135" s="105"/>
      <c r="BDB135" s="105"/>
      <c r="BDC135" s="105"/>
      <c r="BDD135" s="105"/>
      <c r="BDE135" s="105"/>
      <c r="BDF135" s="105"/>
      <c r="BDG135" s="105"/>
      <c r="BDH135" s="105"/>
      <c r="BDI135" s="105"/>
      <c r="BDJ135" s="105"/>
      <c r="BDK135" s="105"/>
      <c r="BDL135" s="105"/>
      <c r="BDM135" s="105"/>
      <c r="BDN135" s="105"/>
      <c r="BDO135" s="105"/>
      <c r="BDP135" s="105"/>
      <c r="BDQ135" s="105"/>
      <c r="BDR135" s="105"/>
      <c r="BDS135" s="105"/>
      <c r="BDT135" s="105"/>
      <c r="BDU135" s="105"/>
      <c r="BDV135" s="105"/>
      <c r="BDW135" s="105"/>
      <c r="BDX135" s="105"/>
      <c r="BDY135" s="105"/>
      <c r="BDZ135" s="105"/>
      <c r="BEA135" s="105"/>
      <c r="BEB135" s="105"/>
      <c r="BEC135" s="105"/>
      <c r="BED135" s="105"/>
      <c r="BEE135" s="105"/>
      <c r="BEF135" s="105"/>
      <c r="BEG135" s="105"/>
      <c r="BEH135" s="105"/>
      <c r="BEI135" s="105"/>
      <c r="BEJ135" s="105"/>
      <c r="BEK135" s="105"/>
      <c r="BEL135" s="105"/>
      <c r="BEM135" s="105"/>
      <c r="BEN135" s="105"/>
      <c r="BEO135" s="105"/>
      <c r="BEP135" s="105"/>
      <c r="BEQ135" s="105"/>
      <c r="BER135" s="105"/>
      <c r="BES135" s="105"/>
      <c r="BET135" s="105"/>
      <c r="BEU135" s="105"/>
      <c r="BEV135" s="105"/>
      <c r="BEW135" s="105"/>
      <c r="BEX135" s="105"/>
      <c r="BEY135" s="105"/>
      <c r="BEZ135" s="105"/>
      <c r="BFA135" s="105"/>
      <c r="BFB135" s="105"/>
      <c r="BFC135" s="105"/>
      <c r="BFD135" s="105"/>
      <c r="BFE135" s="105"/>
      <c r="BFF135" s="105"/>
      <c r="BFG135" s="105"/>
      <c r="BFH135" s="105"/>
      <c r="BFI135" s="105"/>
      <c r="BFJ135" s="105"/>
      <c r="BFK135" s="105"/>
      <c r="BFL135" s="105"/>
      <c r="BFM135" s="105"/>
      <c r="BFN135" s="105"/>
      <c r="BFO135" s="105"/>
      <c r="BFP135" s="105"/>
      <c r="BFQ135" s="105"/>
      <c r="BFR135" s="105"/>
      <c r="BFS135" s="105"/>
      <c r="BFT135" s="105"/>
      <c r="BFU135" s="105"/>
      <c r="BFV135" s="105"/>
      <c r="BFW135" s="105"/>
      <c r="BFX135" s="105"/>
      <c r="BFY135" s="105"/>
      <c r="BFZ135" s="105"/>
      <c r="BGA135" s="105"/>
      <c r="BGB135" s="105"/>
      <c r="BGC135" s="105"/>
      <c r="BGD135" s="105"/>
      <c r="BGE135" s="105"/>
      <c r="BGF135" s="105"/>
      <c r="BGG135" s="105"/>
      <c r="BGH135" s="105"/>
      <c r="BGI135" s="105"/>
      <c r="BGJ135" s="105"/>
      <c r="BGK135" s="105"/>
      <c r="BGL135" s="105"/>
      <c r="BGM135" s="105"/>
      <c r="BGN135" s="105"/>
      <c r="BGO135" s="105"/>
      <c r="BGP135" s="105"/>
      <c r="BGQ135" s="105"/>
      <c r="BGR135" s="105"/>
      <c r="BGS135" s="105"/>
      <c r="BGT135" s="105"/>
      <c r="BGU135" s="105"/>
      <c r="BGV135" s="105"/>
      <c r="BGW135" s="105"/>
      <c r="BGX135" s="105"/>
      <c r="BGY135" s="105"/>
      <c r="BGZ135" s="105"/>
      <c r="BHA135" s="105"/>
      <c r="BHB135" s="105"/>
      <c r="BHC135" s="105"/>
      <c r="BHD135" s="105"/>
      <c r="BHE135" s="105"/>
      <c r="BHF135" s="105"/>
      <c r="BHG135" s="105"/>
      <c r="BHH135" s="105"/>
      <c r="BHI135" s="105"/>
      <c r="BHJ135" s="105"/>
      <c r="BHK135" s="105"/>
      <c r="BHL135" s="105"/>
      <c r="BHM135" s="105"/>
      <c r="BHN135" s="105"/>
      <c r="BHO135" s="105"/>
      <c r="BHP135" s="105"/>
      <c r="BHQ135" s="105"/>
      <c r="BHR135" s="105"/>
      <c r="BHS135" s="105"/>
      <c r="BHT135" s="105"/>
      <c r="BHU135" s="105"/>
      <c r="BHV135" s="105"/>
      <c r="BHW135" s="105"/>
      <c r="BHX135" s="105"/>
      <c r="BHY135" s="105"/>
      <c r="BHZ135" s="105"/>
      <c r="BIA135" s="105"/>
      <c r="BIB135" s="105"/>
      <c r="BIC135" s="105"/>
      <c r="BID135" s="105"/>
      <c r="BIE135" s="105"/>
      <c r="BIF135" s="105"/>
      <c r="BIG135" s="105"/>
      <c r="BIH135" s="105"/>
      <c r="BII135" s="105"/>
      <c r="BIJ135" s="105"/>
      <c r="BIK135" s="105"/>
      <c r="BIL135" s="105"/>
      <c r="BIM135" s="105"/>
      <c r="BIN135" s="105"/>
      <c r="BIO135" s="105"/>
      <c r="BIP135" s="105"/>
      <c r="BIQ135" s="105"/>
      <c r="BIR135" s="105"/>
      <c r="BIS135" s="105"/>
      <c r="BIT135" s="105"/>
      <c r="BIU135" s="105"/>
      <c r="BIV135" s="105"/>
      <c r="BIW135" s="105"/>
      <c r="BIX135" s="105"/>
      <c r="BIY135" s="105"/>
      <c r="BIZ135" s="105"/>
      <c r="BJA135" s="105"/>
      <c r="BJB135" s="105"/>
      <c r="BJC135" s="105"/>
      <c r="BJD135" s="105"/>
      <c r="BJE135" s="105"/>
      <c r="BJF135" s="105"/>
      <c r="BJG135" s="105"/>
      <c r="BJH135" s="105"/>
      <c r="BJI135" s="105"/>
      <c r="BJJ135" s="105"/>
      <c r="BJK135" s="105"/>
      <c r="BJL135" s="105"/>
      <c r="BJM135" s="105"/>
      <c r="BJN135" s="105"/>
      <c r="BJO135" s="105"/>
      <c r="BJP135" s="105"/>
      <c r="BJQ135" s="105"/>
      <c r="BJR135" s="105"/>
      <c r="BJS135" s="105"/>
      <c r="BJT135" s="105"/>
      <c r="BJU135" s="105"/>
      <c r="BJV135" s="105"/>
      <c r="BJW135" s="105"/>
      <c r="BJX135" s="105"/>
      <c r="BJY135" s="105"/>
      <c r="BJZ135" s="105"/>
      <c r="BKA135" s="105"/>
      <c r="BKB135" s="105"/>
      <c r="BKC135" s="105"/>
      <c r="BKD135" s="105"/>
      <c r="BKE135" s="105"/>
      <c r="BKF135" s="105"/>
      <c r="BKG135" s="105"/>
      <c r="BKH135" s="105"/>
      <c r="BKI135" s="105"/>
      <c r="BKJ135" s="105"/>
      <c r="BKK135" s="105"/>
      <c r="BKL135" s="105"/>
      <c r="BKM135" s="105"/>
      <c r="BKN135" s="105"/>
      <c r="BKO135" s="105"/>
      <c r="BKP135" s="105"/>
      <c r="BKQ135" s="105"/>
      <c r="BKR135" s="105"/>
      <c r="BKS135" s="105"/>
      <c r="BKT135" s="105"/>
      <c r="BKU135" s="105"/>
      <c r="BKV135" s="105"/>
      <c r="BKW135" s="105"/>
      <c r="BKX135" s="105"/>
      <c r="BKY135" s="105"/>
      <c r="BKZ135" s="105"/>
      <c r="BLA135" s="105"/>
      <c r="BLB135" s="105"/>
      <c r="BLC135" s="105"/>
      <c r="BLD135" s="105"/>
      <c r="BLE135" s="105"/>
      <c r="BLF135" s="105"/>
      <c r="BLG135" s="105"/>
      <c r="BLH135" s="105"/>
      <c r="BLI135" s="105"/>
      <c r="BLJ135" s="105"/>
      <c r="BLK135" s="105"/>
      <c r="BLL135" s="105"/>
      <c r="BLM135" s="105"/>
      <c r="BLN135" s="105"/>
      <c r="BLO135" s="105"/>
      <c r="BLP135" s="105"/>
      <c r="BLQ135" s="105"/>
      <c r="BLR135" s="105"/>
      <c r="BLS135" s="105"/>
      <c r="BLT135" s="105"/>
      <c r="BLU135" s="105"/>
      <c r="BLV135" s="105"/>
      <c r="BLW135" s="105"/>
      <c r="BLX135" s="105"/>
      <c r="BLY135" s="105"/>
      <c r="BLZ135" s="105"/>
      <c r="BMA135" s="105"/>
      <c r="BMB135" s="105"/>
      <c r="BMC135" s="105"/>
      <c r="BMD135" s="105"/>
      <c r="BME135" s="105"/>
      <c r="BMF135" s="105"/>
      <c r="BMG135" s="105"/>
      <c r="BMH135" s="105"/>
      <c r="BMI135" s="105"/>
      <c r="BMJ135" s="105"/>
      <c r="BMK135" s="105"/>
      <c r="BML135" s="105"/>
      <c r="BMM135" s="105"/>
      <c r="BMN135" s="105"/>
      <c r="BMO135" s="105"/>
      <c r="BMP135" s="105"/>
      <c r="BMQ135" s="105"/>
      <c r="BMR135" s="105"/>
      <c r="BMS135" s="105"/>
      <c r="BMT135" s="105"/>
      <c r="BMU135" s="105"/>
      <c r="BMV135" s="105"/>
      <c r="BMW135" s="105"/>
      <c r="BMX135" s="105"/>
      <c r="BMY135" s="105"/>
      <c r="BMZ135" s="105"/>
      <c r="BNA135" s="105"/>
      <c r="BNB135" s="105"/>
      <c r="BNC135" s="105"/>
      <c r="BND135" s="105"/>
      <c r="BNE135" s="105"/>
      <c r="BNF135" s="105"/>
      <c r="BNG135" s="105"/>
      <c r="BNH135" s="105"/>
      <c r="BNI135" s="105"/>
      <c r="BNJ135" s="105"/>
      <c r="BNK135" s="105"/>
      <c r="BNL135" s="105"/>
      <c r="BNM135" s="105"/>
      <c r="BNN135" s="105"/>
      <c r="BNO135" s="105"/>
      <c r="BNP135" s="105"/>
      <c r="BNQ135" s="105"/>
      <c r="BNR135" s="105"/>
      <c r="BNS135" s="105"/>
      <c r="BNT135" s="105"/>
      <c r="BNU135" s="105"/>
      <c r="BNV135" s="105"/>
      <c r="BNW135" s="105"/>
      <c r="BNX135" s="105"/>
      <c r="BNY135" s="105"/>
      <c r="BNZ135" s="105"/>
      <c r="BOA135" s="105"/>
      <c r="BOB135" s="105"/>
      <c r="BOC135" s="105"/>
      <c r="BOD135" s="105"/>
      <c r="BOE135" s="105"/>
      <c r="BOF135" s="105"/>
      <c r="BOG135" s="105"/>
      <c r="BOH135" s="105"/>
      <c r="BOI135" s="105"/>
      <c r="BOJ135" s="105"/>
      <c r="BOK135" s="105"/>
      <c r="BOL135" s="105"/>
      <c r="BOM135" s="105"/>
      <c r="BON135" s="105"/>
      <c r="BOO135" s="105"/>
      <c r="BOP135" s="105"/>
      <c r="BOQ135" s="105"/>
      <c r="BOR135" s="105"/>
      <c r="BOS135" s="105"/>
      <c r="BOT135" s="105"/>
      <c r="BOU135" s="105"/>
      <c r="BOV135" s="105"/>
      <c r="BOW135" s="105"/>
      <c r="BOX135" s="105"/>
      <c r="BOY135" s="105"/>
      <c r="BOZ135" s="105"/>
      <c r="BPA135" s="105"/>
      <c r="BPB135" s="105"/>
      <c r="BPC135" s="105"/>
      <c r="BPD135" s="105"/>
      <c r="BPE135" s="105"/>
      <c r="BPF135" s="105"/>
      <c r="BPG135" s="105"/>
      <c r="BPH135" s="105"/>
      <c r="BPI135" s="105"/>
      <c r="BPJ135" s="105"/>
      <c r="BPK135" s="105"/>
      <c r="BPL135" s="105"/>
      <c r="BPM135" s="105"/>
      <c r="BPN135" s="105"/>
      <c r="BPO135" s="105"/>
      <c r="BPP135" s="105"/>
      <c r="BPQ135" s="105"/>
      <c r="BPR135" s="105"/>
      <c r="BPS135" s="105"/>
      <c r="BPT135" s="105"/>
      <c r="BPU135" s="105"/>
      <c r="BPV135" s="105"/>
      <c r="BPW135" s="105"/>
      <c r="BPX135" s="105"/>
      <c r="BPY135" s="105"/>
      <c r="BPZ135" s="105"/>
      <c r="BQA135" s="105"/>
      <c r="BQB135" s="105"/>
      <c r="BQC135" s="105"/>
      <c r="BQD135" s="105"/>
      <c r="BQE135" s="105"/>
      <c r="BQF135" s="105"/>
      <c r="BQG135" s="105"/>
      <c r="BQH135" s="105"/>
      <c r="BQI135" s="105"/>
      <c r="BQJ135" s="105"/>
      <c r="BQK135" s="105"/>
      <c r="BQL135" s="105"/>
      <c r="BQM135" s="105"/>
      <c r="BQN135" s="105"/>
      <c r="BQO135" s="105"/>
      <c r="BQP135" s="105"/>
      <c r="BQQ135" s="105"/>
      <c r="BQR135" s="105"/>
      <c r="BQS135" s="105"/>
      <c r="BQT135" s="105"/>
      <c r="BQU135" s="105"/>
      <c r="BQV135" s="105"/>
      <c r="BQW135" s="105"/>
      <c r="BQX135" s="105"/>
      <c r="BQY135" s="105"/>
      <c r="BQZ135" s="105"/>
      <c r="BRA135" s="105"/>
      <c r="BRB135" s="105"/>
      <c r="BRC135" s="105"/>
      <c r="BRD135" s="105"/>
      <c r="BRE135" s="105"/>
      <c r="BRF135" s="105"/>
      <c r="BRG135" s="105"/>
      <c r="BRH135" s="105"/>
      <c r="BRI135" s="105"/>
      <c r="BRJ135" s="105"/>
      <c r="BRK135" s="105"/>
      <c r="BRL135" s="105"/>
      <c r="BRM135" s="105"/>
      <c r="BRN135" s="105"/>
      <c r="BRO135" s="105"/>
      <c r="BRP135" s="105"/>
      <c r="BRQ135" s="105"/>
      <c r="BRR135" s="105"/>
      <c r="BRS135" s="105"/>
      <c r="BRT135" s="105"/>
      <c r="BRU135" s="105"/>
      <c r="BRV135" s="105"/>
      <c r="BRW135" s="105"/>
      <c r="BRX135" s="105"/>
      <c r="BRY135" s="105"/>
      <c r="BRZ135" s="105"/>
      <c r="BSA135" s="105"/>
      <c r="BSB135" s="105"/>
      <c r="BSC135" s="105"/>
      <c r="BSD135" s="105"/>
      <c r="BSE135" s="105"/>
      <c r="BSF135" s="105"/>
      <c r="BSG135" s="105"/>
      <c r="BSH135" s="105"/>
      <c r="BSI135" s="105"/>
      <c r="BSJ135" s="105"/>
      <c r="BSK135" s="105"/>
      <c r="BSL135" s="105"/>
      <c r="BSM135" s="105"/>
      <c r="BSN135" s="105"/>
      <c r="BSO135" s="105"/>
      <c r="BSP135" s="105"/>
      <c r="BSQ135" s="105"/>
      <c r="BSR135" s="105"/>
      <c r="BSS135" s="105"/>
      <c r="BST135" s="105"/>
      <c r="BSU135" s="105"/>
      <c r="BSV135" s="105"/>
      <c r="BSW135" s="105"/>
      <c r="BSX135" s="105"/>
      <c r="BSY135" s="105"/>
      <c r="BSZ135" s="105"/>
      <c r="BTA135" s="105"/>
      <c r="BTB135" s="105"/>
      <c r="BTC135" s="105"/>
      <c r="BTD135" s="105"/>
      <c r="BTE135" s="105"/>
      <c r="BTF135" s="105"/>
      <c r="BTG135" s="105"/>
      <c r="BTH135" s="105"/>
      <c r="BTI135" s="105"/>
      <c r="BTJ135" s="105"/>
      <c r="BTK135" s="105"/>
      <c r="BTL135" s="105"/>
      <c r="BTM135" s="105"/>
      <c r="BTN135" s="105"/>
      <c r="BTO135" s="105"/>
      <c r="BTP135" s="105"/>
      <c r="BTQ135" s="105"/>
      <c r="BTR135" s="105"/>
      <c r="BTS135" s="105"/>
      <c r="BTT135" s="105"/>
      <c r="BTU135" s="105"/>
      <c r="BTV135" s="105"/>
      <c r="BTW135" s="105"/>
      <c r="BTX135" s="105"/>
      <c r="BTY135" s="105"/>
      <c r="BTZ135" s="105"/>
      <c r="BUA135" s="105"/>
      <c r="BUB135" s="105"/>
      <c r="BUC135" s="105"/>
      <c r="BUD135" s="105"/>
      <c r="BUE135" s="105"/>
      <c r="BUF135" s="105"/>
      <c r="BUG135" s="105"/>
      <c r="BUH135" s="105"/>
      <c r="BUI135" s="105"/>
      <c r="BUJ135" s="105"/>
      <c r="BUK135" s="105"/>
      <c r="BUL135" s="105"/>
      <c r="BUM135" s="105"/>
      <c r="BUN135" s="105"/>
      <c r="BUO135" s="105"/>
      <c r="BUP135" s="105"/>
      <c r="BUQ135" s="105"/>
      <c r="BUR135" s="105"/>
      <c r="BUS135" s="105"/>
      <c r="BUT135" s="105"/>
      <c r="BUU135" s="105"/>
      <c r="BUV135" s="105"/>
      <c r="BUW135" s="105"/>
      <c r="BUX135" s="105"/>
      <c r="BUY135" s="105"/>
      <c r="BUZ135" s="105"/>
      <c r="BVA135" s="105"/>
      <c r="BVB135" s="105"/>
      <c r="BVC135" s="105"/>
      <c r="BVD135" s="105"/>
      <c r="BVE135" s="105"/>
      <c r="BVF135" s="105"/>
      <c r="BVG135" s="105"/>
      <c r="BVH135" s="105"/>
      <c r="BVI135" s="105"/>
      <c r="BVJ135" s="105"/>
      <c r="BVK135" s="105"/>
      <c r="BVL135" s="105"/>
      <c r="BVM135" s="105"/>
      <c r="BVN135" s="105"/>
      <c r="BVO135" s="105"/>
      <c r="BVP135" s="105"/>
      <c r="BVQ135" s="105"/>
      <c r="BVR135" s="105"/>
      <c r="BVS135" s="105"/>
      <c r="BVT135" s="105"/>
      <c r="BVU135" s="105"/>
      <c r="BVV135" s="105"/>
      <c r="BVW135" s="105"/>
      <c r="BVX135" s="105"/>
      <c r="BVY135" s="105"/>
      <c r="BVZ135" s="105"/>
      <c r="BWA135" s="105"/>
      <c r="BWB135" s="105"/>
      <c r="BWC135" s="105"/>
      <c r="BWD135" s="105"/>
      <c r="BWE135" s="105"/>
      <c r="BWF135" s="105"/>
      <c r="BWG135" s="105"/>
      <c r="BWH135" s="105"/>
      <c r="BWI135" s="105"/>
      <c r="BWJ135" s="105"/>
      <c r="BWK135" s="105"/>
      <c r="BWL135" s="105"/>
      <c r="BWM135" s="105"/>
      <c r="BWN135" s="105"/>
      <c r="BWO135" s="105"/>
      <c r="BWP135" s="105"/>
      <c r="BWQ135" s="105"/>
      <c r="BWR135" s="105"/>
      <c r="BWS135" s="105"/>
      <c r="BWT135" s="105"/>
      <c r="BWU135" s="105"/>
      <c r="BWV135" s="105"/>
      <c r="BWW135" s="105"/>
      <c r="BWX135" s="105"/>
      <c r="BWY135" s="105"/>
      <c r="BWZ135" s="105"/>
      <c r="BXA135" s="105"/>
      <c r="BXB135" s="105"/>
      <c r="BXC135" s="105"/>
      <c r="BXD135" s="105"/>
      <c r="BXE135" s="105"/>
      <c r="BXF135" s="105"/>
      <c r="BXG135" s="105"/>
      <c r="BXH135" s="105"/>
      <c r="BXI135" s="105"/>
      <c r="BXJ135" s="105"/>
      <c r="BXK135" s="105"/>
      <c r="BXL135" s="105"/>
      <c r="BXM135" s="105"/>
      <c r="BXN135" s="105"/>
      <c r="BXO135" s="105"/>
      <c r="BXP135" s="105"/>
      <c r="BXQ135" s="105"/>
      <c r="BXR135" s="105"/>
      <c r="BXS135" s="105"/>
      <c r="BXT135" s="105"/>
      <c r="BXU135" s="105"/>
      <c r="BXV135" s="105"/>
      <c r="BXW135" s="105"/>
      <c r="BXX135" s="105"/>
      <c r="BXY135" s="105"/>
      <c r="BXZ135" s="105"/>
      <c r="BYA135" s="105"/>
      <c r="BYB135" s="105"/>
      <c r="BYC135" s="105"/>
      <c r="BYD135" s="105"/>
      <c r="BYE135" s="105"/>
      <c r="BYF135" s="105"/>
      <c r="BYG135" s="105"/>
      <c r="BYH135" s="105"/>
      <c r="BYI135" s="105"/>
      <c r="BYJ135" s="105"/>
      <c r="BYK135" s="105"/>
      <c r="BYL135" s="105"/>
      <c r="BYM135" s="105"/>
      <c r="BYN135" s="105"/>
      <c r="BYO135" s="105"/>
      <c r="BYP135" s="105"/>
      <c r="BYQ135" s="105"/>
      <c r="BYR135" s="105"/>
      <c r="BYS135" s="105"/>
      <c r="BYT135" s="105"/>
      <c r="BYU135" s="105"/>
      <c r="BYV135" s="105"/>
      <c r="BYW135" s="105"/>
      <c r="BYX135" s="105"/>
      <c r="BYY135" s="105"/>
      <c r="BYZ135" s="105"/>
      <c r="BZA135" s="105"/>
      <c r="BZB135" s="105"/>
      <c r="BZC135" s="105"/>
      <c r="BZD135" s="105"/>
      <c r="BZE135" s="105"/>
      <c r="BZF135" s="105"/>
      <c r="BZG135" s="105"/>
      <c r="BZH135" s="105"/>
      <c r="BZI135" s="105"/>
      <c r="BZJ135" s="105"/>
      <c r="BZK135" s="105"/>
      <c r="BZL135" s="105"/>
      <c r="BZM135" s="105"/>
      <c r="BZN135" s="105"/>
      <c r="BZO135" s="105"/>
      <c r="BZP135" s="105"/>
      <c r="BZQ135" s="105"/>
      <c r="BZR135" s="105"/>
      <c r="BZS135" s="105"/>
      <c r="BZT135" s="105"/>
      <c r="BZU135" s="105"/>
      <c r="BZV135" s="105"/>
      <c r="BZW135" s="105"/>
      <c r="BZX135" s="105"/>
      <c r="BZY135" s="105"/>
      <c r="BZZ135" s="105"/>
      <c r="CAA135" s="105"/>
      <c r="CAB135" s="105"/>
      <c r="CAC135" s="105"/>
      <c r="CAD135" s="105"/>
      <c r="CAE135" s="105"/>
      <c r="CAF135" s="105"/>
      <c r="CAG135" s="105"/>
      <c r="CAH135" s="105"/>
      <c r="CAI135" s="105"/>
      <c r="CAJ135" s="105"/>
      <c r="CAK135" s="105"/>
      <c r="CAL135" s="105"/>
      <c r="CAM135" s="105"/>
      <c r="CAN135" s="105"/>
      <c r="CAO135" s="105"/>
      <c r="CAP135" s="105"/>
      <c r="CAQ135" s="105"/>
      <c r="CAR135" s="105"/>
      <c r="CAS135" s="105"/>
      <c r="CAT135" s="105"/>
      <c r="CAU135" s="105"/>
      <c r="CAV135" s="105"/>
      <c r="CAW135" s="105"/>
      <c r="CAX135" s="105"/>
      <c r="CAY135" s="105"/>
      <c r="CAZ135" s="105"/>
      <c r="CBA135" s="105"/>
      <c r="CBB135" s="105"/>
      <c r="CBC135" s="105"/>
      <c r="CBD135" s="105"/>
      <c r="CBE135" s="105"/>
      <c r="CBF135" s="105"/>
      <c r="CBG135" s="105"/>
      <c r="CBH135" s="105"/>
      <c r="CBI135" s="105"/>
      <c r="CBJ135" s="105"/>
      <c r="CBK135" s="105"/>
      <c r="CBL135" s="105"/>
      <c r="CBM135" s="105"/>
      <c r="CBN135" s="105"/>
      <c r="CBO135" s="105"/>
      <c r="CBP135" s="105"/>
      <c r="CBQ135" s="105"/>
      <c r="CBR135" s="105"/>
      <c r="CBS135" s="105"/>
      <c r="CBT135" s="105"/>
      <c r="CBU135" s="105"/>
      <c r="CBV135" s="105"/>
      <c r="CBW135" s="105"/>
      <c r="CBX135" s="105"/>
      <c r="CBY135" s="105"/>
      <c r="CBZ135" s="105"/>
      <c r="CCA135" s="105"/>
      <c r="CCB135" s="105"/>
      <c r="CCC135" s="105"/>
      <c r="CCD135" s="105"/>
      <c r="CCE135" s="105"/>
      <c r="CCF135" s="105"/>
      <c r="CCG135" s="105"/>
      <c r="CCH135" s="105"/>
      <c r="CCI135" s="105"/>
      <c r="CCJ135" s="105"/>
      <c r="CCK135" s="105"/>
      <c r="CCL135" s="105"/>
      <c r="CCM135" s="105"/>
      <c r="CCN135" s="105"/>
      <c r="CCO135" s="105"/>
      <c r="CCP135" s="105"/>
      <c r="CCQ135" s="105"/>
      <c r="CCR135" s="105"/>
      <c r="CCS135" s="105"/>
      <c r="CCT135" s="105"/>
      <c r="CCU135" s="105"/>
      <c r="CCV135" s="105"/>
      <c r="CCW135" s="105"/>
      <c r="CCX135" s="105"/>
      <c r="CCY135" s="105"/>
      <c r="CCZ135" s="105"/>
      <c r="CDA135" s="105"/>
      <c r="CDB135" s="105"/>
      <c r="CDC135" s="105"/>
      <c r="CDD135" s="105"/>
      <c r="CDE135" s="105"/>
      <c r="CDF135" s="105"/>
      <c r="CDG135" s="105"/>
      <c r="CDH135" s="105"/>
      <c r="CDI135" s="105"/>
      <c r="CDJ135" s="105"/>
      <c r="CDK135" s="105"/>
      <c r="CDL135" s="105"/>
      <c r="CDM135" s="105"/>
      <c r="CDN135" s="105"/>
      <c r="CDO135" s="105"/>
      <c r="CDP135" s="105"/>
      <c r="CDQ135" s="105"/>
      <c r="CDR135" s="105"/>
      <c r="CDS135" s="105"/>
      <c r="CDT135" s="105"/>
      <c r="CDU135" s="105"/>
      <c r="CDV135" s="105"/>
      <c r="CDW135" s="105"/>
      <c r="CDX135" s="105"/>
      <c r="CDY135" s="105"/>
      <c r="CDZ135" s="105"/>
      <c r="CEA135" s="105"/>
      <c r="CEB135" s="105"/>
      <c r="CEC135" s="105"/>
      <c r="CED135" s="105"/>
      <c r="CEE135" s="105"/>
      <c r="CEF135" s="105"/>
      <c r="CEG135" s="105"/>
      <c r="CEH135" s="105"/>
      <c r="CEI135" s="105"/>
      <c r="CEJ135" s="105"/>
      <c r="CEK135" s="105"/>
      <c r="CEL135" s="105"/>
      <c r="CEM135" s="105"/>
      <c r="CEN135" s="105"/>
      <c r="CEO135" s="105"/>
      <c r="CEP135" s="105"/>
      <c r="CEQ135" s="105"/>
      <c r="CER135" s="105"/>
      <c r="CES135" s="105"/>
      <c r="CET135" s="105"/>
      <c r="CEU135" s="105"/>
      <c r="CEV135" s="105"/>
      <c r="CEW135" s="105"/>
      <c r="CEX135" s="105"/>
      <c r="CEY135" s="105"/>
      <c r="CEZ135" s="105"/>
      <c r="CFA135" s="105"/>
      <c r="CFB135" s="105"/>
      <c r="CFC135" s="105"/>
      <c r="CFD135" s="105"/>
      <c r="CFE135" s="105"/>
      <c r="CFF135" s="105"/>
      <c r="CFG135" s="105"/>
      <c r="CFH135" s="105"/>
      <c r="CFI135" s="105"/>
      <c r="CFJ135" s="105"/>
      <c r="CFK135" s="105"/>
      <c r="CFL135" s="105"/>
      <c r="CFM135" s="105"/>
      <c r="CFN135" s="105"/>
      <c r="CFO135" s="105"/>
      <c r="CFP135" s="105"/>
      <c r="CFQ135" s="105"/>
      <c r="CFR135" s="105"/>
      <c r="CFS135" s="105"/>
      <c r="CFT135" s="105"/>
      <c r="CFU135" s="105"/>
      <c r="CFV135" s="105"/>
      <c r="CFW135" s="105"/>
      <c r="CFX135" s="105"/>
      <c r="CFY135" s="105"/>
      <c r="CFZ135" s="105"/>
      <c r="CGA135" s="105"/>
      <c r="CGB135" s="105"/>
      <c r="CGC135" s="105"/>
      <c r="CGD135" s="105"/>
      <c r="CGE135" s="105"/>
      <c r="CGF135" s="105"/>
      <c r="CGG135" s="105"/>
      <c r="CGH135" s="105"/>
      <c r="CGI135" s="105"/>
      <c r="CGJ135" s="105"/>
      <c r="CGK135" s="105"/>
      <c r="CGL135" s="105"/>
      <c r="CGM135" s="105"/>
      <c r="CGN135" s="105"/>
      <c r="CGO135" s="105"/>
      <c r="CGP135" s="105"/>
      <c r="CGQ135" s="105"/>
      <c r="CGR135" s="105"/>
      <c r="CGS135" s="105"/>
      <c r="CGT135" s="105"/>
      <c r="CGU135" s="105"/>
      <c r="CGV135" s="105"/>
      <c r="CGW135" s="105"/>
      <c r="CGX135" s="105"/>
      <c r="CGY135" s="105"/>
      <c r="CGZ135" s="105"/>
      <c r="CHA135" s="105"/>
      <c r="CHB135" s="105"/>
      <c r="CHC135" s="105"/>
      <c r="CHD135" s="105"/>
      <c r="CHE135" s="105"/>
      <c r="CHF135" s="105"/>
      <c r="CHG135" s="105"/>
      <c r="CHH135" s="105"/>
      <c r="CHI135" s="105"/>
      <c r="CHJ135" s="105"/>
      <c r="CHK135" s="105"/>
      <c r="CHL135" s="105"/>
      <c r="CHM135" s="105"/>
      <c r="CHN135" s="105"/>
      <c r="CHO135" s="105"/>
      <c r="CHP135" s="105"/>
      <c r="CHQ135" s="105"/>
      <c r="CHR135" s="105"/>
      <c r="CHS135" s="105"/>
      <c r="CHT135" s="105"/>
      <c r="CHU135" s="105"/>
      <c r="CHV135" s="105"/>
      <c r="CHW135" s="105"/>
      <c r="CHX135" s="105"/>
      <c r="CHY135" s="105"/>
      <c r="CHZ135" s="105"/>
      <c r="CIA135" s="105"/>
      <c r="CIB135" s="105"/>
      <c r="CIC135" s="105"/>
      <c r="CID135" s="105"/>
      <c r="CIE135" s="105"/>
      <c r="CIF135" s="105"/>
      <c r="CIG135" s="105"/>
      <c r="CIH135" s="105"/>
      <c r="CII135" s="105"/>
      <c r="CIJ135" s="105"/>
      <c r="CIK135" s="105"/>
      <c r="CIL135" s="105"/>
      <c r="CIM135" s="105"/>
      <c r="CIN135" s="105"/>
      <c r="CIO135" s="105"/>
      <c r="CIP135" s="105"/>
      <c r="CIQ135" s="105"/>
      <c r="CIR135" s="105"/>
      <c r="CIS135" s="105"/>
      <c r="CIT135" s="105"/>
      <c r="CIU135" s="105"/>
      <c r="CIV135" s="105"/>
      <c r="CIW135" s="105"/>
      <c r="CIX135" s="105"/>
      <c r="CIY135" s="105"/>
      <c r="CIZ135" s="105"/>
      <c r="CJA135" s="105"/>
      <c r="CJB135" s="105"/>
      <c r="CJC135" s="105"/>
      <c r="CJD135" s="105"/>
      <c r="CJE135" s="105"/>
      <c r="CJF135" s="105"/>
      <c r="CJG135" s="105"/>
      <c r="CJH135" s="105"/>
      <c r="CJI135" s="105"/>
      <c r="CJJ135" s="105"/>
      <c r="CJK135" s="105"/>
      <c r="CJL135" s="105"/>
      <c r="CJM135" s="105"/>
      <c r="CJN135" s="105"/>
      <c r="CJO135" s="105"/>
      <c r="CJP135" s="105"/>
      <c r="CJQ135" s="105"/>
      <c r="CJR135" s="105"/>
      <c r="CJS135" s="105"/>
      <c r="CJT135" s="105"/>
      <c r="CJU135" s="105"/>
      <c r="CJV135" s="105"/>
      <c r="CJW135" s="105"/>
      <c r="CJX135" s="105"/>
      <c r="CJY135" s="105"/>
      <c r="CJZ135" s="105"/>
      <c r="CKA135" s="105"/>
      <c r="CKB135" s="105"/>
      <c r="CKC135" s="105"/>
      <c r="CKD135" s="105"/>
      <c r="CKE135" s="105"/>
      <c r="CKF135" s="105"/>
      <c r="CKG135" s="105"/>
      <c r="CKH135" s="105"/>
      <c r="CKI135" s="105"/>
      <c r="CKJ135" s="105"/>
      <c r="CKK135" s="105"/>
      <c r="CKL135" s="105"/>
      <c r="CKM135" s="105"/>
      <c r="CKN135" s="105"/>
      <c r="CKO135" s="105"/>
      <c r="CKP135" s="105"/>
      <c r="CKQ135" s="105"/>
      <c r="CKR135" s="105"/>
      <c r="CKS135" s="105"/>
      <c r="CKT135" s="105"/>
      <c r="CKU135" s="105"/>
      <c r="CKV135" s="105"/>
      <c r="CKW135" s="105"/>
      <c r="CKX135" s="105"/>
      <c r="CKY135" s="105"/>
      <c r="CKZ135" s="105"/>
      <c r="CLA135" s="105"/>
      <c r="CLB135" s="105"/>
      <c r="CLC135" s="105"/>
      <c r="CLD135" s="105"/>
      <c r="CLE135" s="105"/>
      <c r="CLF135" s="105"/>
      <c r="CLG135" s="105"/>
      <c r="CLH135" s="105"/>
      <c r="CLI135" s="105"/>
      <c r="CLJ135" s="105"/>
      <c r="CLK135" s="105"/>
      <c r="CLL135" s="105"/>
      <c r="CLM135" s="105"/>
      <c r="CLN135" s="105"/>
      <c r="CLO135" s="105"/>
      <c r="CLP135" s="105"/>
      <c r="CLQ135" s="105"/>
      <c r="CLR135" s="105"/>
      <c r="CLS135" s="105"/>
      <c r="CLT135" s="105"/>
      <c r="CLU135" s="105"/>
      <c r="CLV135" s="105"/>
      <c r="CLW135" s="105"/>
      <c r="CLX135" s="105"/>
      <c r="CLY135" s="105"/>
      <c r="CLZ135" s="105"/>
      <c r="CMA135" s="105"/>
      <c r="CMB135" s="105"/>
      <c r="CMC135" s="105"/>
      <c r="CMD135" s="105"/>
      <c r="CME135" s="105"/>
      <c r="CMF135" s="105"/>
      <c r="CMG135" s="105"/>
      <c r="CMH135" s="105"/>
      <c r="CMI135" s="105"/>
      <c r="CMJ135" s="105"/>
      <c r="CMK135" s="105"/>
      <c r="CML135" s="105"/>
      <c r="CMM135" s="105"/>
      <c r="CMN135" s="105"/>
      <c r="CMO135" s="105"/>
      <c r="CMP135" s="105"/>
      <c r="CMQ135" s="105"/>
      <c r="CMR135" s="105"/>
      <c r="CMS135" s="105"/>
      <c r="CMT135" s="105"/>
      <c r="CMU135" s="105"/>
      <c r="CMV135" s="105"/>
      <c r="CMW135" s="105"/>
      <c r="CMX135" s="105"/>
      <c r="CMY135" s="105"/>
      <c r="CMZ135" s="105"/>
      <c r="CNA135" s="105"/>
      <c r="CNB135" s="105"/>
      <c r="CNC135" s="105"/>
      <c r="CND135" s="105"/>
      <c r="CNE135" s="105"/>
      <c r="CNF135" s="105"/>
      <c r="CNG135" s="105"/>
      <c r="CNH135" s="105"/>
      <c r="CNI135" s="105"/>
      <c r="CNJ135" s="105"/>
      <c r="CNK135" s="105"/>
      <c r="CNL135" s="105"/>
      <c r="CNM135" s="105"/>
      <c r="CNN135" s="105"/>
      <c r="CNO135" s="105"/>
      <c r="CNP135" s="105"/>
      <c r="CNQ135" s="105"/>
      <c r="CNR135" s="105"/>
      <c r="CNS135" s="105"/>
      <c r="CNT135" s="105"/>
      <c r="CNU135" s="105"/>
      <c r="CNV135" s="105"/>
      <c r="CNW135" s="105"/>
      <c r="CNX135" s="105"/>
      <c r="CNY135" s="105"/>
      <c r="CNZ135" s="105"/>
      <c r="COA135" s="105"/>
      <c r="COB135" s="105"/>
      <c r="COC135" s="105"/>
      <c r="COD135" s="105"/>
      <c r="COE135" s="105"/>
      <c r="COF135" s="105"/>
      <c r="COG135" s="105"/>
      <c r="COH135" s="105"/>
      <c r="COI135" s="105"/>
      <c r="COJ135" s="105"/>
      <c r="COK135" s="105"/>
      <c r="COL135" s="105"/>
      <c r="COM135" s="105"/>
      <c r="CON135" s="105"/>
      <c r="COO135" s="105"/>
      <c r="COP135" s="105"/>
      <c r="COQ135" s="105"/>
      <c r="COR135" s="105"/>
      <c r="COS135" s="105"/>
      <c r="COT135" s="105"/>
      <c r="COU135" s="105"/>
      <c r="COV135" s="105"/>
      <c r="COW135" s="105"/>
      <c r="COX135" s="105"/>
      <c r="COY135" s="105"/>
      <c r="COZ135" s="105"/>
      <c r="CPA135" s="105"/>
      <c r="CPB135" s="105"/>
      <c r="CPC135" s="105"/>
      <c r="CPD135" s="105"/>
      <c r="CPE135" s="105"/>
      <c r="CPF135" s="105"/>
      <c r="CPG135" s="105"/>
      <c r="CPH135" s="105"/>
      <c r="CPI135" s="105"/>
      <c r="CPJ135" s="105"/>
      <c r="CPK135" s="105"/>
      <c r="CPL135" s="105"/>
      <c r="CPM135" s="105"/>
      <c r="CPN135" s="105"/>
      <c r="CPO135" s="105"/>
      <c r="CPP135" s="105"/>
      <c r="CPQ135" s="105"/>
      <c r="CPR135" s="105"/>
      <c r="CPS135" s="105"/>
      <c r="CPT135" s="105"/>
      <c r="CPU135" s="105"/>
      <c r="CPV135" s="105"/>
      <c r="CPW135" s="105"/>
      <c r="CPX135" s="105"/>
      <c r="CPY135" s="105"/>
      <c r="CPZ135" s="105"/>
      <c r="CQA135" s="105"/>
      <c r="CQB135" s="105"/>
      <c r="CQC135" s="105"/>
      <c r="CQD135" s="105"/>
      <c r="CQE135" s="105"/>
      <c r="CQF135" s="105"/>
      <c r="CQG135" s="105"/>
      <c r="CQH135" s="105"/>
      <c r="CQI135" s="105"/>
      <c r="CQJ135" s="105"/>
      <c r="CQK135" s="105"/>
      <c r="CQL135" s="105"/>
      <c r="CQM135" s="105"/>
      <c r="CQN135" s="105"/>
      <c r="CQO135" s="105"/>
      <c r="CQP135" s="105"/>
      <c r="CQQ135" s="105"/>
      <c r="CQR135" s="105"/>
      <c r="CQS135" s="105"/>
      <c r="CQT135" s="105"/>
      <c r="CQU135" s="105"/>
      <c r="CQV135" s="105"/>
      <c r="CQW135" s="105"/>
      <c r="CQX135" s="105"/>
      <c r="CQY135" s="105"/>
      <c r="CQZ135" s="105"/>
      <c r="CRA135" s="105"/>
      <c r="CRB135" s="105"/>
      <c r="CRC135" s="105"/>
      <c r="CRD135" s="105"/>
      <c r="CRE135" s="105"/>
      <c r="CRF135" s="105"/>
      <c r="CRG135" s="105"/>
      <c r="CRH135" s="105"/>
      <c r="CRI135" s="105"/>
      <c r="CRJ135" s="105"/>
      <c r="CRK135" s="105"/>
      <c r="CRL135" s="105"/>
      <c r="CRM135" s="105"/>
      <c r="CRN135" s="105"/>
      <c r="CRO135" s="105"/>
      <c r="CRP135" s="105"/>
      <c r="CRQ135" s="105"/>
      <c r="CRR135" s="105"/>
      <c r="CRS135" s="105"/>
      <c r="CRT135" s="105"/>
      <c r="CRU135" s="105"/>
      <c r="CRV135" s="105"/>
      <c r="CRW135" s="105"/>
      <c r="CRX135" s="105"/>
      <c r="CRY135" s="105"/>
      <c r="CRZ135" s="105"/>
      <c r="CSA135" s="105"/>
      <c r="CSB135" s="105"/>
      <c r="CSC135" s="105"/>
      <c r="CSD135" s="105"/>
      <c r="CSE135" s="105"/>
      <c r="CSF135" s="105"/>
      <c r="CSG135" s="105"/>
      <c r="CSH135" s="105"/>
      <c r="CSI135" s="105"/>
      <c r="CSJ135" s="105"/>
      <c r="CSK135" s="105"/>
      <c r="CSL135" s="105"/>
      <c r="CSM135" s="105"/>
      <c r="CSN135" s="105"/>
      <c r="CSO135" s="105"/>
      <c r="CSP135" s="105"/>
      <c r="CSQ135" s="105"/>
      <c r="CSR135" s="105"/>
      <c r="CSS135" s="105"/>
      <c r="CST135" s="105"/>
      <c r="CSU135" s="105"/>
      <c r="CSV135" s="105"/>
      <c r="CSW135" s="105"/>
      <c r="CSX135" s="105"/>
      <c r="CSY135" s="105"/>
      <c r="CSZ135" s="105"/>
      <c r="CTA135" s="105"/>
      <c r="CTB135" s="105"/>
      <c r="CTC135" s="105"/>
      <c r="CTD135" s="105"/>
      <c r="CTE135" s="105"/>
      <c r="CTF135" s="105"/>
      <c r="CTG135" s="105"/>
      <c r="CTH135" s="105"/>
      <c r="CTI135" s="105"/>
      <c r="CTJ135" s="105"/>
      <c r="CTK135" s="105"/>
      <c r="CTL135" s="105"/>
      <c r="CTM135" s="105"/>
      <c r="CTN135" s="105"/>
      <c r="CTO135" s="105"/>
      <c r="CTP135" s="105"/>
      <c r="CTQ135" s="105"/>
      <c r="CTR135" s="105"/>
      <c r="CTS135" s="105"/>
      <c r="CTT135" s="105"/>
      <c r="CTU135" s="105"/>
      <c r="CTV135" s="105"/>
      <c r="CTW135" s="105"/>
      <c r="CTX135" s="105"/>
      <c r="CTY135" s="105"/>
      <c r="CTZ135" s="105"/>
      <c r="CUA135" s="105"/>
      <c r="CUB135" s="105"/>
      <c r="CUC135" s="105"/>
      <c r="CUD135" s="105"/>
      <c r="CUE135" s="105"/>
      <c r="CUF135" s="105"/>
      <c r="CUG135" s="105"/>
      <c r="CUH135" s="105"/>
      <c r="CUI135" s="105"/>
      <c r="CUJ135" s="105"/>
      <c r="CUK135" s="105"/>
      <c r="CUL135" s="105"/>
      <c r="CUM135" s="105"/>
      <c r="CUN135" s="105"/>
      <c r="CUO135" s="105"/>
      <c r="CUP135" s="105"/>
      <c r="CUQ135" s="105"/>
      <c r="CUR135" s="105"/>
      <c r="CUS135" s="105"/>
      <c r="CUT135" s="105"/>
      <c r="CUU135" s="105"/>
      <c r="CUV135" s="105"/>
      <c r="CUW135" s="105"/>
      <c r="CUX135" s="105"/>
      <c r="CUY135" s="105"/>
      <c r="CUZ135" s="105"/>
      <c r="CVA135" s="105"/>
      <c r="CVB135" s="105"/>
      <c r="CVC135" s="105"/>
      <c r="CVD135" s="105"/>
      <c r="CVE135" s="105"/>
      <c r="CVF135" s="105"/>
      <c r="CVG135" s="105"/>
      <c r="CVH135" s="105"/>
      <c r="CVI135" s="105"/>
      <c r="CVJ135" s="105"/>
      <c r="CVK135" s="105"/>
      <c r="CVL135" s="105"/>
      <c r="CVM135" s="105"/>
      <c r="CVN135" s="105"/>
      <c r="CVO135" s="105"/>
      <c r="CVP135" s="105"/>
      <c r="CVQ135" s="105"/>
      <c r="CVR135" s="105"/>
      <c r="CVS135" s="105"/>
      <c r="CVT135" s="105"/>
      <c r="CVU135" s="105"/>
      <c r="CVV135" s="105"/>
      <c r="CVW135" s="105"/>
      <c r="CVX135" s="105"/>
      <c r="CVY135" s="105"/>
      <c r="CVZ135" s="105"/>
      <c r="CWA135" s="105"/>
      <c r="CWB135" s="105"/>
      <c r="CWC135" s="105"/>
      <c r="CWD135" s="105"/>
      <c r="CWE135" s="105"/>
      <c r="CWF135" s="105"/>
      <c r="CWG135" s="105"/>
      <c r="CWH135" s="105"/>
      <c r="CWI135" s="105"/>
      <c r="CWJ135" s="105"/>
      <c r="CWK135" s="105"/>
      <c r="CWL135" s="105"/>
      <c r="CWM135" s="105"/>
      <c r="CWN135" s="105"/>
      <c r="CWO135" s="105"/>
      <c r="CWP135" s="105"/>
      <c r="CWQ135" s="105"/>
      <c r="CWR135" s="105"/>
      <c r="CWS135" s="105"/>
      <c r="CWT135" s="105"/>
      <c r="CWU135" s="105"/>
      <c r="CWV135" s="105"/>
      <c r="CWW135" s="105"/>
      <c r="CWX135" s="105"/>
      <c r="CWY135" s="105"/>
      <c r="CWZ135" s="105"/>
      <c r="CXA135" s="105"/>
      <c r="CXB135" s="105"/>
      <c r="CXC135" s="105"/>
      <c r="CXD135" s="105"/>
      <c r="CXE135" s="105"/>
      <c r="CXF135" s="105"/>
      <c r="CXG135" s="105"/>
      <c r="CXH135" s="105"/>
      <c r="CXI135" s="105"/>
      <c r="CXJ135" s="105"/>
      <c r="CXK135" s="105"/>
      <c r="CXL135" s="105"/>
      <c r="CXM135" s="105"/>
      <c r="CXN135" s="105"/>
      <c r="CXO135" s="105"/>
      <c r="CXP135" s="105"/>
      <c r="CXQ135" s="105"/>
      <c r="CXR135" s="105"/>
      <c r="CXS135" s="105"/>
      <c r="CXT135" s="105"/>
      <c r="CXU135" s="105"/>
      <c r="CXV135" s="105"/>
      <c r="CXW135" s="105"/>
      <c r="CXX135" s="105"/>
      <c r="CXY135" s="105"/>
      <c r="CXZ135" s="105"/>
      <c r="CYA135" s="105"/>
      <c r="CYB135" s="105"/>
      <c r="CYC135" s="105"/>
      <c r="CYD135" s="105"/>
      <c r="CYE135" s="105"/>
      <c r="CYF135" s="105"/>
      <c r="CYG135" s="105"/>
      <c r="CYH135" s="105"/>
      <c r="CYI135" s="105"/>
      <c r="CYJ135" s="105"/>
      <c r="CYK135" s="105"/>
      <c r="CYL135" s="105"/>
      <c r="CYM135" s="105"/>
      <c r="CYN135" s="105"/>
      <c r="CYO135" s="105"/>
      <c r="CYP135" s="105"/>
      <c r="CYQ135" s="105"/>
      <c r="CYR135" s="105"/>
      <c r="CYS135" s="105"/>
      <c r="CYT135" s="105"/>
      <c r="CYU135" s="105"/>
      <c r="CYV135" s="105"/>
      <c r="CYW135" s="105"/>
      <c r="CYX135" s="105"/>
      <c r="CYY135" s="105"/>
      <c r="CYZ135" s="105"/>
      <c r="CZA135" s="105"/>
      <c r="CZB135" s="105"/>
      <c r="CZC135" s="105"/>
      <c r="CZD135" s="105"/>
      <c r="CZE135" s="105"/>
      <c r="CZF135" s="105"/>
      <c r="CZG135" s="105"/>
      <c r="CZH135" s="105"/>
      <c r="CZI135" s="105"/>
      <c r="CZJ135" s="105"/>
      <c r="CZK135" s="105"/>
      <c r="CZL135" s="105"/>
      <c r="CZM135" s="105"/>
      <c r="CZN135" s="105"/>
      <c r="CZO135" s="105"/>
      <c r="CZP135" s="105"/>
      <c r="CZQ135" s="105"/>
      <c r="CZR135" s="105"/>
      <c r="CZS135" s="105"/>
      <c r="CZT135" s="105"/>
      <c r="CZU135" s="105"/>
      <c r="CZV135" s="105"/>
      <c r="CZW135" s="105"/>
      <c r="CZX135" s="105"/>
      <c r="CZY135" s="105"/>
      <c r="CZZ135" s="105"/>
      <c r="DAA135" s="105"/>
      <c r="DAB135" s="105"/>
      <c r="DAC135" s="105"/>
      <c r="DAD135" s="105"/>
      <c r="DAE135" s="105"/>
      <c r="DAF135" s="105"/>
      <c r="DAG135" s="105"/>
      <c r="DAH135" s="105"/>
      <c r="DAI135" s="105"/>
      <c r="DAJ135" s="105"/>
      <c r="DAK135" s="105"/>
      <c r="DAL135" s="105"/>
      <c r="DAM135" s="105"/>
      <c r="DAN135" s="105"/>
      <c r="DAO135" s="105"/>
      <c r="DAP135" s="105"/>
      <c r="DAQ135" s="105"/>
      <c r="DAR135" s="105"/>
      <c r="DAS135" s="105"/>
      <c r="DAT135" s="105"/>
      <c r="DAU135" s="105"/>
      <c r="DAV135" s="105"/>
      <c r="DAW135" s="105"/>
      <c r="DAX135" s="105"/>
      <c r="DAY135" s="105"/>
      <c r="DAZ135" s="105"/>
      <c r="DBA135" s="105"/>
      <c r="DBB135" s="105"/>
      <c r="DBC135" s="105"/>
      <c r="DBD135" s="105"/>
      <c r="DBE135" s="105"/>
      <c r="DBF135" s="105"/>
      <c r="DBG135" s="105"/>
      <c r="DBH135" s="105"/>
      <c r="DBI135" s="105"/>
      <c r="DBJ135" s="105"/>
      <c r="DBK135" s="105"/>
      <c r="DBL135" s="105"/>
      <c r="DBM135" s="105"/>
      <c r="DBN135" s="105"/>
      <c r="DBO135" s="105"/>
      <c r="DBP135" s="105"/>
      <c r="DBQ135" s="105"/>
      <c r="DBR135" s="105"/>
      <c r="DBS135" s="105"/>
      <c r="DBT135" s="105"/>
      <c r="DBU135" s="105"/>
      <c r="DBV135" s="105"/>
      <c r="DBW135" s="105"/>
      <c r="DBX135" s="105"/>
      <c r="DBY135" s="105"/>
      <c r="DBZ135" s="105"/>
      <c r="DCA135" s="105"/>
      <c r="DCB135" s="105"/>
      <c r="DCC135" s="105"/>
      <c r="DCD135" s="105"/>
      <c r="DCE135" s="105"/>
      <c r="DCF135" s="105"/>
      <c r="DCG135" s="105"/>
      <c r="DCH135" s="105"/>
      <c r="DCI135" s="105"/>
      <c r="DCJ135" s="105"/>
      <c r="DCK135" s="105"/>
      <c r="DCL135" s="105"/>
      <c r="DCM135" s="105"/>
      <c r="DCN135" s="105"/>
      <c r="DCO135" s="105"/>
      <c r="DCP135" s="105"/>
      <c r="DCQ135" s="105"/>
      <c r="DCR135" s="105"/>
      <c r="DCS135" s="105"/>
      <c r="DCT135" s="105"/>
      <c r="DCU135" s="105"/>
      <c r="DCV135" s="105"/>
      <c r="DCW135" s="105"/>
      <c r="DCX135" s="105"/>
      <c r="DCY135" s="105"/>
      <c r="DCZ135" s="105"/>
      <c r="DDA135" s="105"/>
      <c r="DDB135" s="105"/>
      <c r="DDC135" s="105"/>
      <c r="DDD135" s="105"/>
      <c r="DDE135" s="105"/>
      <c r="DDF135" s="105"/>
      <c r="DDG135" s="105"/>
      <c r="DDH135" s="105"/>
      <c r="DDI135" s="105"/>
      <c r="DDJ135" s="105"/>
      <c r="DDK135" s="105"/>
      <c r="DDL135" s="105"/>
      <c r="DDM135" s="105"/>
      <c r="DDN135" s="105"/>
      <c r="DDO135" s="105"/>
      <c r="DDP135" s="105"/>
      <c r="DDQ135" s="105"/>
      <c r="DDR135" s="105"/>
      <c r="DDS135" s="105"/>
      <c r="DDT135" s="105"/>
      <c r="DDU135" s="105"/>
      <c r="DDV135" s="105"/>
      <c r="DDW135" s="105"/>
      <c r="DDX135" s="105"/>
      <c r="DDY135" s="105"/>
      <c r="DDZ135" s="105"/>
      <c r="DEA135" s="105"/>
      <c r="DEB135" s="105"/>
      <c r="DEC135" s="105"/>
      <c r="DED135" s="105"/>
      <c r="DEE135" s="105"/>
      <c r="DEF135" s="105"/>
      <c r="DEG135" s="105"/>
      <c r="DEH135" s="105"/>
      <c r="DEI135" s="105"/>
      <c r="DEJ135" s="105"/>
      <c r="DEK135" s="105"/>
      <c r="DEL135" s="105"/>
      <c r="DEM135" s="105"/>
      <c r="DEN135" s="105"/>
      <c r="DEO135" s="105"/>
      <c r="DEP135" s="105"/>
      <c r="DEQ135" s="105"/>
      <c r="DER135" s="105"/>
      <c r="DES135" s="105"/>
      <c r="DET135" s="105"/>
      <c r="DEU135" s="105"/>
      <c r="DEV135" s="105"/>
      <c r="DEW135" s="105"/>
      <c r="DEX135" s="105"/>
      <c r="DEY135" s="105"/>
      <c r="DEZ135" s="105"/>
      <c r="DFA135" s="105"/>
      <c r="DFB135" s="105"/>
      <c r="DFC135" s="105"/>
      <c r="DFD135" s="105"/>
      <c r="DFE135" s="105"/>
      <c r="DFF135" s="105"/>
      <c r="DFG135" s="105"/>
      <c r="DFH135" s="105"/>
      <c r="DFI135" s="105"/>
      <c r="DFJ135" s="105"/>
      <c r="DFK135" s="105"/>
      <c r="DFL135" s="105"/>
      <c r="DFM135" s="105"/>
      <c r="DFN135" s="105"/>
      <c r="DFO135" s="105"/>
      <c r="DFP135" s="105"/>
      <c r="DFQ135" s="105"/>
      <c r="DFR135" s="105"/>
      <c r="DFS135" s="105"/>
      <c r="DFT135" s="105"/>
      <c r="DFU135" s="105"/>
      <c r="DFV135" s="105"/>
      <c r="DFW135" s="105"/>
      <c r="DFX135" s="105"/>
      <c r="DFY135" s="105"/>
      <c r="DFZ135" s="105"/>
      <c r="DGA135" s="105"/>
      <c r="DGB135" s="105"/>
      <c r="DGC135" s="105"/>
      <c r="DGD135" s="105"/>
      <c r="DGE135" s="105"/>
      <c r="DGF135" s="105"/>
      <c r="DGG135" s="105"/>
      <c r="DGH135" s="105"/>
      <c r="DGI135" s="105"/>
      <c r="DGJ135" s="105"/>
      <c r="DGK135" s="105"/>
      <c r="DGL135" s="105"/>
      <c r="DGM135" s="105"/>
      <c r="DGN135" s="105"/>
      <c r="DGO135" s="105"/>
      <c r="DGP135" s="105"/>
      <c r="DGQ135" s="105"/>
      <c r="DGR135" s="105"/>
      <c r="DGS135" s="105"/>
      <c r="DGT135" s="105"/>
      <c r="DGU135" s="105"/>
      <c r="DGV135" s="105"/>
      <c r="DGW135" s="105"/>
      <c r="DGX135" s="105"/>
      <c r="DGY135" s="105"/>
      <c r="DGZ135" s="105"/>
      <c r="DHA135" s="105"/>
      <c r="DHB135" s="105"/>
      <c r="DHC135" s="105"/>
      <c r="DHD135" s="105"/>
      <c r="DHE135" s="105"/>
      <c r="DHF135" s="105"/>
      <c r="DHG135" s="105"/>
      <c r="DHH135" s="105"/>
      <c r="DHI135" s="105"/>
      <c r="DHJ135" s="105"/>
      <c r="DHK135" s="105"/>
      <c r="DHL135" s="105"/>
      <c r="DHM135" s="105"/>
      <c r="DHN135" s="105"/>
      <c r="DHO135" s="105"/>
      <c r="DHP135" s="105"/>
      <c r="DHQ135" s="105"/>
      <c r="DHR135" s="105"/>
      <c r="DHS135" s="105"/>
      <c r="DHT135" s="105"/>
      <c r="DHU135" s="105"/>
      <c r="DHV135" s="105"/>
      <c r="DHW135" s="105"/>
      <c r="DHX135" s="105"/>
      <c r="DHY135" s="105"/>
      <c r="DHZ135" s="105"/>
      <c r="DIA135" s="105"/>
      <c r="DIB135" s="105"/>
      <c r="DIC135" s="105"/>
      <c r="DID135" s="105"/>
      <c r="DIE135" s="105"/>
      <c r="DIF135" s="105"/>
      <c r="DIG135" s="105"/>
      <c r="DIH135" s="105"/>
      <c r="DII135" s="105"/>
      <c r="DIJ135" s="105"/>
      <c r="DIK135" s="105"/>
      <c r="DIL135" s="105"/>
      <c r="DIM135" s="105"/>
      <c r="DIN135" s="105"/>
      <c r="DIO135" s="105"/>
      <c r="DIP135" s="105"/>
      <c r="DIQ135" s="105"/>
      <c r="DIR135" s="105"/>
      <c r="DIS135" s="105"/>
      <c r="DIT135" s="105"/>
      <c r="DIU135" s="105"/>
      <c r="DIV135" s="105"/>
      <c r="DIW135" s="105"/>
      <c r="DIX135" s="105"/>
      <c r="DIY135" s="105"/>
      <c r="DIZ135" s="105"/>
      <c r="DJA135" s="105"/>
      <c r="DJB135" s="105"/>
      <c r="DJC135" s="105"/>
      <c r="DJD135" s="105"/>
      <c r="DJE135" s="105"/>
      <c r="DJF135" s="105"/>
      <c r="DJG135" s="105"/>
      <c r="DJH135" s="105"/>
      <c r="DJI135" s="105"/>
      <c r="DJJ135" s="105"/>
      <c r="DJK135" s="105"/>
      <c r="DJL135" s="105"/>
      <c r="DJM135" s="105"/>
      <c r="DJN135" s="105"/>
      <c r="DJO135" s="105"/>
      <c r="DJP135" s="105"/>
      <c r="DJQ135" s="105"/>
      <c r="DJR135" s="105"/>
      <c r="DJS135" s="105"/>
      <c r="DJT135" s="105"/>
      <c r="DJU135" s="105"/>
      <c r="DJV135" s="105"/>
      <c r="DJW135" s="105"/>
      <c r="DJX135" s="105"/>
      <c r="DJY135" s="105"/>
      <c r="DJZ135" s="105"/>
      <c r="DKA135" s="105"/>
      <c r="DKB135" s="105"/>
      <c r="DKC135" s="105"/>
      <c r="DKD135" s="105"/>
      <c r="DKE135" s="105"/>
      <c r="DKF135" s="105"/>
      <c r="DKG135" s="105"/>
      <c r="DKH135" s="105"/>
      <c r="DKI135" s="105"/>
      <c r="DKJ135" s="105"/>
      <c r="DKK135" s="105"/>
      <c r="DKL135" s="105"/>
      <c r="DKM135" s="105"/>
      <c r="DKN135" s="105"/>
      <c r="DKO135" s="105"/>
      <c r="DKP135" s="105"/>
      <c r="DKQ135" s="105"/>
      <c r="DKR135" s="105"/>
      <c r="DKS135" s="105"/>
      <c r="DKT135" s="105"/>
      <c r="DKU135" s="105"/>
      <c r="DKV135" s="105"/>
      <c r="DKW135" s="105"/>
      <c r="DKX135" s="105"/>
      <c r="DKY135" s="105"/>
      <c r="DKZ135" s="105"/>
      <c r="DLA135" s="105"/>
      <c r="DLB135" s="105"/>
      <c r="DLC135" s="105"/>
      <c r="DLD135" s="105"/>
      <c r="DLE135" s="105"/>
      <c r="DLF135" s="105"/>
      <c r="DLG135" s="105"/>
      <c r="DLH135" s="105"/>
      <c r="DLI135" s="105"/>
      <c r="DLJ135" s="105"/>
      <c r="DLK135" s="105"/>
      <c r="DLL135" s="105"/>
      <c r="DLM135" s="105"/>
      <c r="DLN135" s="105"/>
      <c r="DLO135" s="105"/>
      <c r="DLP135" s="105"/>
      <c r="DLQ135" s="105"/>
      <c r="DLR135" s="105"/>
      <c r="DLS135" s="105"/>
      <c r="DLT135" s="105"/>
      <c r="DLU135" s="105"/>
      <c r="DLV135" s="105"/>
      <c r="DLW135" s="105"/>
      <c r="DLX135" s="105"/>
      <c r="DLY135" s="105"/>
      <c r="DLZ135" s="105"/>
      <c r="DMA135" s="105"/>
      <c r="DMB135" s="105"/>
      <c r="DMC135" s="105"/>
      <c r="DMD135" s="105"/>
      <c r="DME135" s="105"/>
      <c r="DMF135" s="105"/>
      <c r="DMG135" s="105"/>
      <c r="DMH135" s="105"/>
      <c r="DMI135" s="105"/>
      <c r="DMJ135" s="105"/>
      <c r="DMK135" s="105"/>
      <c r="DML135" s="105"/>
      <c r="DMM135" s="105"/>
      <c r="DMN135" s="105"/>
      <c r="DMO135" s="105"/>
      <c r="DMP135" s="105"/>
      <c r="DMQ135" s="105"/>
      <c r="DMR135" s="105"/>
      <c r="DMS135" s="105"/>
      <c r="DMT135" s="105"/>
      <c r="DMU135" s="105"/>
      <c r="DMV135" s="105"/>
      <c r="DMW135" s="105"/>
      <c r="DMX135" s="105"/>
      <c r="DMY135" s="105"/>
      <c r="DMZ135" s="105"/>
      <c r="DNA135" s="105"/>
      <c r="DNB135" s="105"/>
      <c r="DNC135" s="105"/>
      <c r="DND135" s="105"/>
      <c r="DNE135" s="105"/>
      <c r="DNF135" s="105"/>
      <c r="DNG135" s="105"/>
      <c r="DNH135" s="105"/>
      <c r="DNI135" s="105"/>
      <c r="DNJ135" s="105"/>
      <c r="DNK135" s="105"/>
      <c r="DNL135" s="105"/>
      <c r="DNM135" s="105"/>
      <c r="DNN135" s="105"/>
      <c r="DNO135" s="105"/>
      <c r="DNP135" s="105"/>
      <c r="DNQ135" s="105"/>
      <c r="DNR135" s="105"/>
      <c r="DNS135" s="105"/>
      <c r="DNT135" s="105"/>
      <c r="DNU135" s="105"/>
      <c r="DNV135" s="105"/>
      <c r="DNW135" s="105"/>
      <c r="DNX135" s="105"/>
      <c r="DNY135" s="105"/>
      <c r="DNZ135" s="105"/>
      <c r="DOA135" s="105"/>
      <c r="DOB135" s="105"/>
      <c r="DOC135" s="105"/>
      <c r="DOD135" s="105"/>
      <c r="DOE135" s="105"/>
      <c r="DOF135" s="105"/>
      <c r="DOG135" s="105"/>
      <c r="DOH135" s="105"/>
      <c r="DOI135" s="105"/>
      <c r="DOJ135" s="105"/>
      <c r="DOK135" s="105"/>
      <c r="DOL135" s="105"/>
      <c r="DOM135" s="105"/>
      <c r="DON135" s="105"/>
      <c r="DOO135" s="105"/>
      <c r="DOP135" s="105"/>
      <c r="DOQ135" s="105"/>
      <c r="DOR135" s="105"/>
      <c r="DOS135" s="105"/>
      <c r="DOT135" s="105"/>
      <c r="DOU135" s="105"/>
      <c r="DOV135" s="105"/>
      <c r="DOW135" s="105"/>
      <c r="DOX135" s="105"/>
      <c r="DOY135" s="105"/>
      <c r="DOZ135" s="105"/>
      <c r="DPA135" s="105"/>
      <c r="DPB135" s="105"/>
      <c r="DPC135" s="105"/>
      <c r="DPD135" s="105"/>
      <c r="DPE135" s="105"/>
      <c r="DPF135" s="105"/>
      <c r="DPG135" s="105"/>
      <c r="DPH135" s="105"/>
      <c r="DPI135" s="105"/>
      <c r="DPJ135" s="105"/>
      <c r="DPK135" s="105"/>
      <c r="DPL135" s="105"/>
      <c r="DPM135" s="105"/>
      <c r="DPN135" s="105"/>
      <c r="DPO135" s="105"/>
      <c r="DPP135" s="105"/>
      <c r="DPQ135" s="105"/>
      <c r="DPR135" s="105"/>
      <c r="DPS135" s="105"/>
      <c r="DPT135" s="105"/>
      <c r="DPU135" s="105"/>
      <c r="DPV135" s="105"/>
      <c r="DPW135" s="105"/>
      <c r="DPX135" s="105"/>
      <c r="DPY135" s="105"/>
      <c r="DPZ135" s="105"/>
      <c r="DQA135" s="105"/>
      <c r="DQB135" s="105"/>
      <c r="DQC135" s="105"/>
      <c r="DQD135" s="105"/>
      <c r="DQE135" s="105"/>
      <c r="DQF135" s="105"/>
      <c r="DQG135" s="105"/>
      <c r="DQH135" s="105"/>
      <c r="DQI135" s="105"/>
      <c r="DQJ135" s="105"/>
      <c r="DQK135" s="105"/>
      <c r="DQL135" s="105"/>
      <c r="DQM135" s="105"/>
      <c r="DQN135" s="105"/>
      <c r="DQO135" s="105"/>
      <c r="DQP135" s="105"/>
      <c r="DQQ135" s="105"/>
      <c r="DQR135" s="105"/>
      <c r="DQS135" s="105"/>
      <c r="DQT135" s="105"/>
      <c r="DQU135" s="105"/>
      <c r="DQV135" s="105"/>
      <c r="DQW135" s="105"/>
      <c r="DQX135" s="105"/>
      <c r="DQY135" s="105"/>
      <c r="DQZ135" s="105"/>
      <c r="DRA135" s="105"/>
      <c r="DRB135" s="105"/>
      <c r="DRC135" s="105"/>
      <c r="DRD135" s="105"/>
      <c r="DRE135" s="105"/>
      <c r="DRF135" s="105"/>
      <c r="DRG135" s="105"/>
      <c r="DRH135" s="105"/>
      <c r="DRI135" s="105"/>
      <c r="DRJ135" s="105"/>
      <c r="DRK135" s="105"/>
      <c r="DRL135" s="105"/>
      <c r="DRM135" s="105"/>
      <c r="DRN135" s="105"/>
      <c r="DRO135" s="105"/>
      <c r="DRP135" s="105"/>
      <c r="DRQ135" s="105"/>
      <c r="DRR135" s="105"/>
      <c r="DRS135" s="105"/>
      <c r="DRT135" s="105"/>
      <c r="DRU135" s="105"/>
      <c r="DRV135" s="105"/>
      <c r="DRW135" s="105"/>
      <c r="DRX135" s="105"/>
      <c r="DRY135" s="105"/>
      <c r="DRZ135" s="105"/>
      <c r="DSA135" s="105"/>
      <c r="DSB135" s="105"/>
      <c r="DSC135" s="105"/>
      <c r="DSD135" s="105"/>
      <c r="DSE135" s="105"/>
      <c r="DSF135" s="105"/>
      <c r="DSG135" s="105"/>
      <c r="DSH135" s="105"/>
      <c r="DSI135" s="105"/>
      <c r="DSJ135" s="105"/>
      <c r="DSK135" s="105"/>
      <c r="DSL135" s="105"/>
      <c r="DSM135" s="105"/>
      <c r="DSN135" s="105"/>
      <c r="DSO135" s="105"/>
      <c r="DSP135" s="105"/>
      <c r="DSQ135" s="105"/>
      <c r="DSR135" s="105"/>
      <c r="DSS135" s="105"/>
      <c r="DST135" s="105"/>
      <c r="DSU135" s="105"/>
      <c r="DSV135" s="105"/>
      <c r="DSW135" s="105"/>
      <c r="DSX135" s="105"/>
      <c r="DSY135" s="105"/>
      <c r="DSZ135" s="105"/>
      <c r="DTA135" s="105"/>
      <c r="DTB135" s="105"/>
      <c r="DTC135" s="105"/>
      <c r="DTD135" s="105"/>
      <c r="DTE135" s="105"/>
      <c r="DTF135" s="105"/>
      <c r="DTG135" s="105"/>
      <c r="DTH135" s="105"/>
      <c r="DTI135" s="105"/>
      <c r="DTJ135" s="105"/>
      <c r="DTK135" s="105"/>
      <c r="DTL135" s="105"/>
      <c r="DTM135" s="105"/>
      <c r="DTN135" s="105"/>
      <c r="DTO135" s="105"/>
      <c r="DTP135" s="105"/>
      <c r="DTQ135" s="105"/>
      <c r="DTR135" s="105"/>
      <c r="DTS135" s="105"/>
      <c r="DTT135" s="105"/>
      <c r="DTU135" s="105"/>
      <c r="DTV135" s="105"/>
      <c r="DTW135" s="105"/>
      <c r="DTX135" s="105"/>
      <c r="DTY135" s="105"/>
      <c r="DTZ135" s="105"/>
      <c r="DUA135" s="105"/>
      <c r="DUB135" s="105"/>
      <c r="DUC135" s="105"/>
      <c r="DUD135" s="105"/>
      <c r="DUE135" s="105"/>
      <c r="DUF135" s="105"/>
      <c r="DUG135" s="105"/>
      <c r="DUH135" s="105"/>
      <c r="DUI135" s="105"/>
      <c r="DUJ135" s="105"/>
      <c r="DUK135" s="105"/>
      <c r="DUL135" s="105"/>
      <c r="DUM135" s="105"/>
      <c r="DUN135" s="105"/>
      <c r="DUO135" s="105"/>
      <c r="DUP135" s="105"/>
      <c r="DUQ135" s="105"/>
      <c r="DUR135" s="105"/>
      <c r="DUS135" s="105"/>
      <c r="DUT135" s="105"/>
      <c r="DUU135" s="105"/>
      <c r="DUV135" s="105"/>
      <c r="DUW135" s="105"/>
      <c r="DUX135" s="105"/>
      <c r="DUY135" s="105"/>
      <c r="DUZ135" s="105"/>
      <c r="DVA135" s="105"/>
      <c r="DVB135" s="105"/>
      <c r="DVC135" s="105"/>
      <c r="DVD135" s="105"/>
      <c r="DVE135" s="105"/>
      <c r="DVF135" s="105"/>
      <c r="DVG135" s="105"/>
      <c r="DVH135" s="105"/>
      <c r="DVI135" s="105"/>
      <c r="DVJ135" s="105"/>
      <c r="DVK135" s="105"/>
      <c r="DVL135" s="105"/>
      <c r="DVM135" s="105"/>
      <c r="DVN135" s="105"/>
      <c r="DVO135" s="105"/>
      <c r="DVP135" s="105"/>
      <c r="DVQ135" s="105"/>
      <c r="DVR135" s="105"/>
      <c r="DVS135" s="105"/>
      <c r="DVT135" s="105"/>
      <c r="DVU135" s="105"/>
      <c r="DVV135" s="105"/>
      <c r="DVW135" s="105"/>
      <c r="DVX135" s="105"/>
      <c r="DVY135" s="105"/>
      <c r="DVZ135" s="105"/>
      <c r="DWA135" s="105"/>
      <c r="DWB135" s="105"/>
      <c r="DWC135" s="105"/>
      <c r="DWD135" s="105"/>
      <c r="DWE135" s="105"/>
      <c r="DWF135" s="105"/>
      <c r="DWG135" s="105"/>
      <c r="DWH135" s="105"/>
      <c r="DWI135" s="105"/>
      <c r="DWJ135" s="105"/>
      <c r="DWK135" s="105"/>
      <c r="DWL135" s="105"/>
      <c r="DWM135" s="105"/>
      <c r="DWN135" s="105"/>
      <c r="DWO135" s="105"/>
      <c r="DWP135" s="105"/>
      <c r="DWQ135" s="105"/>
      <c r="DWR135" s="105"/>
      <c r="DWS135" s="105"/>
      <c r="DWT135" s="105"/>
      <c r="DWU135" s="105"/>
      <c r="DWV135" s="105"/>
      <c r="DWW135" s="105"/>
      <c r="DWX135" s="105"/>
      <c r="DWY135" s="105"/>
      <c r="DWZ135" s="105"/>
      <c r="DXA135" s="105"/>
      <c r="DXB135" s="105"/>
      <c r="DXC135" s="105"/>
      <c r="DXD135" s="105"/>
      <c r="DXE135" s="105"/>
      <c r="DXF135" s="105"/>
      <c r="DXG135" s="105"/>
      <c r="DXH135" s="105"/>
      <c r="DXI135" s="105"/>
      <c r="DXJ135" s="105"/>
      <c r="DXK135" s="105"/>
      <c r="DXL135" s="105"/>
      <c r="DXM135" s="105"/>
      <c r="DXN135" s="105"/>
      <c r="DXO135" s="105"/>
      <c r="DXP135" s="105"/>
      <c r="DXQ135" s="105"/>
      <c r="DXR135" s="105"/>
      <c r="DXS135" s="105"/>
      <c r="DXT135" s="105"/>
      <c r="DXU135" s="105"/>
      <c r="DXV135" s="105"/>
      <c r="DXW135" s="105"/>
      <c r="DXX135" s="105"/>
      <c r="DXY135" s="105"/>
      <c r="DXZ135" s="105"/>
      <c r="DYA135" s="105"/>
      <c r="DYB135" s="105"/>
      <c r="DYC135" s="105"/>
      <c r="DYD135" s="105"/>
      <c r="DYE135" s="105"/>
      <c r="DYF135" s="105"/>
      <c r="DYG135" s="105"/>
      <c r="DYH135" s="105"/>
      <c r="DYI135" s="105"/>
      <c r="DYJ135" s="105"/>
      <c r="DYK135" s="105"/>
      <c r="DYL135" s="105"/>
      <c r="DYM135" s="105"/>
      <c r="DYN135" s="105"/>
      <c r="DYO135" s="105"/>
      <c r="DYP135" s="105"/>
      <c r="DYQ135" s="105"/>
      <c r="DYR135" s="105"/>
      <c r="DYS135" s="105"/>
      <c r="DYT135" s="105"/>
      <c r="DYU135" s="105"/>
      <c r="DYV135" s="105"/>
      <c r="DYW135" s="105"/>
      <c r="DYX135" s="105"/>
      <c r="DYY135" s="105"/>
      <c r="DYZ135" s="105"/>
      <c r="DZA135" s="105"/>
      <c r="DZB135" s="105"/>
      <c r="DZC135" s="105"/>
      <c r="DZD135" s="105"/>
      <c r="DZE135" s="105"/>
      <c r="DZF135" s="105"/>
      <c r="DZG135" s="105"/>
      <c r="DZH135" s="105"/>
      <c r="DZI135" s="105"/>
      <c r="DZJ135" s="105"/>
      <c r="DZK135" s="105"/>
      <c r="DZL135" s="105"/>
      <c r="DZM135" s="105"/>
      <c r="DZN135" s="105"/>
      <c r="DZO135" s="105"/>
      <c r="DZP135" s="105"/>
      <c r="DZQ135" s="105"/>
      <c r="DZR135" s="105"/>
      <c r="DZS135" s="105"/>
      <c r="DZT135" s="105"/>
      <c r="DZU135" s="105"/>
      <c r="DZV135" s="105"/>
      <c r="DZW135" s="105"/>
      <c r="DZX135" s="105"/>
      <c r="DZY135" s="105"/>
      <c r="DZZ135" s="105"/>
      <c r="EAA135" s="105"/>
      <c r="EAB135" s="105"/>
      <c r="EAC135" s="105"/>
      <c r="EAD135" s="105"/>
      <c r="EAE135" s="105"/>
      <c r="EAF135" s="105"/>
      <c r="EAG135" s="105"/>
      <c r="EAH135" s="105"/>
      <c r="EAI135" s="105"/>
      <c r="EAJ135" s="105"/>
      <c r="EAK135" s="105"/>
      <c r="EAL135" s="105"/>
      <c r="EAM135" s="105"/>
      <c r="EAN135" s="105"/>
      <c r="EAO135" s="105"/>
      <c r="EAP135" s="105"/>
      <c r="EAQ135" s="105"/>
      <c r="EAR135" s="105"/>
      <c r="EAS135" s="105"/>
      <c r="EAT135" s="105"/>
      <c r="EAU135" s="105"/>
      <c r="EAV135" s="105"/>
      <c r="EAW135" s="105"/>
      <c r="EAX135" s="105"/>
      <c r="EAY135" s="105"/>
      <c r="EAZ135" s="105"/>
      <c r="EBA135" s="105"/>
      <c r="EBB135" s="105"/>
      <c r="EBC135" s="105"/>
      <c r="EBD135" s="105"/>
      <c r="EBE135" s="105"/>
      <c r="EBF135" s="105"/>
      <c r="EBG135" s="105"/>
      <c r="EBH135" s="105"/>
      <c r="EBI135" s="105"/>
      <c r="EBJ135" s="105"/>
      <c r="EBK135" s="105"/>
      <c r="EBL135" s="105"/>
      <c r="EBM135" s="105"/>
      <c r="EBN135" s="105"/>
      <c r="EBO135" s="105"/>
      <c r="EBP135" s="105"/>
      <c r="EBQ135" s="105"/>
      <c r="EBR135" s="105"/>
      <c r="EBS135" s="105"/>
      <c r="EBT135" s="105"/>
      <c r="EBU135" s="105"/>
      <c r="EBV135" s="105"/>
      <c r="EBW135" s="105"/>
      <c r="EBX135" s="105"/>
      <c r="EBY135" s="105"/>
      <c r="EBZ135" s="105"/>
      <c r="ECA135" s="105"/>
      <c r="ECB135" s="105"/>
      <c r="ECC135" s="105"/>
      <c r="ECD135" s="105"/>
      <c r="ECE135" s="105"/>
      <c r="ECF135" s="105"/>
      <c r="ECG135" s="105"/>
      <c r="ECH135" s="105"/>
      <c r="ECI135" s="105"/>
      <c r="ECJ135" s="105"/>
      <c r="ECK135" s="105"/>
      <c r="ECL135" s="105"/>
      <c r="ECM135" s="105"/>
      <c r="ECN135" s="105"/>
      <c r="ECO135" s="105"/>
      <c r="ECP135" s="105"/>
      <c r="ECQ135" s="105"/>
      <c r="ECR135" s="105"/>
      <c r="ECS135" s="105"/>
      <c r="ECT135" s="105"/>
      <c r="ECU135" s="105"/>
      <c r="ECV135" s="105"/>
      <c r="ECW135" s="105"/>
      <c r="ECX135" s="105"/>
      <c r="ECY135" s="105"/>
      <c r="ECZ135" s="105"/>
      <c r="EDA135" s="105"/>
      <c r="EDB135" s="105"/>
      <c r="EDC135" s="105"/>
      <c r="EDD135" s="105"/>
      <c r="EDE135" s="105"/>
      <c r="EDF135" s="105"/>
      <c r="EDG135" s="105"/>
      <c r="EDH135" s="105"/>
      <c r="EDI135" s="105"/>
      <c r="EDJ135" s="105"/>
      <c r="EDK135" s="105"/>
      <c r="EDL135" s="105"/>
      <c r="EDM135" s="105"/>
      <c r="EDN135" s="105"/>
      <c r="EDO135" s="105"/>
      <c r="EDP135" s="105"/>
      <c r="EDQ135" s="105"/>
      <c r="EDR135" s="105"/>
      <c r="EDS135" s="105"/>
      <c r="EDT135" s="105"/>
      <c r="EDU135" s="105"/>
      <c r="EDV135" s="105"/>
      <c r="EDW135" s="105"/>
      <c r="EDX135" s="105"/>
      <c r="EDY135" s="105"/>
      <c r="EDZ135" s="105"/>
      <c r="EEA135" s="105"/>
      <c r="EEB135" s="105"/>
      <c r="EEC135" s="105"/>
      <c r="EED135" s="105"/>
      <c r="EEE135" s="105"/>
      <c r="EEF135" s="105"/>
      <c r="EEG135" s="105"/>
      <c r="EEH135" s="105"/>
      <c r="EEI135" s="105"/>
      <c r="EEJ135" s="105"/>
      <c r="EEK135" s="105"/>
      <c r="EEL135" s="105"/>
      <c r="EEM135" s="105"/>
      <c r="EEN135" s="105"/>
      <c r="EEO135" s="105"/>
      <c r="EEP135" s="105"/>
      <c r="EEQ135" s="105"/>
      <c r="EER135" s="105"/>
      <c r="EES135" s="105"/>
      <c r="EET135" s="105"/>
      <c r="EEU135" s="105"/>
      <c r="EEV135" s="105"/>
      <c r="EEW135" s="105"/>
      <c r="EEX135" s="105"/>
      <c r="EEY135" s="105"/>
      <c r="EEZ135" s="105"/>
      <c r="EFA135" s="105"/>
      <c r="EFB135" s="105"/>
      <c r="EFC135" s="105"/>
      <c r="EFD135" s="105"/>
      <c r="EFE135" s="105"/>
      <c r="EFF135" s="105"/>
      <c r="EFG135" s="105"/>
      <c r="EFH135" s="105"/>
      <c r="EFI135" s="105"/>
      <c r="EFJ135" s="105"/>
      <c r="EFK135" s="105"/>
      <c r="EFL135" s="105"/>
      <c r="EFM135" s="105"/>
      <c r="EFN135" s="105"/>
      <c r="EFO135" s="105"/>
      <c r="EFP135" s="105"/>
      <c r="EFQ135" s="105"/>
      <c r="EFR135" s="105"/>
      <c r="EFS135" s="105"/>
      <c r="EFT135" s="105"/>
      <c r="EFU135" s="105"/>
      <c r="EFV135" s="105"/>
      <c r="EFW135" s="105"/>
      <c r="EFX135" s="105"/>
      <c r="EFY135" s="105"/>
      <c r="EFZ135" s="105"/>
      <c r="EGA135" s="105"/>
      <c r="EGB135" s="105"/>
      <c r="EGC135" s="105"/>
      <c r="EGD135" s="105"/>
      <c r="EGE135" s="105"/>
      <c r="EGF135" s="105"/>
      <c r="EGG135" s="105"/>
      <c r="EGH135" s="105"/>
      <c r="EGI135" s="105"/>
      <c r="EGJ135" s="105"/>
      <c r="EGK135" s="105"/>
      <c r="EGL135" s="105"/>
      <c r="EGM135" s="105"/>
      <c r="EGN135" s="105"/>
      <c r="EGO135" s="105"/>
      <c r="EGP135" s="105"/>
      <c r="EGQ135" s="105"/>
      <c r="EGR135" s="105"/>
      <c r="EGS135" s="105"/>
      <c r="EGT135" s="105"/>
      <c r="EGU135" s="105"/>
      <c r="EGV135" s="105"/>
      <c r="EGW135" s="105"/>
      <c r="EGX135" s="105"/>
      <c r="EGY135" s="105"/>
      <c r="EGZ135" s="105"/>
      <c r="EHA135" s="105"/>
      <c r="EHB135" s="105"/>
      <c r="EHC135" s="105"/>
      <c r="EHD135" s="105"/>
      <c r="EHE135" s="105"/>
      <c r="EHF135" s="105"/>
      <c r="EHG135" s="105"/>
      <c r="EHH135" s="105"/>
      <c r="EHI135" s="105"/>
      <c r="EHJ135" s="105"/>
      <c r="EHK135" s="105"/>
      <c r="EHL135" s="105"/>
      <c r="EHM135" s="105"/>
      <c r="EHN135" s="105"/>
      <c r="EHO135" s="105"/>
      <c r="EHP135" s="105"/>
      <c r="EHQ135" s="105"/>
      <c r="EHR135" s="105"/>
      <c r="EHS135" s="105"/>
      <c r="EHT135" s="105"/>
      <c r="EHU135" s="105"/>
      <c r="EHV135" s="105"/>
      <c r="EHW135" s="105"/>
      <c r="EHX135" s="105"/>
      <c r="EHY135" s="105"/>
      <c r="EHZ135" s="105"/>
      <c r="EIA135" s="105"/>
      <c r="EIB135" s="105"/>
      <c r="EIC135" s="105"/>
      <c r="EID135" s="105"/>
      <c r="EIE135" s="105"/>
      <c r="EIF135" s="105"/>
      <c r="EIG135" s="105"/>
      <c r="EIH135" s="105"/>
      <c r="EII135" s="105"/>
      <c r="EIJ135" s="105"/>
      <c r="EIK135" s="105"/>
      <c r="EIL135" s="105"/>
      <c r="EIM135" s="105"/>
      <c r="EIN135" s="105"/>
      <c r="EIO135" s="105"/>
      <c r="EIP135" s="105"/>
      <c r="EIQ135" s="105"/>
      <c r="EIR135" s="105"/>
      <c r="EIS135" s="105"/>
      <c r="EIT135" s="105"/>
      <c r="EIU135" s="105"/>
      <c r="EIV135" s="105"/>
      <c r="EIW135" s="105"/>
      <c r="EIX135" s="105"/>
      <c r="EIY135" s="105"/>
      <c r="EIZ135" s="105"/>
      <c r="EJA135" s="105"/>
      <c r="EJB135" s="105"/>
      <c r="EJC135" s="105"/>
      <c r="EJD135" s="105"/>
      <c r="EJE135" s="105"/>
      <c r="EJF135" s="105"/>
      <c r="EJG135" s="105"/>
      <c r="EJH135" s="105"/>
      <c r="EJI135" s="105"/>
      <c r="EJJ135" s="105"/>
      <c r="EJK135" s="105"/>
      <c r="EJL135" s="105"/>
      <c r="EJM135" s="105"/>
      <c r="EJN135" s="105"/>
      <c r="EJO135" s="105"/>
      <c r="EJP135" s="105"/>
      <c r="EJQ135" s="105"/>
      <c r="EJR135" s="105"/>
      <c r="EJS135" s="105"/>
      <c r="EJT135" s="105"/>
      <c r="EJU135" s="105"/>
      <c r="EJV135" s="105"/>
      <c r="EJW135" s="105"/>
      <c r="EJX135" s="105"/>
      <c r="EJY135" s="105"/>
      <c r="EJZ135" s="105"/>
      <c r="EKA135" s="105"/>
      <c r="EKB135" s="105"/>
      <c r="EKC135" s="105"/>
      <c r="EKD135" s="105"/>
      <c r="EKE135" s="105"/>
      <c r="EKF135" s="105"/>
      <c r="EKG135" s="105"/>
      <c r="EKH135" s="105"/>
      <c r="EKI135" s="105"/>
      <c r="EKJ135" s="105"/>
      <c r="EKK135" s="105"/>
      <c r="EKL135" s="105"/>
      <c r="EKM135" s="105"/>
      <c r="EKN135" s="105"/>
      <c r="EKO135" s="105"/>
      <c r="EKP135" s="105"/>
      <c r="EKQ135" s="105"/>
      <c r="EKR135" s="105"/>
      <c r="EKS135" s="105"/>
      <c r="EKT135" s="105"/>
      <c r="EKU135" s="105"/>
      <c r="EKV135" s="105"/>
      <c r="EKW135" s="105"/>
      <c r="EKX135" s="105"/>
      <c r="EKY135" s="105"/>
      <c r="EKZ135" s="105"/>
      <c r="ELA135" s="105"/>
      <c r="ELB135" s="105"/>
      <c r="ELC135" s="105"/>
      <c r="ELD135" s="105"/>
      <c r="ELE135" s="105"/>
      <c r="ELF135" s="105"/>
      <c r="ELG135" s="105"/>
      <c r="ELH135" s="105"/>
      <c r="ELI135" s="105"/>
      <c r="ELJ135" s="105"/>
      <c r="ELK135" s="105"/>
      <c r="ELL135" s="105"/>
      <c r="ELM135" s="105"/>
      <c r="ELN135" s="105"/>
      <c r="ELO135" s="105"/>
      <c r="ELP135" s="105"/>
      <c r="ELQ135" s="105"/>
      <c r="ELR135" s="105"/>
      <c r="ELS135" s="105"/>
      <c r="ELT135" s="105"/>
      <c r="ELU135" s="105"/>
      <c r="ELV135" s="105"/>
      <c r="ELW135" s="105"/>
      <c r="ELX135" s="105"/>
      <c r="ELY135" s="105"/>
      <c r="ELZ135" s="105"/>
      <c r="EMA135" s="105"/>
      <c r="EMB135" s="105"/>
      <c r="EMC135" s="105"/>
      <c r="EMD135" s="105"/>
      <c r="EME135" s="105"/>
      <c r="EMF135" s="105"/>
      <c r="EMG135" s="105"/>
      <c r="EMH135" s="105"/>
      <c r="EMI135" s="105"/>
      <c r="EMJ135" s="105"/>
      <c r="EMK135" s="105"/>
      <c r="EML135" s="105"/>
      <c r="EMM135" s="105"/>
      <c r="EMN135" s="105"/>
      <c r="EMO135" s="105"/>
      <c r="EMP135" s="105"/>
      <c r="EMQ135" s="105"/>
      <c r="EMR135" s="105"/>
      <c r="EMS135" s="105"/>
      <c r="EMT135" s="105"/>
      <c r="EMU135" s="105"/>
      <c r="EMV135" s="105"/>
      <c r="EMW135" s="105"/>
      <c r="EMX135" s="105"/>
      <c r="EMY135" s="105"/>
      <c r="EMZ135" s="105"/>
      <c r="ENA135" s="105"/>
      <c r="ENB135" s="105"/>
      <c r="ENC135" s="105"/>
      <c r="END135" s="105"/>
      <c r="ENE135" s="105"/>
      <c r="ENF135" s="105"/>
      <c r="ENG135" s="105"/>
      <c r="ENH135" s="105"/>
      <c r="ENI135" s="105"/>
      <c r="ENJ135" s="105"/>
      <c r="ENK135" s="105"/>
      <c r="ENL135" s="105"/>
      <c r="ENM135" s="105"/>
      <c r="ENN135" s="105"/>
      <c r="ENO135" s="105"/>
      <c r="ENP135" s="105"/>
      <c r="ENQ135" s="105"/>
      <c r="ENR135" s="105"/>
      <c r="ENS135" s="105"/>
      <c r="ENT135" s="105"/>
      <c r="ENU135" s="105"/>
      <c r="ENV135" s="105"/>
      <c r="ENW135" s="105"/>
      <c r="ENX135" s="105"/>
      <c r="ENY135" s="105"/>
      <c r="ENZ135" s="105"/>
      <c r="EOA135" s="105"/>
      <c r="EOB135" s="105"/>
      <c r="EOC135" s="105"/>
      <c r="EOD135" s="105"/>
      <c r="EOE135" s="105"/>
      <c r="EOF135" s="105"/>
      <c r="EOG135" s="105"/>
      <c r="EOH135" s="105"/>
      <c r="EOI135" s="105"/>
      <c r="EOJ135" s="105"/>
      <c r="EOK135" s="105"/>
      <c r="EOL135" s="105"/>
      <c r="EOM135" s="105"/>
      <c r="EON135" s="105"/>
      <c r="EOO135" s="105"/>
      <c r="EOP135" s="105"/>
      <c r="EOQ135" s="105"/>
      <c r="EOR135" s="105"/>
      <c r="EOS135" s="105"/>
      <c r="EOT135" s="105"/>
      <c r="EOU135" s="105"/>
      <c r="EOV135" s="105"/>
      <c r="EOW135" s="105"/>
      <c r="EOX135" s="105"/>
      <c r="EOY135" s="105"/>
      <c r="EOZ135" s="105"/>
      <c r="EPA135" s="105"/>
      <c r="EPB135" s="105"/>
      <c r="EPC135" s="105"/>
      <c r="EPD135" s="105"/>
      <c r="EPE135" s="105"/>
      <c r="EPF135" s="105"/>
      <c r="EPG135" s="105"/>
      <c r="EPH135" s="105"/>
      <c r="EPI135" s="105"/>
      <c r="EPJ135" s="105"/>
      <c r="EPK135" s="105"/>
      <c r="EPL135" s="105"/>
      <c r="EPM135" s="105"/>
      <c r="EPN135" s="105"/>
      <c r="EPO135" s="105"/>
      <c r="EPP135" s="105"/>
      <c r="EPQ135" s="105"/>
      <c r="EPR135" s="105"/>
      <c r="EPS135" s="105"/>
      <c r="EPT135" s="105"/>
      <c r="EPU135" s="105"/>
      <c r="EPV135" s="105"/>
      <c r="EPW135" s="105"/>
      <c r="EPX135" s="105"/>
      <c r="EPY135" s="105"/>
      <c r="EPZ135" s="105"/>
      <c r="EQA135" s="105"/>
      <c r="EQB135" s="105"/>
      <c r="EQC135" s="105"/>
      <c r="EQD135" s="105"/>
      <c r="EQE135" s="105"/>
      <c r="EQF135" s="105"/>
      <c r="EQG135" s="105"/>
      <c r="EQH135" s="105"/>
      <c r="EQI135" s="105"/>
      <c r="EQJ135" s="105"/>
      <c r="EQK135" s="105"/>
      <c r="EQL135" s="105"/>
      <c r="EQM135" s="105"/>
      <c r="EQN135" s="105"/>
      <c r="EQO135" s="105"/>
      <c r="EQP135" s="105"/>
      <c r="EQQ135" s="105"/>
      <c r="EQR135" s="105"/>
      <c r="EQS135" s="105"/>
      <c r="EQT135" s="105"/>
      <c r="EQU135" s="105"/>
      <c r="EQV135" s="105"/>
      <c r="EQW135" s="105"/>
      <c r="EQX135" s="105"/>
      <c r="EQY135" s="105"/>
      <c r="EQZ135" s="105"/>
      <c r="ERA135" s="105"/>
      <c r="ERB135" s="105"/>
      <c r="ERC135" s="105"/>
      <c r="ERD135" s="105"/>
      <c r="ERE135" s="105"/>
      <c r="ERF135" s="105"/>
      <c r="ERG135" s="105"/>
      <c r="ERH135" s="105"/>
      <c r="ERI135" s="105"/>
      <c r="ERJ135" s="105"/>
      <c r="ERK135" s="105"/>
      <c r="ERL135" s="105"/>
      <c r="ERM135" s="105"/>
      <c r="ERN135" s="105"/>
      <c r="ERO135" s="105"/>
      <c r="ERP135" s="105"/>
      <c r="ERQ135" s="105"/>
      <c r="ERR135" s="105"/>
      <c r="ERS135" s="105"/>
      <c r="ERT135" s="105"/>
      <c r="ERU135" s="105"/>
      <c r="ERV135" s="105"/>
      <c r="ERW135" s="105"/>
      <c r="ERX135" s="105"/>
      <c r="ERY135" s="105"/>
      <c r="ERZ135" s="105"/>
      <c r="ESA135" s="105"/>
      <c r="ESB135" s="105"/>
      <c r="ESC135" s="105"/>
      <c r="ESD135" s="105"/>
      <c r="ESE135" s="105"/>
      <c r="ESF135" s="105"/>
      <c r="ESG135" s="105"/>
      <c r="ESH135" s="105"/>
      <c r="ESI135" s="105"/>
      <c r="ESJ135" s="105"/>
      <c r="ESK135" s="105"/>
      <c r="ESL135" s="105"/>
      <c r="ESM135" s="105"/>
      <c r="ESN135" s="105"/>
      <c r="ESO135" s="105"/>
      <c r="ESP135" s="105"/>
      <c r="ESQ135" s="105"/>
      <c r="ESR135" s="105"/>
      <c r="ESS135" s="105"/>
      <c r="EST135" s="105"/>
      <c r="ESU135" s="105"/>
      <c r="ESV135" s="105"/>
      <c r="ESW135" s="105"/>
      <c r="ESX135" s="105"/>
      <c r="ESY135" s="105"/>
      <c r="ESZ135" s="105"/>
      <c r="ETA135" s="105"/>
      <c r="ETB135" s="105"/>
      <c r="ETC135" s="105"/>
      <c r="ETD135" s="105"/>
      <c r="ETE135" s="105"/>
      <c r="ETF135" s="105"/>
      <c r="ETG135" s="105"/>
      <c r="ETH135" s="105"/>
      <c r="ETI135" s="105"/>
      <c r="ETJ135" s="105"/>
      <c r="ETK135" s="105"/>
      <c r="ETL135" s="105"/>
      <c r="ETM135" s="105"/>
      <c r="ETN135" s="105"/>
      <c r="ETO135" s="105"/>
      <c r="ETP135" s="105"/>
      <c r="ETQ135" s="105"/>
      <c r="ETR135" s="105"/>
      <c r="ETS135" s="105"/>
      <c r="ETT135" s="105"/>
      <c r="ETU135" s="105"/>
      <c r="ETV135" s="105"/>
      <c r="ETW135" s="105"/>
      <c r="ETX135" s="105"/>
      <c r="ETY135" s="105"/>
      <c r="ETZ135" s="105"/>
      <c r="EUA135" s="105"/>
      <c r="EUB135" s="105"/>
      <c r="EUC135" s="105"/>
      <c r="EUD135" s="105"/>
      <c r="EUE135" s="105"/>
      <c r="EUF135" s="105"/>
      <c r="EUG135" s="105"/>
      <c r="EUH135" s="105"/>
      <c r="EUI135" s="105"/>
      <c r="EUJ135" s="105"/>
      <c r="EUK135" s="105"/>
      <c r="EUL135" s="105"/>
      <c r="EUM135" s="105"/>
      <c r="EUN135" s="105"/>
      <c r="EUO135" s="105"/>
      <c r="EUP135" s="105"/>
      <c r="EUQ135" s="105"/>
      <c r="EUR135" s="105"/>
      <c r="EUS135" s="105"/>
      <c r="EUT135" s="105"/>
      <c r="EUU135" s="105"/>
      <c r="EUV135" s="105"/>
      <c r="EUW135" s="105"/>
      <c r="EUX135" s="105"/>
      <c r="EUY135" s="105"/>
      <c r="EUZ135" s="105"/>
      <c r="EVA135" s="105"/>
      <c r="EVB135" s="105"/>
      <c r="EVC135" s="105"/>
      <c r="EVD135" s="105"/>
      <c r="EVE135" s="105"/>
      <c r="EVF135" s="105"/>
      <c r="EVG135" s="105"/>
      <c r="EVH135" s="105"/>
      <c r="EVI135" s="105"/>
      <c r="EVJ135" s="105"/>
      <c r="EVK135" s="105"/>
      <c r="EVL135" s="105"/>
      <c r="EVM135" s="105"/>
      <c r="EVN135" s="105"/>
      <c r="EVO135" s="105"/>
      <c r="EVP135" s="105"/>
      <c r="EVQ135" s="105"/>
      <c r="EVR135" s="105"/>
      <c r="EVS135" s="105"/>
      <c r="EVT135" s="105"/>
      <c r="EVU135" s="105"/>
      <c r="EVV135" s="105"/>
      <c r="EVW135" s="105"/>
      <c r="EVX135" s="105"/>
      <c r="EVY135" s="105"/>
      <c r="EVZ135" s="105"/>
      <c r="EWA135" s="105"/>
      <c r="EWB135" s="105"/>
      <c r="EWC135" s="105"/>
      <c r="EWD135" s="105"/>
      <c r="EWE135" s="105"/>
      <c r="EWF135" s="105"/>
      <c r="EWG135" s="105"/>
      <c r="EWH135" s="105"/>
      <c r="EWI135" s="105"/>
      <c r="EWJ135" s="105"/>
      <c r="EWK135" s="105"/>
      <c r="EWL135" s="105"/>
      <c r="EWM135" s="105"/>
      <c r="EWN135" s="105"/>
      <c r="EWO135" s="105"/>
      <c r="EWP135" s="105"/>
      <c r="EWQ135" s="105"/>
      <c r="EWR135" s="105"/>
      <c r="EWS135" s="105"/>
      <c r="EWT135" s="105"/>
      <c r="EWU135" s="105"/>
      <c r="EWV135" s="105"/>
      <c r="EWW135" s="105"/>
      <c r="EWX135" s="105"/>
      <c r="EWY135" s="105"/>
      <c r="EWZ135" s="105"/>
      <c r="EXA135" s="105"/>
      <c r="EXB135" s="105"/>
      <c r="EXC135" s="105"/>
      <c r="EXD135" s="105"/>
      <c r="EXE135" s="105"/>
      <c r="EXF135" s="105"/>
      <c r="EXG135" s="105"/>
      <c r="EXH135" s="105"/>
      <c r="EXI135" s="105"/>
      <c r="EXJ135" s="105"/>
      <c r="EXK135" s="105"/>
      <c r="EXL135" s="105"/>
      <c r="EXM135" s="105"/>
      <c r="EXN135" s="105"/>
      <c r="EXO135" s="105"/>
      <c r="EXP135" s="105"/>
      <c r="EXQ135" s="105"/>
      <c r="EXR135" s="105"/>
      <c r="EXS135" s="105"/>
      <c r="EXT135" s="105"/>
      <c r="EXU135" s="105"/>
      <c r="EXV135" s="105"/>
      <c r="EXW135" s="105"/>
      <c r="EXX135" s="105"/>
      <c r="EXY135" s="105"/>
      <c r="EXZ135" s="105"/>
      <c r="EYA135" s="105"/>
      <c r="EYB135" s="105"/>
      <c r="EYC135" s="105"/>
      <c r="EYD135" s="105"/>
      <c r="EYE135" s="105"/>
      <c r="EYF135" s="105"/>
      <c r="EYG135" s="105"/>
      <c r="EYH135" s="105"/>
      <c r="EYI135" s="105"/>
      <c r="EYJ135" s="105"/>
      <c r="EYK135" s="105"/>
      <c r="EYL135" s="105"/>
      <c r="EYM135" s="105"/>
      <c r="EYN135" s="105"/>
      <c r="EYO135" s="105"/>
      <c r="EYP135" s="105"/>
      <c r="EYQ135" s="105"/>
      <c r="EYR135" s="105"/>
      <c r="EYS135" s="105"/>
      <c r="EYT135" s="105"/>
      <c r="EYU135" s="105"/>
      <c r="EYV135" s="105"/>
      <c r="EYW135" s="105"/>
      <c r="EYX135" s="105"/>
      <c r="EYY135" s="105"/>
      <c r="EYZ135" s="105"/>
      <c r="EZA135" s="105"/>
      <c r="EZB135" s="105"/>
      <c r="EZC135" s="105"/>
      <c r="EZD135" s="105"/>
      <c r="EZE135" s="105"/>
      <c r="EZF135" s="105"/>
      <c r="EZG135" s="105"/>
      <c r="EZH135" s="105"/>
      <c r="EZI135" s="105"/>
      <c r="EZJ135" s="105"/>
      <c r="EZK135" s="105"/>
      <c r="EZL135" s="105"/>
      <c r="EZM135" s="105"/>
      <c r="EZN135" s="105"/>
      <c r="EZO135" s="105"/>
      <c r="EZP135" s="105"/>
      <c r="EZQ135" s="105"/>
      <c r="EZR135" s="105"/>
      <c r="EZS135" s="105"/>
      <c r="EZT135" s="105"/>
      <c r="EZU135" s="105"/>
      <c r="EZV135" s="105"/>
      <c r="EZW135" s="105"/>
      <c r="EZX135" s="105"/>
      <c r="EZY135" s="105"/>
      <c r="EZZ135" s="105"/>
      <c r="FAA135" s="105"/>
      <c r="FAB135" s="105"/>
      <c r="FAC135" s="105"/>
      <c r="FAD135" s="105"/>
      <c r="FAE135" s="105"/>
      <c r="FAF135" s="105"/>
      <c r="FAG135" s="105"/>
      <c r="FAH135" s="105"/>
      <c r="FAI135" s="105"/>
      <c r="FAJ135" s="105"/>
      <c r="FAK135" s="105"/>
      <c r="FAL135" s="105"/>
      <c r="FAM135" s="105"/>
      <c r="FAN135" s="105"/>
      <c r="FAO135" s="105"/>
      <c r="FAP135" s="105"/>
      <c r="FAQ135" s="105"/>
      <c r="FAR135" s="105"/>
      <c r="FAS135" s="105"/>
      <c r="FAT135" s="105"/>
      <c r="FAU135" s="105"/>
      <c r="FAV135" s="105"/>
      <c r="FAW135" s="105"/>
      <c r="FAX135" s="105"/>
      <c r="FAY135" s="105"/>
      <c r="FAZ135" s="105"/>
      <c r="FBA135" s="105"/>
      <c r="FBB135" s="105"/>
      <c r="FBC135" s="105"/>
      <c r="FBD135" s="105"/>
      <c r="FBE135" s="105"/>
      <c r="FBF135" s="105"/>
      <c r="FBG135" s="105"/>
      <c r="FBH135" s="105"/>
      <c r="FBI135" s="105"/>
      <c r="FBJ135" s="105"/>
      <c r="FBK135" s="105"/>
      <c r="FBL135" s="105"/>
      <c r="FBM135" s="105"/>
      <c r="FBN135" s="105"/>
      <c r="FBO135" s="105"/>
      <c r="FBP135" s="105"/>
      <c r="FBQ135" s="105"/>
      <c r="FBR135" s="105"/>
      <c r="FBS135" s="105"/>
      <c r="FBT135" s="105"/>
      <c r="FBU135" s="105"/>
      <c r="FBV135" s="105"/>
      <c r="FBW135" s="105"/>
      <c r="FBX135" s="105"/>
      <c r="FBY135" s="105"/>
      <c r="FBZ135" s="105"/>
      <c r="FCA135" s="105"/>
      <c r="FCB135" s="105"/>
      <c r="FCC135" s="105"/>
      <c r="FCD135" s="105"/>
      <c r="FCE135" s="105"/>
      <c r="FCF135" s="105"/>
      <c r="FCG135" s="105"/>
      <c r="FCH135" s="105"/>
      <c r="FCI135" s="105"/>
      <c r="FCJ135" s="105"/>
      <c r="FCK135" s="105"/>
      <c r="FCL135" s="105"/>
      <c r="FCM135" s="105"/>
      <c r="FCN135" s="105"/>
      <c r="FCO135" s="105"/>
      <c r="FCP135" s="105"/>
      <c r="FCQ135" s="105"/>
      <c r="FCR135" s="105"/>
      <c r="FCS135" s="105"/>
      <c r="FCT135" s="105"/>
      <c r="FCU135" s="105"/>
      <c r="FCV135" s="105"/>
      <c r="FCW135" s="105"/>
      <c r="FCX135" s="105"/>
      <c r="FCY135" s="105"/>
      <c r="FCZ135" s="105"/>
      <c r="FDA135" s="105"/>
      <c r="FDB135" s="105"/>
      <c r="FDC135" s="105"/>
      <c r="FDD135" s="105"/>
      <c r="FDE135" s="105"/>
      <c r="FDF135" s="105"/>
      <c r="FDG135" s="105"/>
      <c r="FDH135" s="105"/>
      <c r="FDI135" s="105"/>
      <c r="FDJ135" s="105"/>
      <c r="FDK135" s="105"/>
      <c r="FDL135" s="105"/>
      <c r="FDM135" s="105"/>
      <c r="FDN135" s="105"/>
      <c r="FDO135" s="105"/>
      <c r="FDP135" s="105"/>
      <c r="FDQ135" s="105"/>
      <c r="FDR135" s="105"/>
      <c r="FDS135" s="105"/>
      <c r="FDT135" s="105"/>
      <c r="FDU135" s="105"/>
      <c r="FDV135" s="105"/>
      <c r="FDW135" s="105"/>
      <c r="FDX135" s="105"/>
      <c r="FDY135" s="105"/>
      <c r="FDZ135" s="105"/>
      <c r="FEA135" s="105"/>
      <c r="FEB135" s="105"/>
      <c r="FEC135" s="105"/>
      <c r="FED135" s="105"/>
      <c r="FEE135" s="105"/>
      <c r="FEF135" s="105"/>
      <c r="FEG135" s="105"/>
      <c r="FEH135" s="105"/>
      <c r="FEI135" s="105"/>
      <c r="FEJ135" s="105"/>
      <c r="FEK135" s="105"/>
      <c r="FEL135" s="105"/>
      <c r="FEM135" s="105"/>
      <c r="FEN135" s="105"/>
      <c r="FEO135" s="105"/>
      <c r="FEP135" s="105"/>
      <c r="FEQ135" s="105"/>
      <c r="FER135" s="105"/>
      <c r="FES135" s="105"/>
      <c r="FET135" s="105"/>
      <c r="FEU135" s="105"/>
      <c r="FEV135" s="105"/>
      <c r="FEW135" s="105"/>
      <c r="FEX135" s="105"/>
      <c r="FEY135" s="105"/>
      <c r="FEZ135" s="105"/>
      <c r="FFA135" s="105"/>
      <c r="FFB135" s="105"/>
      <c r="FFC135" s="105"/>
      <c r="FFD135" s="105"/>
      <c r="FFE135" s="105"/>
      <c r="FFF135" s="105"/>
      <c r="FFG135" s="105"/>
      <c r="FFH135" s="105"/>
      <c r="FFI135" s="105"/>
      <c r="FFJ135" s="105"/>
      <c r="FFK135" s="105"/>
      <c r="FFL135" s="105"/>
      <c r="FFM135" s="105"/>
      <c r="FFN135" s="105"/>
      <c r="FFO135" s="105"/>
      <c r="FFP135" s="105"/>
      <c r="FFQ135" s="105"/>
      <c r="FFR135" s="105"/>
      <c r="FFS135" s="105"/>
      <c r="FFT135" s="105"/>
      <c r="FFU135" s="105"/>
      <c r="FFV135" s="105"/>
      <c r="FFW135" s="105"/>
      <c r="FFX135" s="105"/>
      <c r="FFY135" s="105"/>
      <c r="FFZ135" s="105"/>
      <c r="FGA135" s="105"/>
      <c r="FGB135" s="105"/>
      <c r="FGC135" s="105"/>
      <c r="FGD135" s="105"/>
      <c r="FGE135" s="105"/>
      <c r="FGF135" s="105"/>
      <c r="FGG135" s="105"/>
      <c r="FGH135" s="105"/>
      <c r="FGI135" s="105"/>
      <c r="FGJ135" s="105"/>
      <c r="FGK135" s="105"/>
      <c r="FGL135" s="105"/>
      <c r="FGM135" s="105"/>
      <c r="FGN135" s="105"/>
      <c r="FGO135" s="105"/>
      <c r="FGP135" s="105"/>
      <c r="FGQ135" s="105"/>
      <c r="FGR135" s="105"/>
      <c r="FGS135" s="105"/>
      <c r="FGT135" s="105"/>
      <c r="FGU135" s="105"/>
      <c r="FGV135" s="105"/>
      <c r="FGW135" s="105"/>
      <c r="FGX135" s="105"/>
      <c r="FGY135" s="105"/>
      <c r="FGZ135" s="105"/>
      <c r="FHA135" s="105"/>
      <c r="FHB135" s="105"/>
      <c r="FHC135" s="105"/>
      <c r="FHD135" s="105"/>
      <c r="FHE135" s="105"/>
      <c r="FHF135" s="105"/>
      <c r="FHG135" s="105"/>
      <c r="FHH135" s="105"/>
      <c r="FHI135" s="105"/>
      <c r="FHJ135" s="105"/>
      <c r="FHK135" s="105"/>
      <c r="FHL135" s="105"/>
      <c r="FHM135" s="105"/>
      <c r="FHN135" s="105"/>
      <c r="FHO135" s="105"/>
      <c r="FHP135" s="105"/>
      <c r="FHQ135" s="105"/>
      <c r="FHR135" s="105"/>
      <c r="FHS135" s="105"/>
      <c r="FHT135" s="105"/>
      <c r="FHU135" s="105"/>
      <c r="FHV135" s="105"/>
      <c r="FHW135" s="105"/>
      <c r="FHX135" s="105"/>
      <c r="FHY135" s="105"/>
      <c r="FHZ135" s="105"/>
      <c r="FIA135" s="105"/>
      <c r="FIB135" s="105"/>
      <c r="FIC135" s="105"/>
      <c r="FID135" s="105"/>
      <c r="FIE135" s="105"/>
      <c r="FIF135" s="105"/>
      <c r="FIG135" s="105"/>
      <c r="FIH135" s="105"/>
      <c r="FII135" s="105"/>
      <c r="FIJ135" s="105"/>
      <c r="FIK135" s="105"/>
      <c r="FIL135" s="105"/>
      <c r="FIM135" s="105"/>
      <c r="FIN135" s="105"/>
      <c r="FIO135" s="105"/>
      <c r="FIP135" s="105"/>
      <c r="FIQ135" s="105"/>
      <c r="FIR135" s="105"/>
      <c r="FIS135" s="105"/>
      <c r="FIT135" s="105"/>
      <c r="FIU135" s="105"/>
      <c r="FIV135" s="105"/>
      <c r="FIW135" s="105"/>
      <c r="FIX135" s="105"/>
      <c r="FIY135" s="105"/>
      <c r="FIZ135" s="105"/>
      <c r="FJA135" s="105"/>
      <c r="FJB135" s="105"/>
      <c r="FJC135" s="105"/>
      <c r="FJD135" s="105"/>
      <c r="FJE135" s="105"/>
      <c r="FJF135" s="105"/>
      <c r="FJG135" s="105"/>
      <c r="FJH135" s="105"/>
      <c r="FJI135" s="105"/>
      <c r="FJJ135" s="105"/>
      <c r="FJK135" s="105"/>
      <c r="FJL135" s="105"/>
      <c r="FJM135" s="105"/>
      <c r="FJN135" s="105"/>
      <c r="FJO135" s="105"/>
      <c r="FJP135" s="105"/>
      <c r="FJQ135" s="105"/>
      <c r="FJR135" s="105"/>
      <c r="FJS135" s="105"/>
      <c r="FJT135" s="105"/>
      <c r="FJU135" s="105"/>
      <c r="FJV135" s="105"/>
      <c r="FJW135" s="105"/>
      <c r="FJX135" s="105"/>
      <c r="FJY135" s="105"/>
      <c r="FJZ135" s="105"/>
      <c r="FKA135" s="105"/>
      <c r="FKB135" s="105"/>
      <c r="FKC135" s="105"/>
      <c r="FKD135" s="105"/>
      <c r="FKE135" s="105"/>
      <c r="FKF135" s="105"/>
      <c r="FKG135" s="105"/>
      <c r="FKH135" s="105"/>
      <c r="FKI135" s="105"/>
      <c r="FKJ135" s="105"/>
      <c r="FKK135" s="105"/>
      <c r="FKL135" s="105"/>
      <c r="FKM135" s="105"/>
      <c r="FKN135" s="105"/>
      <c r="FKO135" s="105"/>
      <c r="FKP135" s="105"/>
      <c r="FKQ135" s="105"/>
      <c r="FKR135" s="105"/>
      <c r="FKS135" s="105"/>
      <c r="FKT135" s="105"/>
      <c r="FKU135" s="105"/>
      <c r="FKV135" s="105"/>
      <c r="FKW135" s="105"/>
      <c r="FKX135" s="105"/>
      <c r="FKY135" s="105"/>
      <c r="FKZ135" s="105"/>
      <c r="FLA135" s="105"/>
      <c r="FLB135" s="105"/>
      <c r="FLC135" s="105"/>
      <c r="FLD135" s="105"/>
      <c r="FLE135" s="105"/>
      <c r="FLF135" s="105"/>
      <c r="FLG135" s="105"/>
      <c r="FLH135" s="105"/>
      <c r="FLI135" s="105"/>
      <c r="FLJ135" s="105"/>
      <c r="FLK135" s="105"/>
      <c r="FLL135" s="105"/>
      <c r="FLM135" s="105"/>
      <c r="FLN135" s="105"/>
      <c r="FLO135" s="105"/>
      <c r="FLP135" s="105"/>
      <c r="FLQ135" s="105"/>
      <c r="FLR135" s="105"/>
      <c r="FLS135" s="105"/>
      <c r="FLT135" s="105"/>
      <c r="FLU135" s="105"/>
      <c r="FLV135" s="105"/>
      <c r="FLW135" s="105"/>
      <c r="FLX135" s="105"/>
      <c r="FLY135" s="105"/>
      <c r="FLZ135" s="105"/>
      <c r="FMA135" s="105"/>
      <c r="FMB135" s="105"/>
      <c r="FMC135" s="105"/>
      <c r="FMD135" s="105"/>
      <c r="FME135" s="105"/>
      <c r="FMF135" s="105"/>
      <c r="FMG135" s="105"/>
      <c r="FMH135" s="105"/>
      <c r="FMI135" s="105"/>
      <c r="FMJ135" s="105"/>
      <c r="FMK135" s="105"/>
      <c r="FML135" s="105"/>
      <c r="FMM135" s="105"/>
      <c r="FMN135" s="105"/>
      <c r="FMO135" s="105"/>
      <c r="FMP135" s="105"/>
      <c r="FMQ135" s="105"/>
      <c r="FMR135" s="105"/>
      <c r="FMS135" s="105"/>
      <c r="FMT135" s="105"/>
      <c r="FMU135" s="105"/>
      <c r="FMV135" s="105"/>
      <c r="FMW135" s="105"/>
      <c r="FMX135" s="105"/>
      <c r="FMY135" s="105"/>
      <c r="FMZ135" s="105"/>
      <c r="FNA135" s="105"/>
      <c r="FNB135" s="105"/>
      <c r="FNC135" s="105"/>
      <c r="FND135" s="105"/>
      <c r="FNE135" s="105"/>
      <c r="FNF135" s="105"/>
      <c r="FNG135" s="105"/>
      <c r="FNH135" s="105"/>
      <c r="FNI135" s="105"/>
      <c r="FNJ135" s="105"/>
      <c r="FNK135" s="105"/>
      <c r="FNL135" s="105"/>
      <c r="FNM135" s="105"/>
      <c r="FNN135" s="105"/>
      <c r="FNO135" s="105"/>
      <c r="FNP135" s="105"/>
      <c r="FNQ135" s="105"/>
      <c r="FNR135" s="105"/>
      <c r="FNS135" s="105"/>
      <c r="FNT135" s="105"/>
      <c r="FNU135" s="105"/>
      <c r="FNV135" s="105"/>
      <c r="FNW135" s="105"/>
      <c r="FNX135" s="105"/>
      <c r="FNY135" s="105"/>
      <c r="FNZ135" s="105"/>
      <c r="FOA135" s="105"/>
      <c r="FOB135" s="105"/>
      <c r="FOC135" s="105"/>
      <c r="FOD135" s="105"/>
      <c r="FOE135" s="105"/>
      <c r="FOF135" s="105"/>
      <c r="FOG135" s="105"/>
      <c r="FOH135" s="105"/>
      <c r="FOI135" s="105"/>
      <c r="FOJ135" s="105"/>
      <c r="FOK135" s="105"/>
      <c r="FOL135" s="105"/>
      <c r="FOM135" s="105"/>
      <c r="FON135" s="105"/>
      <c r="FOO135" s="105"/>
      <c r="FOP135" s="105"/>
      <c r="FOQ135" s="105"/>
      <c r="FOR135" s="105"/>
      <c r="FOS135" s="105"/>
      <c r="FOT135" s="105"/>
      <c r="FOU135" s="105"/>
      <c r="FOV135" s="105"/>
      <c r="FOW135" s="105"/>
      <c r="FOX135" s="105"/>
      <c r="FOY135" s="105"/>
      <c r="FOZ135" s="105"/>
      <c r="FPA135" s="105"/>
      <c r="FPB135" s="105"/>
      <c r="FPC135" s="105"/>
      <c r="FPD135" s="105"/>
      <c r="FPE135" s="105"/>
      <c r="FPF135" s="105"/>
      <c r="FPG135" s="105"/>
      <c r="FPH135" s="105"/>
      <c r="FPI135" s="105"/>
      <c r="FPJ135" s="105"/>
      <c r="FPK135" s="105"/>
      <c r="FPL135" s="105"/>
      <c r="FPM135" s="105"/>
      <c r="FPN135" s="105"/>
      <c r="FPO135" s="105"/>
      <c r="FPP135" s="105"/>
      <c r="FPQ135" s="105"/>
      <c r="FPR135" s="105"/>
      <c r="FPS135" s="105"/>
      <c r="FPT135" s="105"/>
      <c r="FPU135" s="105"/>
      <c r="FPV135" s="105"/>
      <c r="FPW135" s="105"/>
      <c r="FPX135" s="105"/>
      <c r="FPY135" s="105"/>
      <c r="FPZ135" s="105"/>
      <c r="FQA135" s="105"/>
      <c r="FQB135" s="105"/>
      <c r="FQC135" s="105"/>
      <c r="FQD135" s="105"/>
      <c r="FQE135" s="105"/>
      <c r="FQF135" s="105"/>
      <c r="FQG135" s="105"/>
      <c r="FQH135" s="105"/>
      <c r="FQI135" s="105"/>
      <c r="FQJ135" s="105"/>
      <c r="FQK135" s="105"/>
      <c r="FQL135" s="105"/>
      <c r="FQM135" s="105"/>
      <c r="FQN135" s="105"/>
      <c r="FQO135" s="105"/>
      <c r="FQP135" s="105"/>
      <c r="FQQ135" s="105"/>
      <c r="FQR135" s="105"/>
      <c r="FQS135" s="105"/>
      <c r="FQT135" s="105"/>
      <c r="FQU135" s="105"/>
      <c r="FQV135" s="105"/>
      <c r="FQW135" s="105"/>
      <c r="FQX135" s="105"/>
      <c r="FQY135" s="105"/>
      <c r="FQZ135" s="105"/>
      <c r="FRA135" s="105"/>
      <c r="FRB135" s="105"/>
      <c r="FRC135" s="105"/>
      <c r="FRD135" s="105"/>
      <c r="FRE135" s="105"/>
      <c r="FRF135" s="105"/>
      <c r="FRG135" s="105"/>
      <c r="FRH135" s="105"/>
      <c r="FRI135" s="105"/>
      <c r="FRJ135" s="105"/>
      <c r="FRK135" s="105"/>
      <c r="FRL135" s="105"/>
      <c r="FRM135" s="105"/>
      <c r="FRN135" s="105"/>
      <c r="FRO135" s="105"/>
      <c r="FRP135" s="105"/>
      <c r="FRQ135" s="105"/>
      <c r="FRR135" s="105"/>
      <c r="FRS135" s="105"/>
      <c r="FRT135" s="105"/>
      <c r="FRU135" s="105"/>
      <c r="FRV135" s="105"/>
      <c r="FRW135" s="105"/>
      <c r="FRX135" s="105"/>
      <c r="FRY135" s="105"/>
      <c r="FRZ135" s="105"/>
      <c r="FSA135" s="105"/>
      <c r="FSB135" s="105"/>
      <c r="FSC135" s="105"/>
      <c r="FSD135" s="105"/>
      <c r="FSE135" s="105"/>
      <c r="FSF135" s="105"/>
      <c r="FSG135" s="105"/>
      <c r="FSH135" s="105"/>
      <c r="FSI135" s="105"/>
      <c r="FSJ135" s="105"/>
      <c r="FSK135" s="105"/>
      <c r="FSL135" s="105"/>
      <c r="FSM135" s="105"/>
      <c r="FSN135" s="105"/>
      <c r="FSO135" s="105"/>
      <c r="FSP135" s="105"/>
      <c r="FSQ135" s="105"/>
      <c r="FSR135" s="105"/>
      <c r="FSS135" s="105"/>
      <c r="FST135" s="105"/>
      <c r="FSU135" s="105"/>
      <c r="FSV135" s="105"/>
      <c r="FSW135" s="105"/>
      <c r="FSX135" s="105"/>
      <c r="FSY135" s="105"/>
      <c r="FSZ135" s="105"/>
      <c r="FTA135" s="105"/>
      <c r="FTB135" s="105"/>
      <c r="FTC135" s="105"/>
      <c r="FTD135" s="105"/>
      <c r="FTE135" s="105"/>
      <c r="FTF135" s="105"/>
      <c r="FTG135" s="105"/>
      <c r="FTH135" s="105"/>
      <c r="FTI135" s="105"/>
      <c r="FTJ135" s="105"/>
      <c r="FTK135" s="105"/>
      <c r="FTL135" s="105"/>
      <c r="FTM135" s="105"/>
      <c r="FTN135" s="105"/>
      <c r="FTO135" s="105"/>
      <c r="FTP135" s="105"/>
      <c r="FTQ135" s="105"/>
      <c r="FTR135" s="105"/>
      <c r="FTS135" s="105"/>
      <c r="FTT135" s="105"/>
      <c r="FTU135" s="105"/>
      <c r="FTV135" s="105"/>
      <c r="FTW135" s="105"/>
      <c r="FTX135" s="105"/>
      <c r="FTY135" s="105"/>
      <c r="FTZ135" s="105"/>
      <c r="FUA135" s="105"/>
      <c r="FUB135" s="105"/>
      <c r="FUC135" s="105"/>
      <c r="FUD135" s="105"/>
      <c r="FUE135" s="105"/>
      <c r="FUF135" s="105"/>
      <c r="FUG135" s="105"/>
      <c r="FUH135" s="105"/>
      <c r="FUI135" s="105"/>
      <c r="FUJ135" s="105"/>
      <c r="FUK135" s="105"/>
      <c r="FUL135" s="105"/>
      <c r="FUM135" s="105"/>
      <c r="FUN135" s="105"/>
      <c r="FUO135" s="105"/>
      <c r="FUP135" s="105"/>
      <c r="FUQ135" s="105"/>
      <c r="FUR135" s="105"/>
      <c r="FUS135" s="105"/>
      <c r="FUT135" s="105"/>
      <c r="FUU135" s="105"/>
      <c r="FUV135" s="105"/>
      <c r="FUW135" s="105"/>
      <c r="FUX135" s="105"/>
      <c r="FUY135" s="105"/>
      <c r="FUZ135" s="105"/>
      <c r="FVA135" s="105"/>
      <c r="FVB135" s="105"/>
      <c r="FVC135" s="105"/>
      <c r="FVD135" s="105"/>
      <c r="FVE135" s="105"/>
      <c r="FVF135" s="105"/>
      <c r="FVG135" s="105"/>
      <c r="FVH135" s="105"/>
      <c r="FVI135" s="105"/>
      <c r="FVJ135" s="105"/>
      <c r="FVK135" s="105"/>
      <c r="FVL135" s="105"/>
      <c r="FVM135" s="105"/>
      <c r="FVN135" s="105"/>
      <c r="FVO135" s="105"/>
      <c r="FVP135" s="105"/>
      <c r="FVQ135" s="105"/>
      <c r="FVR135" s="105"/>
      <c r="FVS135" s="105"/>
      <c r="FVT135" s="105"/>
      <c r="FVU135" s="105"/>
      <c r="FVV135" s="105"/>
      <c r="FVW135" s="105"/>
      <c r="FVX135" s="105"/>
      <c r="FVY135" s="105"/>
      <c r="FVZ135" s="105"/>
      <c r="FWA135" s="105"/>
      <c r="FWB135" s="105"/>
      <c r="FWC135" s="105"/>
      <c r="FWD135" s="105"/>
      <c r="FWE135" s="105"/>
      <c r="FWF135" s="105"/>
      <c r="FWG135" s="105"/>
      <c r="FWH135" s="105"/>
      <c r="FWI135" s="105"/>
      <c r="FWJ135" s="105"/>
      <c r="FWK135" s="105"/>
      <c r="FWL135" s="105"/>
      <c r="FWM135" s="105"/>
      <c r="FWN135" s="105"/>
      <c r="FWO135" s="105"/>
      <c r="FWP135" s="105"/>
      <c r="FWQ135" s="105"/>
      <c r="FWR135" s="105"/>
      <c r="FWS135" s="105"/>
      <c r="FWT135" s="105"/>
      <c r="FWU135" s="105"/>
      <c r="FWV135" s="105"/>
      <c r="FWW135" s="105"/>
      <c r="FWX135" s="105"/>
      <c r="FWY135" s="105"/>
      <c r="FWZ135" s="105"/>
      <c r="FXA135" s="105"/>
      <c r="FXB135" s="105"/>
      <c r="FXC135" s="105"/>
      <c r="FXD135" s="105"/>
      <c r="FXE135" s="105"/>
      <c r="FXF135" s="105"/>
      <c r="FXG135" s="105"/>
      <c r="FXH135" s="105"/>
      <c r="FXI135" s="105"/>
      <c r="FXJ135" s="105"/>
      <c r="FXK135" s="105"/>
      <c r="FXL135" s="105"/>
      <c r="FXM135" s="105"/>
      <c r="FXN135" s="105"/>
      <c r="FXO135" s="105"/>
      <c r="FXP135" s="105"/>
      <c r="FXQ135" s="105"/>
      <c r="FXR135" s="105"/>
      <c r="FXS135" s="105"/>
      <c r="FXT135" s="105"/>
      <c r="FXU135" s="105"/>
      <c r="FXV135" s="105"/>
      <c r="FXW135" s="105"/>
      <c r="FXX135" s="105"/>
      <c r="FXY135" s="105"/>
      <c r="FXZ135" s="105"/>
      <c r="FYA135" s="105"/>
      <c r="FYB135" s="105"/>
      <c r="FYC135" s="105"/>
      <c r="FYD135" s="105"/>
      <c r="FYE135" s="105"/>
      <c r="FYF135" s="105"/>
      <c r="FYG135" s="105"/>
      <c r="FYH135" s="105"/>
      <c r="FYI135" s="105"/>
      <c r="FYJ135" s="105"/>
      <c r="FYK135" s="105"/>
      <c r="FYL135" s="105"/>
      <c r="FYM135" s="105"/>
      <c r="FYN135" s="105"/>
      <c r="FYO135" s="105"/>
      <c r="FYP135" s="105"/>
      <c r="FYQ135" s="105"/>
      <c r="FYR135" s="105"/>
      <c r="FYS135" s="105"/>
      <c r="FYT135" s="105"/>
      <c r="FYU135" s="105"/>
      <c r="FYV135" s="105"/>
      <c r="FYW135" s="105"/>
      <c r="FYX135" s="105"/>
      <c r="FYY135" s="105"/>
      <c r="FYZ135" s="105"/>
      <c r="FZA135" s="105"/>
      <c r="FZB135" s="105"/>
      <c r="FZC135" s="105"/>
      <c r="FZD135" s="105"/>
      <c r="FZE135" s="105"/>
      <c r="FZF135" s="105"/>
      <c r="FZG135" s="105"/>
      <c r="FZH135" s="105"/>
      <c r="FZI135" s="105"/>
      <c r="FZJ135" s="105"/>
      <c r="FZK135" s="105"/>
      <c r="FZL135" s="105"/>
      <c r="FZM135" s="105"/>
      <c r="FZN135" s="105"/>
      <c r="FZO135" s="105"/>
      <c r="FZP135" s="105"/>
      <c r="FZQ135" s="105"/>
      <c r="FZR135" s="105"/>
      <c r="FZS135" s="105"/>
      <c r="FZT135" s="105"/>
      <c r="FZU135" s="105"/>
      <c r="FZV135" s="105"/>
      <c r="FZW135" s="105"/>
      <c r="FZX135" s="105"/>
      <c r="FZY135" s="105"/>
      <c r="FZZ135" s="105"/>
      <c r="GAA135" s="105"/>
      <c r="GAB135" s="105"/>
      <c r="GAC135" s="105"/>
      <c r="GAD135" s="105"/>
      <c r="GAE135" s="105"/>
      <c r="GAF135" s="105"/>
      <c r="GAG135" s="105"/>
      <c r="GAH135" s="105"/>
      <c r="GAI135" s="105"/>
      <c r="GAJ135" s="105"/>
      <c r="GAK135" s="105"/>
      <c r="GAL135" s="105"/>
      <c r="GAM135" s="105"/>
      <c r="GAN135" s="105"/>
      <c r="GAO135" s="105"/>
      <c r="GAP135" s="105"/>
      <c r="GAQ135" s="105"/>
      <c r="GAR135" s="105"/>
      <c r="GAS135" s="105"/>
      <c r="GAT135" s="105"/>
      <c r="GAU135" s="105"/>
      <c r="GAV135" s="105"/>
      <c r="GAW135" s="105"/>
      <c r="GAX135" s="105"/>
      <c r="GAY135" s="105"/>
      <c r="GAZ135" s="105"/>
      <c r="GBA135" s="105"/>
      <c r="GBB135" s="105"/>
      <c r="GBC135" s="105"/>
      <c r="GBD135" s="105"/>
      <c r="GBE135" s="105"/>
      <c r="GBF135" s="105"/>
      <c r="GBG135" s="105"/>
      <c r="GBH135" s="105"/>
      <c r="GBI135" s="105"/>
      <c r="GBJ135" s="105"/>
      <c r="GBK135" s="105"/>
      <c r="GBL135" s="105"/>
      <c r="GBM135" s="105"/>
      <c r="GBN135" s="105"/>
      <c r="GBO135" s="105"/>
      <c r="GBP135" s="105"/>
      <c r="GBQ135" s="105"/>
      <c r="GBR135" s="105"/>
      <c r="GBS135" s="105"/>
      <c r="GBT135" s="105"/>
      <c r="GBU135" s="105"/>
      <c r="GBV135" s="105"/>
      <c r="GBW135" s="105"/>
      <c r="GBX135" s="105"/>
      <c r="GBY135" s="105"/>
      <c r="GBZ135" s="105"/>
      <c r="GCA135" s="105"/>
      <c r="GCB135" s="105"/>
      <c r="GCC135" s="105"/>
      <c r="GCD135" s="105"/>
      <c r="GCE135" s="105"/>
      <c r="GCF135" s="105"/>
      <c r="GCG135" s="105"/>
      <c r="GCH135" s="105"/>
      <c r="GCI135" s="105"/>
      <c r="GCJ135" s="105"/>
      <c r="GCK135" s="105"/>
      <c r="GCL135" s="105"/>
      <c r="GCM135" s="105"/>
      <c r="GCN135" s="105"/>
      <c r="GCO135" s="105"/>
      <c r="GCP135" s="105"/>
      <c r="GCQ135" s="105"/>
      <c r="GCR135" s="105"/>
      <c r="GCS135" s="105"/>
      <c r="GCT135" s="105"/>
      <c r="GCU135" s="105"/>
      <c r="GCV135" s="105"/>
      <c r="GCW135" s="105"/>
      <c r="GCX135" s="105"/>
      <c r="GCY135" s="105"/>
      <c r="GCZ135" s="105"/>
      <c r="GDA135" s="105"/>
      <c r="GDB135" s="105"/>
      <c r="GDC135" s="105"/>
      <c r="GDD135" s="105"/>
      <c r="GDE135" s="105"/>
      <c r="GDF135" s="105"/>
      <c r="GDG135" s="105"/>
      <c r="GDH135" s="105"/>
      <c r="GDI135" s="105"/>
      <c r="GDJ135" s="105"/>
      <c r="GDK135" s="105"/>
      <c r="GDL135" s="105"/>
      <c r="GDM135" s="105"/>
      <c r="GDN135" s="105"/>
      <c r="GDO135" s="105"/>
      <c r="GDP135" s="105"/>
      <c r="GDQ135" s="105"/>
      <c r="GDR135" s="105"/>
      <c r="GDS135" s="105"/>
      <c r="GDT135" s="105"/>
      <c r="GDU135" s="105"/>
      <c r="GDV135" s="105"/>
      <c r="GDW135" s="105"/>
      <c r="GDX135" s="105"/>
      <c r="GDY135" s="105"/>
      <c r="GDZ135" s="105"/>
      <c r="GEA135" s="105"/>
      <c r="GEB135" s="105"/>
      <c r="GEC135" s="105"/>
      <c r="GED135" s="105"/>
      <c r="GEE135" s="105"/>
      <c r="GEF135" s="105"/>
      <c r="GEG135" s="105"/>
      <c r="GEH135" s="105"/>
      <c r="GEI135" s="105"/>
      <c r="GEJ135" s="105"/>
      <c r="GEK135" s="105"/>
      <c r="GEL135" s="105"/>
      <c r="GEM135" s="105"/>
      <c r="GEN135" s="105"/>
      <c r="GEO135" s="105"/>
      <c r="GEP135" s="105"/>
      <c r="GEQ135" s="105"/>
      <c r="GER135" s="105"/>
      <c r="GES135" s="105"/>
      <c r="GET135" s="105"/>
      <c r="GEU135" s="105"/>
      <c r="GEV135" s="105"/>
      <c r="GEW135" s="105"/>
      <c r="GEX135" s="105"/>
      <c r="GEY135" s="105"/>
      <c r="GEZ135" s="105"/>
      <c r="GFA135" s="105"/>
      <c r="GFB135" s="105"/>
      <c r="GFC135" s="105"/>
      <c r="GFD135" s="105"/>
      <c r="GFE135" s="105"/>
      <c r="GFF135" s="105"/>
      <c r="GFG135" s="105"/>
      <c r="GFH135" s="105"/>
      <c r="GFI135" s="105"/>
      <c r="GFJ135" s="105"/>
      <c r="GFK135" s="105"/>
      <c r="GFL135" s="105"/>
      <c r="GFM135" s="105"/>
      <c r="GFN135" s="105"/>
      <c r="GFO135" s="105"/>
      <c r="GFP135" s="105"/>
      <c r="GFQ135" s="105"/>
      <c r="GFR135" s="105"/>
      <c r="GFS135" s="105"/>
      <c r="GFT135" s="105"/>
      <c r="GFU135" s="105"/>
      <c r="GFV135" s="105"/>
      <c r="GFW135" s="105"/>
      <c r="GFX135" s="105"/>
      <c r="GFY135" s="105"/>
      <c r="GFZ135" s="105"/>
      <c r="GGA135" s="105"/>
      <c r="GGB135" s="105"/>
      <c r="GGC135" s="105"/>
      <c r="GGD135" s="105"/>
      <c r="GGE135" s="105"/>
      <c r="GGF135" s="105"/>
      <c r="GGG135" s="105"/>
      <c r="GGH135" s="105"/>
      <c r="GGI135" s="105"/>
      <c r="GGJ135" s="105"/>
      <c r="GGK135" s="105"/>
      <c r="GGL135" s="105"/>
      <c r="GGM135" s="105"/>
      <c r="GGN135" s="105"/>
      <c r="GGO135" s="105"/>
      <c r="GGP135" s="105"/>
      <c r="GGQ135" s="105"/>
      <c r="GGR135" s="105"/>
      <c r="GGS135" s="105"/>
      <c r="GGT135" s="105"/>
      <c r="GGU135" s="105"/>
      <c r="GGV135" s="105"/>
      <c r="GGW135" s="105"/>
      <c r="GGX135" s="105"/>
      <c r="GGY135" s="105"/>
      <c r="GGZ135" s="105"/>
      <c r="GHA135" s="105"/>
      <c r="GHB135" s="105"/>
      <c r="GHC135" s="105"/>
      <c r="GHD135" s="105"/>
      <c r="GHE135" s="105"/>
      <c r="GHF135" s="105"/>
      <c r="GHG135" s="105"/>
      <c r="GHH135" s="105"/>
      <c r="GHI135" s="105"/>
      <c r="GHJ135" s="105"/>
      <c r="GHK135" s="105"/>
      <c r="GHL135" s="105"/>
      <c r="GHM135" s="105"/>
      <c r="GHN135" s="105"/>
      <c r="GHO135" s="105"/>
      <c r="GHP135" s="105"/>
      <c r="GHQ135" s="105"/>
      <c r="GHR135" s="105"/>
      <c r="GHS135" s="105"/>
      <c r="GHT135" s="105"/>
      <c r="GHU135" s="105"/>
      <c r="GHV135" s="105"/>
      <c r="GHW135" s="105"/>
      <c r="GHX135" s="105"/>
      <c r="GHY135" s="105"/>
      <c r="GHZ135" s="105"/>
      <c r="GIA135" s="105"/>
      <c r="GIB135" s="105"/>
      <c r="GIC135" s="105"/>
      <c r="GID135" s="105"/>
      <c r="GIE135" s="105"/>
      <c r="GIF135" s="105"/>
      <c r="GIG135" s="105"/>
      <c r="GIH135" s="105"/>
      <c r="GII135" s="105"/>
      <c r="GIJ135" s="105"/>
      <c r="GIK135" s="105"/>
      <c r="GIL135" s="105"/>
      <c r="GIM135" s="105"/>
      <c r="GIN135" s="105"/>
      <c r="GIO135" s="105"/>
      <c r="GIP135" s="105"/>
      <c r="GIQ135" s="105"/>
      <c r="GIR135" s="105"/>
      <c r="GIS135" s="105"/>
      <c r="GIT135" s="105"/>
      <c r="GIU135" s="105"/>
      <c r="GIV135" s="105"/>
      <c r="GIW135" s="105"/>
      <c r="GIX135" s="105"/>
      <c r="GIY135" s="105"/>
      <c r="GIZ135" s="105"/>
      <c r="GJA135" s="105"/>
      <c r="GJB135" s="105"/>
      <c r="GJC135" s="105"/>
      <c r="GJD135" s="105"/>
      <c r="GJE135" s="105"/>
      <c r="GJF135" s="105"/>
      <c r="GJG135" s="105"/>
      <c r="GJH135" s="105"/>
      <c r="GJI135" s="105"/>
      <c r="GJJ135" s="105"/>
      <c r="GJK135" s="105"/>
      <c r="GJL135" s="105"/>
      <c r="GJM135" s="105"/>
      <c r="GJN135" s="105"/>
      <c r="GJO135" s="105"/>
      <c r="GJP135" s="105"/>
      <c r="GJQ135" s="105"/>
      <c r="GJR135" s="105"/>
      <c r="GJS135" s="105"/>
      <c r="GJT135" s="105"/>
      <c r="GJU135" s="105"/>
      <c r="GJV135" s="105"/>
      <c r="GJW135" s="105"/>
      <c r="GJX135" s="105"/>
      <c r="GJY135" s="105"/>
      <c r="GJZ135" s="105"/>
      <c r="GKA135" s="105"/>
      <c r="GKB135" s="105"/>
      <c r="GKC135" s="105"/>
      <c r="GKD135" s="105"/>
      <c r="GKE135" s="105"/>
      <c r="GKF135" s="105"/>
      <c r="GKG135" s="105"/>
      <c r="GKH135" s="105"/>
      <c r="GKI135" s="105"/>
      <c r="GKJ135" s="105"/>
      <c r="GKK135" s="105"/>
      <c r="GKL135" s="105"/>
      <c r="GKM135" s="105"/>
      <c r="GKN135" s="105"/>
      <c r="GKO135" s="105"/>
      <c r="GKP135" s="105"/>
      <c r="GKQ135" s="105"/>
      <c r="GKR135" s="105"/>
      <c r="GKS135" s="105"/>
      <c r="GKT135" s="105"/>
      <c r="GKU135" s="105"/>
      <c r="GKV135" s="105"/>
      <c r="GKW135" s="105"/>
      <c r="GKX135" s="105"/>
      <c r="GKY135" s="105"/>
      <c r="GKZ135" s="105"/>
      <c r="GLA135" s="105"/>
      <c r="GLB135" s="105"/>
      <c r="GLC135" s="105"/>
      <c r="GLD135" s="105"/>
      <c r="GLE135" s="105"/>
      <c r="GLF135" s="105"/>
      <c r="GLG135" s="105"/>
      <c r="GLH135" s="105"/>
      <c r="GLI135" s="105"/>
      <c r="GLJ135" s="105"/>
      <c r="GLK135" s="105"/>
      <c r="GLL135" s="105"/>
      <c r="GLM135" s="105"/>
      <c r="GLN135" s="105"/>
      <c r="GLO135" s="105"/>
      <c r="GLP135" s="105"/>
      <c r="GLQ135" s="105"/>
      <c r="GLR135" s="105"/>
      <c r="GLS135" s="105"/>
      <c r="GLT135" s="105"/>
      <c r="GLU135" s="105"/>
      <c r="GLV135" s="105"/>
      <c r="GLW135" s="105"/>
      <c r="GLX135" s="105"/>
      <c r="GLY135" s="105"/>
      <c r="GLZ135" s="105"/>
      <c r="GMA135" s="105"/>
      <c r="GMB135" s="105"/>
      <c r="GMC135" s="105"/>
      <c r="GMD135" s="105"/>
      <c r="GME135" s="105"/>
      <c r="GMF135" s="105"/>
      <c r="GMG135" s="105"/>
      <c r="GMH135" s="105"/>
      <c r="GMI135" s="105"/>
      <c r="GMJ135" s="105"/>
      <c r="GMK135" s="105"/>
      <c r="GML135" s="105"/>
      <c r="GMM135" s="105"/>
      <c r="GMN135" s="105"/>
      <c r="GMO135" s="105"/>
      <c r="GMP135" s="105"/>
      <c r="GMQ135" s="105"/>
      <c r="GMR135" s="105"/>
      <c r="GMS135" s="105"/>
      <c r="GMT135" s="105"/>
      <c r="GMU135" s="105"/>
      <c r="GMV135" s="105"/>
      <c r="GMW135" s="105"/>
      <c r="GMX135" s="105"/>
      <c r="GMY135" s="105"/>
      <c r="GMZ135" s="105"/>
      <c r="GNA135" s="105"/>
      <c r="GNB135" s="105"/>
      <c r="GNC135" s="105"/>
      <c r="GND135" s="105"/>
      <c r="GNE135" s="105"/>
      <c r="GNF135" s="105"/>
      <c r="GNG135" s="105"/>
      <c r="GNH135" s="105"/>
      <c r="GNI135" s="105"/>
      <c r="GNJ135" s="105"/>
      <c r="GNK135" s="105"/>
      <c r="GNL135" s="105"/>
      <c r="GNM135" s="105"/>
      <c r="GNN135" s="105"/>
      <c r="GNO135" s="105"/>
      <c r="GNP135" s="105"/>
      <c r="GNQ135" s="105"/>
      <c r="GNR135" s="105"/>
      <c r="GNS135" s="105"/>
      <c r="GNT135" s="105"/>
      <c r="GNU135" s="105"/>
      <c r="GNV135" s="105"/>
      <c r="GNW135" s="105"/>
      <c r="GNX135" s="105"/>
      <c r="GNY135" s="105"/>
      <c r="GNZ135" s="105"/>
      <c r="GOA135" s="105"/>
      <c r="GOB135" s="105"/>
      <c r="GOC135" s="105"/>
      <c r="GOD135" s="105"/>
      <c r="GOE135" s="105"/>
      <c r="GOF135" s="105"/>
      <c r="GOG135" s="105"/>
      <c r="GOH135" s="105"/>
      <c r="GOI135" s="105"/>
      <c r="GOJ135" s="105"/>
      <c r="GOK135" s="105"/>
      <c r="GOL135" s="105"/>
      <c r="GOM135" s="105"/>
      <c r="GON135" s="105"/>
      <c r="GOO135" s="105"/>
      <c r="GOP135" s="105"/>
      <c r="GOQ135" s="105"/>
      <c r="GOR135" s="105"/>
      <c r="GOS135" s="105"/>
      <c r="GOT135" s="105"/>
      <c r="GOU135" s="105"/>
      <c r="GOV135" s="105"/>
      <c r="GOW135" s="105"/>
      <c r="GOX135" s="105"/>
      <c r="GOY135" s="105"/>
      <c r="GOZ135" s="105"/>
      <c r="GPA135" s="105"/>
      <c r="GPB135" s="105"/>
      <c r="GPC135" s="105"/>
      <c r="GPD135" s="105"/>
      <c r="GPE135" s="105"/>
      <c r="GPF135" s="105"/>
      <c r="GPG135" s="105"/>
      <c r="GPH135" s="105"/>
      <c r="GPI135" s="105"/>
      <c r="GPJ135" s="105"/>
      <c r="GPK135" s="105"/>
      <c r="GPL135" s="105"/>
      <c r="GPM135" s="105"/>
      <c r="GPN135" s="105"/>
      <c r="GPO135" s="105"/>
      <c r="GPP135" s="105"/>
      <c r="GPQ135" s="105"/>
      <c r="GPR135" s="105"/>
      <c r="GPS135" s="105"/>
      <c r="GPT135" s="105"/>
      <c r="GPU135" s="105"/>
      <c r="GPV135" s="105"/>
      <c r="GPW135" s="105"/>
      <c r="GPX135" s="105"/>
      <c r="GPY135" s="105"/>
      <c r="GPZ135" s="105"/>
      <c r="GQA135" s="105"/>
      <c r="GQB135" s="105"/>
      <c r="GQC135" s="105"/>
      <c r="GQD135" s="105"/>
      <c r="GQE135" s="105"/>
      <c r="GQF135" s="105"/>
      <c r="GQG135" s="105"/>
      <c r="GQH135" s="105"/>
      <c r="GQI135" s="105"/>
      <c r="GQJ135" s="105"/>
      <c r="GQK135" s="105"/>
      <c r="GQL135" s="105"/>
      <c r="GQM135" s="105"/>
      <c r="GQN135" s="105"/>
      <c r="GQO135" s="105"/>
      <c r="GQP135" s="105"/>
      <c r="GQQ135" s="105"/>
      <c r="GQR135" s="105"/>
      <c r="GQS135" s="105"/>
      <c r="GQT135" s="105"/>
      <c r="GQU135" s="105"/>
      <c r="GQV135" s="105"/>
      <c r="GQW135" s="105"/>
      <c r="GQX135" s="105"/>
      <c r="GQY135" s="105"/>
      <c r="GQZ135" s="105"/>
      <c r="GRA135" s="105"/>
      <c r="GRB135" s="105"/>
      <c r="GRC135" s="105"/>
      <c r="GRD135" s="105"/>
      <c r="GRE135" s="105"/>
      <c r="GRF135" s="105"/>
      <c r="GRG135" s="105"/>
      <c r="GRH135" s="105"/>
      <c r="GRI135" s="105"/>
      <c r="GRJ135" s="105"/>
      <c r="GRK135" s="105"/>
      <c r="GRL135" s="105"/>
      <c r="GRM135" s="105"/>
      <c r="GRN135" s="105"/>
      <c r="GRO135" s="105"/>
      <c r="GRP135" s="105"/>
      <c r="GRQ135" s="105"/>
      <c r="GRR135" s="105"/>
      <c r="GRS135" s="105"/>
      <c r="GRT135" s="105"/>
      <c r="GRU135" s="105"/>
      <c r="GRV135" s="105"/>
      <c r="GRW135" s="105"/>
      <c r="GRX135" s="105"/>
      <c r="GRY135" s="105"/>
      <c r="GRZ135" s="105"/>
      <c r="GSA135" s="105"/>
      <c r="GSB135" s="105"/>
      <c r="GSC135" s="105"/>
      <c r="GSD135" s="105"/>
      <c r="GSE135" s="105"/>
      <c r="GSF135" s="105"/>
      <c r="GSG135" s="105"/>
      <c r="GSH135" s="105"/>
      <c r="GSI135" s="105"/>
      <c r="GSJ135" s="105"/>
      <c r="GSK135" s="105"/>
      <c r="GSL135" s="105"/>
      <c r="GSM135" s="105"/>
      <c r="GSN135" s="105"/>
      <c r="GSO135" s="105"/>
      <c r="GSP135" s="105"/>
      <c r="GSQ135" s="105"/>
      <c r="GSR135" s="105"/>
      <c r="GSS135" s="105"/>
      <c r="GST135" s="105"/>
      <c r="GSU135" s="105"/>
      <c r="GSV135" s="105"/>
      <c r="GSW135" s="105"/>
      <c r="GSX135" s="105"/>
      <c r="GSY135" s="105"/>
      <c r="GSZ135" s="105"/>
      <c r="GTA135" s="105"/>
      <c r="GTB135" s="105"/>
      <c r="GTC135" s="105"/>
      <c r="GTD135" s="105"/>
      <c r="GTE135" s="105"/>
      <c r="GTF135" s="105"/>
      <c r="GTG135" s="105"/>
      <c r="GTH135" s="105"/>
      <c r="GTI135" s="105"/>
      <c r="GTJ135" s="105"/>
      <c r="GTK135" s="105"/>
      <c r="GTL135" s="105"/>
      <c r="GTM135" s="105"/>
      <c r="GTN135" s="105"/>
      <c r="GTO135" s="105"/>
      <c r="GTP135" s="105"/>
      <c r="GTQ135" s="105"/>
      <c r="GTR135" s="105"/>
      <c r="GTS135" s="105"/>
      <c r="GTT135" s="105"/>
      <c r="GTU135" s="105"/>
      <c r="GTV135" s="105"/>
      <c r="GTW135" s="105"/>
      <c r="GTX135" s="105"/>
      <c r="GTY135" s="105"/>
      <c r="GTZ135" s="105"/>
      <c r="GUA135" s="105"/>
      <c r="GUB135" s="105"/>
      <c r="GUC135" s="105"/>
      <c r="GUD135" s="105"/>
      <c r="GUE135" s="105"/>
      <c r="GUF135" s="105"/>
      <c r="GUG135" s="105"/>
      <c r="GUH135" s="105"/>
      <c r="GUI135" s="105"/>
      <c r="GUJ135" s="105"/>
      <c r="GUK135" s="105"/>
      <c r="GUL135" s="105"/>
      <c r="GUM135" s="105"/>
      <c r="GUN135" s="105"/>
      <c r="GUO135" s="105"/>
      <c r="GUP135" s="105"/>
      <c r="GUQ135" s="105"/>
      <c r="GUR135" s="105"/>
      <c r="GUS135" s="105"/>
      <c r="GUT135" s="105"/>
      <c r="GUU135" s="105"/>
      <c r="GUV135" s="105"/>
      <c r="GUW135" s="105"/>
      <c r="GUX135" s="105"/>
      <c r="GUY135" s="105"/>
      <c r="GUZ135" s="105"/>
      <c r="GVA135" s="105"/>
      <c r="GVB135" s="105"/>
      <c r="GVC135" s="105"/>
      <c r="GVD135" s="105"/>
      <c r="GVE135" s="105"/>
      <c r="GVF135" s="105"/>
      <c r="GVG135" s="105"/>
      <c r="GVH135" s="105"/>
      <c r="GVI135" s="105"/>
      <c r="GVJ135" s="105"/>
      <c r="GVK135" s="105"/>
      <c r="GVL135" s="105"/>
      <c r="GVM135" s="105"/>
      <c r="GVN135" s="105"/>
      <c r="GVO135" s="105"/>
      <c r="GVP135" s="105"/>
      <c r="GVQ135" s="105"/>
      <c r="GVR135" s="105"/>
      <c r="GVS135" s="105"/>
      <c r="GVT135" s="105"/>
      <c r="GVU135" s="105"/>
      <c r="GVV135" s="105"/>
      <c r="GVW135" s="105"/>
      <c r="GVX135" s="105"/>
      <c r="GVY135" s="105"/>
      <c r="GVZ135" s="105"/>
      <c r="GWA135" s="105"/>
      <c r="GWB135" s="105"/>
      <c r="GWC135" s="105"/>
      <c r="GWD135" s="105"/>
      <c r="GWE135" s="105"/>
      <c r="GWF135" s="105"/>
      <c r="GWG135" s="105"/>
      <c r="GWH135" s="105"/>
      <c r="GWI135" s="105"/>
      <c r="GWJ135" s="105"/>
      <c r="GWK135" s="105"/>
      <c r="GWL135" s="105"/>
      <c r="GWM135" s="105"/>
      <c r="GWN135" s="105"/>
      <c r="GWO135" s="105"/>
      <c r="GWP135" s="105"/>
      <c r="GWQ135" s="105"/>
      <c r="GWR135" s="105"/>
      <c r="GWS135" s="105"/>
      <c r="GWT135" s="105"/>
      <c r="GWU135" s="105"/>
      <c r="GWV135" s="105"/>
      <c r="GWW135" s="105"/>
      <c r="GWX135" s="105"/>
      <c r="GWY135" s="105"/>
      <c r="GWZ135" s="105"/>
      <c r="GXA135" s="105"/>
      <c r="GXB135" s="105"/>
      <c r="GXC135" s="105"/>
      <c r="GXD135" s="105"/>
      <c r="GXE135" s="105"/>
      <c r="GXF135" s="105"/>
      <c r="GXG135" s="105"/>
      <c r="GXH135" s="105"/>
      <c r="GXI135" s="105"/>
      <c r="GXJ135" s="105"/>
      <c r="GXK135" s="105"/>
      <c r="GXL135" s="105"/>
      <c r="GXM135" s="105"/>
      <c r="GXN135" s="105"/>
      <c r="GXO135" s="105"/>
      <c r="GXP135" s="105"/>
      <c r="GXQ135" s="105"/>
      <c r="GXR135" s="105"/>
      <c r="GXS135" s="105"/>
      <c r="GXT135" s="105"/>
      <c r="GXU135" s="105"/>
      <c r="GXV135" s="105"/>
      <c r="GXW135" s="105"/>
      <c r="GXX135" s="105"/>
      <c r="GXY135" s="105"/>
      <c r="GXZ135" s="105"/>
      <c r="GYA135" s="105"/>
      <c r="GYB135" s="105"/>
      <c r="GYC135" s="105"/>
      <c r="GYD135" s="105"/>
      <c r="GYE135" s="105"/>
      <c r="GYF135" s="105"/>
      <c r="GYG135" s="105"/>
      <c r="GYH135" s="105"/>
      <c r="GYI135" s="105"/>
      <c r="GYJ135" s="105"/>
      <c r="GYK135" s="105"/>
      <c r="GYL135" s="105"/>
      <c r="GYM135" s="105"/>
      <c r="GYN135" s="105"/>
      <c r="GYO135" s="105"/>
      <c r="GYP135" s="105"/>
      <c r="GYQ135" s="105"/>
      <c r="GYR135" s="105"/>
      <c r="GYS135" s="105"/>
      <c r="GYT135" s="105"/>
      <c r="GYU135" s="105"/>
      <c r="GYV135" s="105"/>
      <c r="GYW135" s="105"/>
      <c r="GYX135" s="105"/>
      <c r="GYY135" s="105"/>
      <c r="GYZ135" s="105"/>
      <c r="GZA135" s="105"/>
      <c r="GZB135" s="105"/>
      <c r="GZC135" s="105"/>
      <c r="GZD135" s="105"/>
      <c r="GZE135" s="105"/>
      <c r="GZF135" s="105"/>
      <c r="GZG135" s="105"/>
      <c r="GZH135" s="105"/>
      <c r="GZI135" s="105"/>
      <c r="GZJ135" s="105"/>
      <c r="GZK135" s="105"/>
      <c r="GZL135" s="105"/>
      <c r="GZM135" s="105"/>
      <c r="GZN135" s="105"/>
      <c r="GZO135" s="105"/>
      <c r="GZP135" s="105"/>
      <c r="GZQ135" s="105"/>
      <c r="GZR135" s="105"/>
      <c r="GZS135" s="105"/>
      <c r="GZT135" s="105"/>
      <c r="GZU135" s="105"/>
      <c r="GZV135" s="105"/>
      <c r="GZW135" s="105"/>
      <c r="GZX135" s="105"/>
      <c r="GZY135" s="105"/>
      <c r="GZZ135" s="105"/>
      <c r="HAA135" s="105"/>
      <c r="HAB135" s="105"/>
      <c r="HAC135" s="105"/>
      <c r="HAD135" s="105"/>
      <c r="HAE135" s="105"/>
      <c r="HAF135" s="105"/>
      <c r="HAG135" s="105"/>
      <c r="HAH135" s="105"/>
      <c r="HAI135" s="105"/>
      <c r="HAJ135" s="105"/>
      <c r="HAK135" s="105"/>
      <c r="HAL135" s="105"/>
      <c r="HAM135" s="105"/>
      <c r="HAN135" s="105"/>
      <c r="HAO135" s="105"/>
      <c r="HAP135" s="105"/>
      <c r="HAQ135" s="105"/>
      <c r="HAR135" s="105"/>
      <c r="HAS135" s="105"/>
      <c r="HAT135" s="105"/>
      <c r="HAU135" s="105"/>
      <c r="HAV135" s="105"/>
      <c r="HAW135" s="105"/>
      <c r="HAX135" s="105"/>
      <c r="HAY135" s="105"/>
      <c r="HAZ135" s="105"/>
      <c r="HBA135" s="105"/>
      <c r="HBB135" s="105"/>
      <c r="HBC135" s="105"/>
      <c r="HBD135" s="105"/>
      <c r="HBE135" s="105"/>
      <c r="HBF135" s="105"/>
      <c r="HBG135" s="105"/>
      <c r="HBH135" s="105"/>
      <c r="HBI135" s="105"/>
      <c r="HBJ135" s="105"/>
      <c r="HBK135" s="105"/>
      <c r="HBL135" s="105"/>
      <c r="HBM135" s="105"/>
      <c r="HBN135" s="105"/>
      <c r="HBO135" s="105"/>
      <c r="HBP135" s="105"/>
      <c r="HBQ135" s="105"/>
      <c r="HBR135" s="105"/>
      <c r="HBS135" s="105"/>
      <c r="HBT135" s="105"/>
      <c r="HBU135" s="105"/>
      <c r="HBV135" s="105"/>
      <c r="HBW135" s="105"/>
      <c r="HBX135" s="105"/>
      <c r="HBY135" s="105"/>
      <c r="HBZ135" s="105"/>
      <c r="HCA135" s="105"/>
      <c r="HCB135" s="105"/>
      <c r="HCC135" s="105"/>
      <c r="HCD135" s="105"/>
      <c r="HCE135" s="105"/>
      <c r="HCF135" s="105"/>
      <c r="HCG135" s="105"/>
      <c r="HCH135" s="105"/>
      <c r="HCI135" s="105"/>
      <c r="HCJ135" s="105"/>
      <c r="HCK135" s="105"/>
      <c r="HCL135" s="105"/>
      <c r="HCM135" s="105"/>
      <c r="HCN135" s="105"/>
      <c r="HCO135" s="105"/>
      <c r="HCP135" s="105"/>
      <c r="HCQ135" s="105"/>
      <c r="HCR135" s="105"/>
      <c r="HCS135" s="105"/>
      <c r="HCT135" s="105"/>
      <c r="HCU135" s="105"/>
      <c r="HCV135" s="105"/>
      <c r="HCW135" s="105"/>
      <c r="HCX135" s="105"/>
      <c r="HCY135" s="105"/>
      <c r="HCZ135" s="105"/>
      <c r="HDA135" s="105"/>
      <c r="HDB135" s="105"/>
      <c r="HDC135" s="105"/>
      <c r="HDD135" s="105"/>
      <c r="HDE135" s="105"/>
      <c r="HDF135" s="105"/>
      <c r="HDG135" s="105"/>
      <c r="HDH135" s="105"/>
      <c r="HDI135" s="105"/>
      <c r="HDJ135" s="105"/>
      <c r="HDK135" s="105"/>
      <c r="HDL135" s="105"/>
      <c r="HDM135" s="105"/>
      <c r="HDN135" s="105"/>
      <c r="HDO135" s="105"/>
      <c r="HDP135" s="105"/>
      <c r="HDQ135" s="105"/>
      <c r="HDR135" s="105"/>
      <c r="HDS135" s="105"/>
      <c r="HDT135" s="105"/>
      <c r="HDU135" s="105"/>
      <c r="HDV135" s="105"/>
      <c r="HDW135" s="105"/>
      <c r="HDX135" s="105"/>
      <c r="HDY135" s="105"/>
      <c r="HDZ135" s="105"/>
      <c r="HEA135" s="105"/>
      <c r="HEB135" s="105"/>
      <c r="HEC135" s="105"/>
      <c r="HED135" s="105"/>
      <c r="HEE135" s="105"/>
      <c r="HEF135" s="105"/>
      <c r="HEG135" s="105"/>
      <c r="HEH135" s="105"/>
      <c r="HEI135" s="105"/>
      <c r="HEJ135" s="105"/>
      <c r="HEK135" s="105"/>
      <c r="HEL135" s="105"/>
      <c r="HEM135" s="105"/>
      <c r="HEN135" s="105"/>
      <c r="HEO135" s="105"/>
      <c r="HEP135" s="105"/>
      <c r="HEQ135" s="105"/>
      <c r="HER135" s="105"/>
      <c r="HES135" s="105"/>
      <c r="HET135" s="105"/>
      <c r="HEU135" s="105"/>
      <c r="HEV135" s="105"/>
      <c r="HEW135" s="105"/>
      <c r="HEX135" s="105"/>
      <c r="HEY135" s="105"/>
      <c r="HEZ135" s="105"/>
      <c r="HFA135" s="105"/>
      <c r="HFB135" s="105"/>
      <c r="HFC135" s="105"/>
      <c r="HFD135" s="105"/>
      <c r="HFE135" s="105"/>
      <c r="HFF135" s="105"/>
      <c r="HFG135" s="105"/>
      <c r="HFH135" s="105"/>
      <c r="HFI135" s="105"/>
      <c r="HFJ135" s="105"/>
      <c r="HFK135" s="105"/>
      <c r="HFL135" s="105"/>
      <c r="HFM135" s="105"/>
      <c r="HFN135" s="105"/>
      <c r="HFO135" s="105"/>
      <c r="HFP135" s="105"/>
      <c r="HFQ135" s="105"/>
      <c r="HFR135" s="105"/>
      <c r="HFS135" s="105"/>
      <c r="HFT135" s="105"/>
      <c r="HFU135" s="105"/>
      <c r="HFV135" s="105"/>
      <c r="HFW135" s="105"/>
      <c r="HFX135" s="105"/>
      <c r="HFY135" s="105"/>
      <c r="HFZ135" s="105"/>
      <c r="HGA135" s="105"/>
      <c r="HGB135" s="105"/>
      <c r="HGC135" s="105"/>
      <c r="HGD135" s="105"/>
      <c r="HGE135" s="105"/>
      <c r="HGF135" s="105"/>
      <c r="HGG135" s="105"/>
      <c r="HGH135" s="105"/>
      <c r="HGI135" s="105"/>
      <c r="HGJ135" s="105"/>
      <c r="HGK135" s="105"/>
      <c r="HGL135" s="105"/>
      <c r="HGM135" s="105"/>
      <c r="HGN135" s="105"/>
      <c r="HGO135" s="105"/>
      <c r="HGP135" s="105"/>
      <c r="HGQ135" s="105"/>
      <c r="HGR135" s="105"/>
      <c r="HGS135" s="105"/>
      <c r="HGT135" s="105"/>
      <c r="HGU135" s="105"/>
      <c r="HGV135" s="105"/>
      <c r="HGW135" s="105"/>
      <c r="HGX135" s="105"/>
      <c r="HGY135" s="105"/>
      <c r="HGZ135" s="105"/>
      <c r="HHA135" s="105"/>
      <c r="HHB135" s="105"/>
      <c r="HHC135" s="105"/>
      <c r="HHD135" s="105"/>
      <c r="HHE135" s="105"/>
      <c r="HHF135" s="105"/>
      <c r="HHG135" s="105"/>
      <c r="HHH135" s="105"/>
      <c r="HHI135" s="105"/>
      <c r="HHJ135" s="105"/>
      <c r="HHK135" s="105"/>
      <c r="HHL135" s="105"/>
      <c r="HHM135" s="105"/>
      <c r="HHN135" s="105"/>
      <c r="HHO135" s="105"/>
      <c r="HHP135" s="105"/>
      <c r="HHQ135" s="105"/>
      <c r="HHR135" s="105"/>
      <c r="HHS135" s="105"/>
      <c r="HHT135" s="105"/>
      <c r="HHU135" s="105"/>
      <c r="HHV135" s="105"/>
      <c r="HHW135" s="105"/>
      <c r="HHX135" s="105"/>
      <c r="HHY135" s="105"/>
      <c r="HHZ135" s="105"/>
      <c r="HIA135" s="105"/>
      <c r="HIB135" s="105"/>
      <c r="HIC135" s="105"/>
      <c r="HID135" s="105"/>
      <c r="HIE135" s="105"/>
      <c r="HIF135" s="105"/>
      <c r="HIG135" s="105"/>
      <c r="HIH135" s="105"/>
      <c r="HII135" s="105"/>
      <c r="HIJ135" s="105"/>
      <c r="HIK135" s="105"/>
      <c r="HIL135" s="105"/>
      <c r="HIM135" s="105"/>
      <c r="HIN135" s="105"/>
      <c r="HIO135" s="105"/>
      <c r="HIP135" s="105"/>
      <c r="HIQ135" s="105"/>
      <c r="HIR135" s="105"/>
      <c r="HIS135" s="105"/>
      <c r="HIT135" s="105"/>
      <c r="HIU135" s="105"/>
      <c r="HIV135" s="105"/>
      <c r="HIW135" s="105"/>
      <c r="HIX135" s="105"/>
      <c r="HIY135" s="105"/>
      <c r="HIZ135" s="105"/>
      <c r="HJA135" s="105"/>
      <c r="HJB135" s="105"/>
      <c r="HJC135" s="105"/>
      <c r="HJD135" s="105"/>
      <c r="HJE135" s="105"/>
      <c r="HJF135" s="105"/>
      <c r="HJG135" s="105"/>
      <c r="HJH135" s="105"/>
      <c r="HJI135" s="105"/>
      <c r="HJJ135" s="105"/>
      <c r="HJK135" s="105"/>
      <c r="HJL135" s="105"/>
      <c r="HJM135" s="105"/>
      <c r="HJN135" s="105"/>
      <c r="HJO135" s="105"/>
      <c r="HJP135" s="105"/>
      <c r="HJQ135" s="105"/>
      <c r="HJR135" s="105"/>
      <c r="HJS135" s="105"/>
      <c r="HJT135" s="105"/>
      <c r="HJU135" s="105"/>
      <c r="HJV135" s="105"/>
      <c r="HJW135" s="105"/>
      <c r="HJX135" s="105"/>
      <c r="HJY135" s="105"/>
      <c r="HJZ135" s="105"/>
      <c r="HKA135" s="105"/>
      <c r="HKB135" s="105"/>
      <c r="HKC135" s="105"/>
      <c r="HKD135" s="105"/>
      <c r="HKE135" s="105"/>
      <c r="HKF135" s="105"/>
      <c r="HKG135" s="105"/>
      <c r="HKH135" s="105"/>
      <c r="HKI135" s="105"/>
      <c r="HKJ135" s="105"/>
      <c r="HKK135" s="105"/>
      <c r="HKL135" s="105"/>
      <c r="HKM135" s="105"/>
      <c r="HKN135" s="105"/>
      <c r="HKO135" s="105"/>
      <c r="HKP135" s="105"/>
      <c r="HKQ135" s="105"/>
      <c r="HKR135" s="105"/>
      <c r="HKS135" s="105"/>
      <c r="HKT135" s="105"/>
      <c r="HKU135" s="105"/>
      <c r="HKV135" s="105"/>
      <c r="HKW135" s="105"/>
      <c r="HKX135" s="105"/>
      <c r="HKY135" s="105"/>
      <c r="HKZ135" s="105"/>
      <c r="HLA135" s="105"/>
      <c r="HLB135" s="105"/>
      <c r="HLC135" s="105"/>
      <c r="HLD135" s="105"/>
      <c r="HLE135" s="105"/>
      <c r="HLF135" s="105"/>
      <c r="HLG135" s="105"/>
      <c r="HLH135" s="105"/>
      <c r="HLI135" s="105"/>
      <c r="HLJ135" s="105"/>
      <c r="HLK135" s="105"/>
      <c r="HLL135" s="105"/>
      <c r="HLM135" s="105"/>
      <c r="HLN135" s="105"/>
      <c r="HLO135" s="105"/>
      <c r="HLP135" s="105"/>
      <c r="HLQ135" s="105"/>
      <c r="HLR135" s="105"/>
      <c r="HLS135" s="105"/>
      <c r="HLT135" s="105"/>
      <c r="HLU135" s="105"/>
      <c r="HLV135" s="105"/>
      <c r="HLW135" s="105"/>
      <c r="HLX135" s="105"/>
      <c r="HLY135" s="105"/>
      <c r="HLZ135" s="105"/>
      <c r="HMA135" s="105"/>
      <c r="HMB135" s="105"/>
      <c r="HMC135" s="105"/>
      <c r="HMD135" s="105"/>
      <c r="HME135" s="105"/>
      <c r="HMF135" s="105"/>
      <c r="HMG135" s="105"/>
      <c r="HMH135" s="105"/>
      <c r="HMI135" s="105"/>
      <c r="HMJ135" s="105"/>
      <c r="HMK135" s="105"/>
      <c r="HML135" s="105"/>
      <c r="HMM135" s="105"/>
      <c r="HMN135" s="105"/>
      <c r="HMO135" s="105"/>
      <c r="HMP135" s="105"/>
      <c r="HMQ135" s="105"/>
      <c r="HMR135" s="105"/>
      <c r="HMS135" s="105"/>
      <c r="HMT135" s="105"/>
      <c r="HMU135" s="105"/>
      <c r="HMV135" s="105"/>
      <c r="HMW135" s="105"/>
      <c r="HMX135" s="105"/>
      <c r="HMY135" s="105"/>
      <c r="HMZ135" s="105"/>
      <c r="HNA135" s="105"/>
      <c r="HNB135" s="105"/>
      <c r="HNC135" s="105"/>
      <c r="HND135" s="105"/>
      <c r="HNE135" s="105"/>
      <c r="HNF135" s="105"/>
      <c r="HNG135" s="105"/>
      <c r="HNH135" s="105"/>
      <c r="HNI135" s="105"/>
      <c r="HNJ135" s="105"/>
      <c r="HNK135" s="105"/>
      <c r="HNL135" s="105"/>
      <c r="HNM135" s="105"/>
      <c r="HNN135" s="105"/>
      <c r="HNO135" s="105"/>
      <c r="HNP135" s="105"/>
      <c r="HNQ135" s="105"/>
      <c r="HNR135" s="105"/>
      <c r="HNS135" s="105"/>
      <c r="HNT135" s="105"/>
      <c r="HNU135" s="105"/>
      <c r="HNV135" s="105"/>
      <c r="HNW135" s="105"/>
      <c r="HNX135" s="105"/>
      <c r="HNY135" s="105"/>
      <c r="HNZ135" s="105"/>
      <c r="HOA135" s="105"/>
      <c r="HOB135" s="105"/>
      <c r="HOC135" s="105"/>
      <c r="HOD135" s="105"/>
      <c r="HOE135" s="105"/>
      <c r="HOF135" s="105"/>
      <c r="HOG135" s="105"/>
      <c r="HOH135" s="105"/>
      <c r="HOI135" s="105"/>
      <c r="HOJ135" s="105"/>
      <c r="HOK135" s="105"/>
      <c r="HOL135" s="105"/>
      <c r="HOM135" s="105"/>
      <c r="HON135" s="105"/>
      <c r="HOO135" s="105"/>
      <c r="HOP135" s="105"/>
      <c r="HOQ135" s="105"/>
      <c r="HOR135" s="105"/>
      <c r="HOS135" s="105"/>
      <c r="HOT135" s="105"/>
      <c r="HOU135" s="105"/>
      <c r="HOV135" s="105"/>
      <c r="HOW135" s="105"/>
      <c r="HOX135" s="105"/>
      <c r="HOY135" s="105"/>
      <c r="HOZ135" s="105"/>
      <c r="HPA135" s="105"/>
      <c r="HPB135" s="105"/>
      <c r="HPC135" s="105"/>
      <c r="HPD135" s="105"/>
      <c r="HPE135" s="105"/>
      <c r="HPF135" s="105"/>
      <c r="HPG135" s="105"/>
      <c r="HPH135" s="105"/>
      <c r="HPI135" s="105"/>
      <c r="HPJ135" s="105"/>
      <c r="HPK135" s="105"/>
      <c r="HPL135" s="105"/>
      <c r="HPM135" s="105"/>
      <c r="HPN135" s="105"/>
      <c r="HPO135" s="105"/>
      <c r="HPP135" s="105"/>
      <c r="HPQ135" s="105"/>
      <c r="HPR135" s="105"/>
      <c r="HPS135" s="105"/>
      <c r="HPT135" s="105"/>
      <c r="HPU135" s="105"/>
      <c r="HPV135" s="105"/>
      <c r="HPW135" s="105"/>
      <c r="HPX135" s="105"/>
      <c r="HPY135" s="105"/>
      <c r="HPZ135" s="105"/>
      <c r="HQA135" s="105"/>
      <c r="HQB135" s="105"/>
      <c r="HQC135" s="105"/>
      <c r="HQD135" s="105"/>
      <c r="HQE135" s="105"/>
      <c r="HQF135" s="105"/>
      <c r="HQG135" s="105"/>
      <c r="HQH135" s="105"/>
      <c r="HQI135" s="105"/>
      <c r="HQJ135" s="105"/>
      <c r="HQK135" s="105"/>
      <c r="HQL135" s="105"/>
      <c r="HQM135" s="105"/>
      <c r="HQN135" s="105"/>
      <c r="HQO135" s="105"/>
      <c r="HQP135" s="105"/>
      <c r="HQQ135" s="105"/>
      <c r="HQR135" s="105"/>
      <c r="HQS135" s="105"/>
      <c r="HQT135" s="105"/>
      <c r="HQU135" s="105"/>
      <c r="HQV135" s="105"/>
      <c r="HQW135" s="105"/>
      <c r="HQX135" s="105"/>
      <c r="HQY135" s="105"/>
      <c r="HQZ135" s="105"/>
      <c r="HRA135" s="105"/>
      <c r="HRB135" s="105"/>
      <c r="HRC135" s="105"/>
      <c r="HRD135" s="105"/>
      <c r="HRE135" s="105"/>
      <c r="HRF135" s="105"/>
      <c r="HRG135" s="105"/>
      <c r="HRH135" s="105"/>
      <c r="HRI135" s="105"/>
      <c r="HRJ135" s="105"/>
      <c r="HRK135" s="105"/>
      <c r="HRL135" s="105"/>
      <c r="HRM135" s="105"/>
      <c r="HRN135" s="105"/>
      <c r="HRO135" s="105"/>
      <c r="HRP135" s="105"/>
      <c r="HRQ135" s="105"/>
      <c r="HRR135" s="105"/>
      <c r="HRS135" s="105"/>
      <c r="HRT135" s="105"/>
      <c r="HRU135" s="105"/>
      <c r="HRV135" s="105"/>
      <c r="HRW135" s="105"/>
      <c r="HRX135" s="105"/>
      <c r="HRY135" s="105"/>
      <c r="HRZ135" s="105"/>
      <c r="HSA135" s="105"/>
      <c r="HSB135" s="105"/>
      <c r="HSC135" s="105"/>
      <c r="HSD135" s="105"/>
      <c r="HSE135" s="105"/>
      <c r="HSF135" s="105"/>
      <c r="HSG135" s="105"/>
      <c r="HSH135" s="105"/>
      <c r="HSI135" s="105"/>
      <c r="HSJ135" s="105"/>
      <c r="HSK135" s="105"/>
      <c r="HSL135" s="105"/>
      <c r="HSM135" s="105"/>
      <c r="HSN135" s="105"/>
      <c r="HSO135" s="105"/>
      <c r="HSP135" s="105"/>
      <c r="HSQ135" s="105"/>
      <c r="HSR135" s="105"/>
      <c r="HSS135" s="105"/>
      <c r="HST135" s="105"/>
      <c r="HSU135" s="105"/>
      <c r="HSV135" s="105"/>
      <c r="HSW135" s="105"/>
      <c r="HSX135" s="105"/>
      <c r="HSY135" s="105"/>
      <c r="HSZ135" s="105"/>
      <c r="HTA135" s="105"/>
      <c r="HTB135" s="105"/>
      <c r="HTC135" s="105"/>
      <c r="HTD135" s="105"/>
      <c r="HTE135" s="105"/>
      <c r="HTF135" s="105"/>
      <c r="HTG135" s="105"/>
      <c r="HTH135" s="105"/>
      <c r="HTI135" s="105"/>
      <c r="HTJ135" s="105"/>
      <c r="HTK135" s="105"/>
      <c r="HTL135" s="105"/>
      <c r="HTM135" s="105"/>
      <c r="HTN135" s="105"/>
      <c r="HTO135" s="105"/>
      <c r="HTP135" s="105"/>
      <c r="HTQ135" s="105"/>
      <c r="HTR135" s="105"/>
      <c r="HTS135" s="105"/>
      <c r="HTT135" s="105"/>
      <c r="HTU135" s="105"/>
      <c r="HTV135" s="105"/>
      <c r="HTW135" s="105"/>
      <c r="HTX135" s="105"/>
      <c r="HTY135" s="105"/>
      <c r="HTZ135" s="105"/>
      <c r="HUA135" s="105"/>
      <c r="HUB135" s="105"/>
      <c r="HUC135" s="105"/>
      <c r="HUD135" s="105"/>
      <c r="HUE135" s="105"/>
      <c r="HUF135" s="105"/>
      <c r="HUG135" s="105"/>
      <c r="HUH135" s="105"/>
      <c r="HUI135" s="105"/>
      <c r="HUJ135" s="105"/>
      <c r="HUK135" s="105"/>
      <c r="HUL135" s="105"/>
      <c r="HUM135" s="105"/>
      <c r="HUN135" s="105"/>
      <c r="HUO135" s="105"/>
      <c r="HUP135" s="105"/>
      <c r="HUQ135" s="105"/>
      <c r="HUR135" s="105"/>
      <c r="HUS135" s="105"/>
      <c r="HUT135" s="105"/>
      <c r="HUU135" s="105"/>
      <c r="HUV135" s="105"/>
      <c r="HUW135" s="105"/>
      <c r="HUX135" s="105"/>
      <c r="HUY135" s="105"/>
      <c r="HUZ135" s="105"/>
      <c r="HVA135" s="105"/>
      <c r="HVB135" s="105"/>
      <c r="HVC135" s="105"/>
      <c r="HVD135" s="105"/>
      <c r="HVE135" s="105"/>
      <c r="HVF135" s="105"/>
      <c r="HVG135" s="105"/>
      <c r="HVH135" s="105"/>
      <c r="HVI135" s="105"/>
      <c r="HVJ135" s="105"/>
      <c r="HVK135" s="105"/>
      <c r="HVL135" s="105"/>
      <c r="HVM135" s="105"/>
      <c r="HVN135" s="105"/>
      <c r="HVO135" s="105"/>
      <c r="HVP135" s="105"/>
      <c r="HVQ135" s="105"/>
      <c r="HVR135" s="105"/>
      <c r="HVS135" s="105"/>
      <c r="HVT135" s="105"/>
      <c r="HVU135" s="105"/>
      <c r="HVV135" s="105"/>
      <c r="HVW135" s="105"/>
      <c r="HVX135" s="105"/>
      <c r="HVY135" s="105"/>
      <c r="HVZ135" s="105"/>
      <c r="HWA135" s="105"/>
      <c r="HWB135" s="105"/>
      <c r="HWC135" s="105"/>
      <c r="HWD135" s="105"/>
      <c r="HWE135" s="105"/>
      <c r="HWF135" s="105"/>
      <c r="HWG135" s="105"/>
      <c r="HWH135" s="105"/>
      <c r="HWI135" s="105"/>
      <c r="HWJ135" s="105"/>
      <c r="HWK135" s="105"/>
      <c r="HWL135" s="105"/>
      <c r="HWM135" s="105"/>
      <c r="HWN135" s="105"/>
      <c r="HWO135" s="105"/>
      <c r="HWP135" s="105"/>
      <c r="HWQ135" s="105"/>
      <c r="HWR135" s="105"/>
      <c r="HWS135" s="105"/>
      <c r="HWT135" s="105"/>
      <c r="HWU135" s="105"/>
      <c r="HWV135" s="105"/>
      <c r="HWW135" s="105"/>
      <c r="HWX135" s="105"/>
      <c r="HWY135" s="105"/>
      <c r="HWZ135" s="105"/>
      <c r="HXA135" s="105"/>
      <c r="HXB135" s="105"/>
      <c r="HXC135" s="105"/>
      <c r="HXD135" s="105"/>
      <c r="HXE135" s="105"/>
      <c r="HXF135" s="105"/>
      <c r="HXG135" s="105"/>
      <c r="HXH135" s="105"/>
      <c r="HXI135" s="105"/>
      <c r="HXJ135" s="105"/>
      <c r="HXK135" s="105"/>
      <c r="HXL135" s="105"/>
      <c r="HXM135" s="105"/>
      <c r="HXN135" s="105"/>
      <c r="HXO135" s="105"/>
      <c r="HXP135" s="105"/>
      <c r="HXQ135" s="105"/>
      <c r="HXR135" s="105"/>
      <c r="HXS135" s="105"/>
      <c r="HXT135" s="105"/>
      <c r="HXU135" s="105"/>
      <c r="HXV135" s="105"/>
      <c r="HXW135" s="105"/>
      <c r="HXX135" s="105"/>
      <c r="HXY135" s="105"/>
      <c r="HXZ135" s="105"/>
      <c r="HYA135" s="105"/>
      <c r="HYB135" s="105"/>
      <c r="HYC135" s="105"/>
      <c r="HYD135" s="105"/>
      <c r="HYE135" s="105"/>
      <c r="HYF135" s="105"/>
      <c r="HYG135" s="105"/>
      <c r="HYH135" s="105"/>
      <c r="HYI135" s="105"/>
      <c r="HYJ135" s="105"/>
      <c r="HYK135" s="105"/>
      <c r="HYL135" s="105"/>
      <c r="HYM135" s="105"/>
      <c r="HYN135" s="105"/>
      <c r="HYO135" s="105"/>
      <c r="HYP135" s="105"/>
      <c r="HYQ135" s="105"/>
      <c r="HYR135" s="105"/>
      <c r="HYS135" s="105"/>
      <c r="HYT135" s="105"/>
      <c r="HYU135" s="105"/>
      <c r="HYV135" s="105"/>
      <c r="HYW135" s="105"/>
      <c r="HYX135" s="105"/>
      <c r="HYY135" s="105"/>
      <c r="HYZ135" s="105"/>
      <c r="HZA135" s="105"/>
      <c r="HZB135" s="105"/>
      <c r="HZC135" s="105"/>
      <c r="HZD135" s="105"/>
      <c r="HZE135" s="105"/>
      <c r="HZF135" s="105"/>
      <c r="HZG135" s="105"/>
      <c r="HZH135" s="105"/>
      <c r="HZI135" s="105"/>
      <c r="HZJ135" s="105"/>
      <c r="HZK135" s="105"/>
      <c r="HZL135" s="105"/>
      <c r="HZM135" s="105"/>
      <c r="HZN135" s="105"/>
      <c r="HZO135" s="105"/>
      <c r="HZP135" s="105"/>
      <c r="HZQ135" s="105"/>
      <c r="HZR135" s="105"/>
      <c r="HZS135" s="105"/>
      <c r="HZT135" s="105"/>
      <c r="HZU135" s="105"/>
      <c r="HZV135" s="105"/>
      <c r="HZW135" s="105"/>
      <c r="HZX135" s="105"/>
      <c r="HZY135" s="105"/>
      <c r="HZZ135" s="105"/>
      <c r="IAA135" s="105"/>
      <c r="IAB135" s="105"/>
      <c r="IAC135" s="105"/>
      <c r="IAD135" s="105"/>
      <c r="IAE135" s="105"/>
      <c r="IAF135" s="105"/>
      <c r="IAG135" s="105"/>
      <c r="IAH135" s="105"/>
      <c r="IAI135" s="105"/>
      <c r="IAJ135" s="105"/>
      <c r="IAK135" s="105"/>
      <c r="IAL135" s="105"/>
      <c r="IAM135" s="105"/>
      <c r="IAN135" s="105"/>
      <c r="IAO135" s="105"/>
      <c r="IAP135" s="105"/>
      <c r="IAQ135" s="105"/>
      <c r="IAR135" s="105"/>
      <c r="IAS135" s="105"/>
      <c r="IAT135" s="105"/>
      <c r="IAU135" s="105"/>
      <c r="IAV135" s="105"/>
      <c r="IAW135" s="105"/>
      <c r="IAX135" s="105"/>
      <c r="IAY135" s="105"/>
      <c r="IAZ135" s="105"/>
      <c r="IBA135" s="105"/>
      <c r="IBB135" s="105"/>
      <c r="IBC135" s="105"/>
      <c r="IBD135" s="105"/>
      <c r="IBE135" s="105"/>
      <c r="IBF135" s="105"/>
      <c r="IBG135" s="105"/>
      <c r="IBH135" s="105"/>
      <c r="IBI135" s="105"/>
      <c r="IBJ135" s="105"/>
      <c r="IBK135" s="105"/>
      <c r="IBL135" s="105"/>
      <c r="IBM135" s="105"/>
      <c r="IBN135" s="105"/>
      <c r="IBO135" s="105"/>
      <c r="IBP135" s="105"/>
      <c r="IBQ135" s="105"/>
      <c r="IBR135" s="105"/>
      <c r="IBS135" s="105"/>
      <c r="IBT135" s="105"/>
      <c r="IBU135" s="105"/>
      <c r="IBV135" s="105"/>
      <c r="IBW135" s="105"/>
      <c r="IBX135" s="105"/>
      <c r="IBY135" s="105"/>
      <c r="IBZ135" s="105"/>
      <c r="ICA135" s="105"/>
      <c r="ICB135" s="105"/>
      <c r="ICC135" s="105"/>
      <c r="ICD135" s="105"/>
      <c r="ICE135" s="105"/>
      <c r="ICF135" s="105"/>
      <c r="ICG135" s="105"/>
      <c r="ICH135" s="105"/>
      <c r="ICI135" s="105"/>
      <c r="ICJ135" s="105"/>
      <c r="ICK135" s="105"/>
      <c r="ICL135" s="105"/>
      <c r="ICM135" s="105"/>
      <c r="ICN135" s="105"/>
      <c r="ICO135" s="105"/>
      <c r="ICP135" s="105"/>
      <c r="ICQ135" s="105"/>
      <c r="ICR135" s="105"/>
      <c r="ICS135" s="105"/>
      <c r="ICT135" s="105"/>
      <c r="ICU135" s="105"/>
      <c r="ICV135" s="105"/>
      <c r="ICW135" s="105"/>
      <c r="ICX135" s="105"/>
      <c r="ICY135" s="105"/>
      <c r="ICZ135" s="105"/>
      <c r="IDA135" s="105"/>
      <c r="IDB135" s="105"/>
      <c r="IDC135" s="105"/>
      <c r="IDD135" s="105"/>
      <c r="IDE135" s="105"/>
      <c r="IDF135" s="105"/>
      <c r="IDG135" s="105"/>
      <c r="IDH135" s="105"/>
      <c r="IDI135" s="105"/>
      <c r="IDJ135" s="105"/>
      <c r="IDK135" s="105"/>
      <c r="IDL135" s="105"/>
      <c r="IDM135" s="105"/>
      <c r="IDN135" s="105"/>
      <c r="IDO135" s="105"/>
      <c r="IDP135" s="105"/>
      <c r="IDQ135" s="105"/>
      <c r="IDR135" s="105"/>
      <c r="IDS135" s="105"/>
      <c r="IDT135" s="105"/>
      <c r="IDU135" s="105"/>
      <c r="IDV135" s="105"/>
      <c r="IDW135" s="105"/>
      <c r="IDX135" s="105"/>
      <c r="IDY135" s="105"/>
      <c r="IDZ135" s="105"/>
      <c r="IEA135" s="105"/>
      <c r="IEB135" s="105"/>
      <c r="IEC135" s="105"/>
      <c r="IED135" s="105"/>
      <c r="IEE135" s="105"/>
      <c r="IEF135" s="105"/>
      <c r="IEG135" s="105"/>
      <c r="IEH135" s="105"/>
      <c r="IEI135" s="105"/>
      <c r="IEJ135" s="105"/>
      <c r="IEK135" s="105"/>
      <c r="IEL135" s="105"/>
      <c r="IEM135" s="105"/>
      <c r="IEN135" s="105"/>
      <c r="IEO135" s="105"/>
      <c r="IEP135" s="105"/>
      <c r="IEQ135" s="105"/>
      <c r="IER135" s="105"/>
      <c r="IES135" s="105"/>
      <c r="IET135" s="105"/>
      <c r="IEU135" s="105"/>
      <c r="IEV135" s="105"/>
      <c r="IEW135" s="105"/>
      <c r="IEX135" s="105"/>
      <c r="IEY135" s="105"/>
      <c r="IEZ135" s="105"/>
      <c r="IFA135" s="105"/>
      <c r="IFB135" s="105"/>
      <c r="IFC135" s="105"/>
      <c r="IFD135" s="105"/>
      <c r="IFE135" s="105"/>
      <c r="IFF135" s="105"/>
      <c r="IFG135" s="105"/>
      <c r="IFH135" s="105"/>
      <c r="IFI135" s="105"/>
      <c r="IFJ135" s="105"/>
      <c r="IFK135" s="105"/>
      <c r="IFL135" s="105"/>
      <c r="IFM135" s="105"/>
      <c r="IFN135" s="105"/>
      <c r="IFO135" s="105"/>
      <c r="IFP135" s="105"/>
      <c r="IFQ135" s="105"/>
      <c r="IFR135" s="105"/>
      <c r="IFS135" s="105"/>
      <c r="IFT135" s="105"/>
      <c r="IFU135" s="105"/>
      <c r="IFV135" s="105"/>
      <c r="IFW135" s="105"/>
      <c r="IFX135" s="105"/>
      <c r="IFY135" s="105"/>
      <c r="IFZ135" s="105"/>
      <c r="IGA135" s="105"/>
      <c r="IGB135" s="105"/>
      <c r="IGC135" s="105"/>
      <c r="IGD135" s="105"/>
      <c r="IGE135" s="105"/>
      <c r="IGF135" s="105"/>
      <c r="IGG135" s="105"/>
      <c r="IGH135" s="105"/>
      <c r="IGI135" s="105"/>
      <c r="IGJ135" s="105"/>
      <c r="IGK135" s="105"/>
      <c r="IGL135" s="105"/>
      <c r="IGM135" s="105"/>
      <c r="IGN135" s="105"/>
      <c r="IGO135" s="105"/>
      <c r="IGP135" s="105"/>
      <c r="IGQ135" s="105"/>
      <c r="IGR135" s="105"/>
      <c r="IGS135" s="105"/>
      <c r="IGT135" s="105"/>
      <c r="IGU135" s="105"/>
      <c r="IGV135" s="105"/>
      <c r="IGW135" s="105"/>
      <c r="IGX135" s="105"/>
      <c r="IGY135" s="105"/>
      <c r="IGZ135" s="105"/>
      <c r="IHA135" s="105"/>
      <c r="IHB135" s="105"/>
      <c r="IHC135" s="105"/>
      <c r="IHD135" s="105"/>
      <c r="IHE135" s="105"/>
      <c r="IHF135" s="105"/>
      <c r="IHG135" s="105"/>
      <c r="IHH135" s="105"/>
      <c r="IHI135" s="105"/>
      <c r="IHJ135" s="105"/>
      <c r="IHK135" s="105"/>
      <c r="IHL135" s="105"/>
      <c r="IHM135" s="105"/>
      <c r="IHN135" s="105"/>
      <c r="IHO135" s="105"/>
      <c r="IHP135" s="105"/>
      <c r="IHQ135" s="105"/>
      <c r="IHR135" s="105"/>
      <c r="IHS135" s="105"/>
      <c r="IHT135" s="105"/>
      <c r="IHU135" s="105"/>
      <c r="IHV135" s="105"/>
      <c r="IHW135" s="105"/>
      <c r="IHX135" s="105"/>
      <c r="IHY135" s="105"/>
      <c r="IHZ135" s="105"/>
      <c r="IIA135" s="105"/>
      <c r="IIB135" s="105"/>
      <c r="IIC135" s="105"/>
      <c r="IID135" s="105"/>
      <c r="IIE135" s="105"/>
      <c r="IIF135" s="105"/>
      <c r="IIG135" s="105"/>
      <c r="IIH135" s="105"/>
      <c r="III135" s="105"/>
      <c r="IIJ135" s="105"/>
      <c r="IIK135" s="105"/>
      <c r="IIL135" s="105"/>
      <c r="IIM135" s="105"/>
      <c r="IIN135" s="105"/>
      <c r="IIO135" s="105"/>
      <c r="IIP135" s="105"/>
      <c r="IIQ135" s="105"/>
      <c r="IIR135" s="105"/>
      <c r="IIS135" s="105"/>
      <c r="IIT135" s="105"/>
      <c r="IIU135" s="105"/>
      <c r="IIV135" s="105"/>
      <c r="IIW135" s="105"/>
      <c r="IIX135" s="105"/>
      <c r="IIY135" s="105"/>
      <c r="IIZ135" s="105"/>
      <c r="IJA135" s="105"/>
      <c r="IJB135" s="105"/>
      <c r="IJC135" s="105"/>
      <c r="IJD135" s="105"/>
      <c r="IJE135" s="105"/>
      <c r="IJF135" s="105"/>
      <c r="IJG135" s="105"/>
      <c r="IJH135" s="105"/>
      <c r="IJI135" s="105"/>
      <c r="IJJ135" s="105"/>
      <c r="IJK135" s="105"/>
      <c r="IJL135" s="105"/>
      <c r="IJM135" s="105"/>
      <c r="IJN135" s="105"/>
      <c r="IJO135" s="105"/>
      <c r="IJP135" s="105"/>
      <c r="IJQ135" s="105"/>
      <c r="IJR135" s="105"/>
      <c r="IJS135" s="105"/>
      <c r="IJT135" s="105"/>
      <c r="IJU135" s="105"/>
      <c r="IJV135" s="105"/>
      <c r="IJW135" s="105"/>
      <c r="IJX135" s="105"/>
      <c r="IJY135" s="105"/>
      <c r="IJZ135" s="105"/>
      <c r="IKA135" s="105"/>
      <c r="IKB135" s="105"/>
      <c r="IKC135" s="105"/>
      <c r="IKD135" s="105"/>
      <c r="IKE135" s="105"/>
      <c r="IKF135" s="105"/>
      <c r="IKG135" s="105"/>
      <c r="IKH135" s="105"/>
      <c r="IKI135" s="105"/>
      <c r="IKJ135" s="105"/>
      <c r="IKK135" s="105"/>
      <c r="IKL135" s="105"/>
      <c r="IKM135" s="105"/>
      <c r="IKN135" s="105"/>
      <c r="IKO135" s="105"/>
      <c r="IKP135" s="105"/>
      <c r="IKQ135" s="105"/>
      <c r="IKR135" s="105"/>
      <c r="IKS135" s="105"/>
      <c r="IKT135" s="105"/>
      <c r="IKU135" s="105"/>
      <c r="IKV135" s="105"/>
      <c r="IKW135" s="105"/>
      <c r="IKX135" s="105"/>
      <c r="IKY135" s="105"/>
      <c r="IKZ135" s="105"/>
      <c r="ILA135" s="105"/>
      <c r="ILB135" s="105"/>
      <c r="ILC135" s="105"/>
      <c r="ILD135" s="105"/>
      <c r="ILE135" s="105"/>
      <c r="ILF135" s="105"/>
      <c r="ILG135" s="105"/>
      <c r="ILH135" s="105"/>
      <c r="ILI135" s="105"/>
      <c r="ILJ135" s="105"/>
      <c r="ILK135" s="105"/>
      <c r="ILL135" s="105"/>
      <c r="ILM135" s="105"/>
      <c r="ILN135" s="105"/>
      <c r="ILO135" s="105"/>
      <c r="ILP135" s="105"/>
      <c r="ILQ135" s="105"/>
      <c r="ILR135" s="105"/>
      <c r="ILS135" s="105"/>
      <c r="ILT135" s="105"/>
      <c r="ILU135" s="105"/>
      <c r="ILV135" s="105"/>
      <c r="ILW135" s="105"/>
      <c r="ILX135" s="105"/>
      <c r="ILY135" s="105"/>
      <c r="ILZ135" s="105"/>
      <c r="IMA135" s="105"/>
      <c r="IMB135" s="105"/>
      <c r="IMC135" s="105"/>
      <c r="IMD135" s="105"/>
      <c r="IME135" s="105"/>
      <c r="IMF135" s="105"/>
      <c r="IMG135" s="105"/>
      <c r="IMH135" s="105"/>
      <c r="IMI135" s="105"/>
      <c r="IMJ135" s="105"/>
      <c r="IMK135" s="105"/>
      <c r="IML135" s="105"/>
      <c r="IMM135" s="105"/>
      <c r="IMN135" s="105"/>
      <c r="IMO135" s="105"/>
      <c r="IMP135" s="105"/>
      <c r="IMQ135" s="105"/>
      <c r="IMR135" s="105"/>
      <c r="IMS135" s="105"/>
      <c r="IMT135" s="105"/>
      <c r="IMU135" s="105"/>
      <c r="IMV135" s="105"/>
      <c r="IMW135" s="105"/>
      <c r="IMX135" s="105"/>
      <c r="IMY135" s="105"/>
      <c r="IMZ135" s="105"/>
      <c r="INA135" s="105"/>
      <c r="INB135" s="105"/>
      <c r="INC135" s="105"/>
      <c r="IND135" s="105"/>
      <c r="INE135" s="105"/>
      <c r="INF135" s="105"/>
      <c r="ING135" s="105"/>
      <c r="INH135" s="105"/>
      <c r="INI135" s="105"/>
      <c r="INJ135" s="105"/>
      <c r="INK135" s="105"/>
      <c r="INL135" s="105"/>
      <c r="INM135" s="105"/>
      <c r="INN135" s="105"/>
      <c r="INO135" s="105"/>
      <c r="INP135" s="105"/>
      <c r="INQ135" s="105"/>
      <c r="INR135" s="105"/>
      <c r="INS135" s="105"/>
      <c r="INT135" s="105"/>
      <c r="INU135" s="105"/>
      <c r="INV135" s="105"/>
      <c r="INW135" s="105"/>
      <c r="INX135" s="105"/>
      <c r="INY135" s="105"/>
      <c r="INZ135" s="105"/>
      <c r="IOA135" s="105"/>
      <c r="IOB135" s="105"/>
      <c r="IOC135" s="105"/>
      <c r="IOD135" s="105"/>
      <c r="IOE135" s="105"/>
      <c r="IOF135" s="105"/>
      <c r="IOG135" s="105"/>
      <c r="IOH135" s="105"/>
      <c r="IOI135" s="105"/>
      <c r="IOJ135" s="105"/>
      <c r="IOK135" s="105"/>
      <c r="IOL135" s="105"/>
      <c r="IOM135" s="105"/>
      <c r="ION135" s="105"/>
      <c r="IOO135" s="105"/>
      <c r="IOP135" s="105"/>
      <c r="IOQ135" s="105"/>
      <c r="IOR135" s="105"/>
      <c r="IOS135" s="105"/>
      <c r="IOT135" s="105"/>
      <c r="IOU135" s="105"/>
      <c r="IOV135" s="105"/>
      <c r="IOW135" s="105"/>
      <c r="IOX135" s="105"/>
      <c r="IOY135" s="105"/>
      <c r="IOZ135" s="105"/>
      <c r="IPA135" s="105"/>
      <c r="IPB135" s="105"/>
      <c r="IPC135" s="105"/>
      <c r="IPD135" s="105"/>
      <c r="IPE135" s="105"/>
      <c r="IPF135" s="105"/>
      <c r="IPG135" s="105"/>
      <c r="IPH135" s="105"/>
      <c r="IPI135" s="105"/>
      <c r="IPJ135" s="105"/>
      <c r="IPK135" s="105"/>
      <c r="IPL135" s="105"/>
      <c r="IPM135" s="105"/>
      <c r="IPN135" s="105"/>
      <c r="IPO135" s="105"/>
      <c r="IPP135" s="105"/>
      <c r="IPQ135" s="105"/>
      <c r="IPR135" s="105"/>
      <c r="IPS135" s="105"/>
      <c r="IPT135" s="105"/>
      <c r="IPU135" s="105"/>
      <c r="IPV135" s="105"/>
      <c r="IPW135" s="105"/>
      <c r="IPX135" s="105"/>
      <c r="IPY135" s="105"/>
      <c r="IPZ135" s="105"/>
      <c r="IQA135" s="105"/>
      <c r="IQB135" s="105"/>
      <c r="IQC135" s="105"/>
      <c r="IQD135" s="105"/>
      <c r="IQE135" s="105"/>
      <c r="IQF135" s="105"/>
      <c r="IQG135" s="105"/>
      <c r="IQH135" s="105"/>
      <c r="IQI135" s="105"/>
      <c r="IQJ135" s="105"/>
      <c r="IQK135" s="105"/>
      <c r="IQL135" s="105"/>
      <c r="IQM135" s="105"/>
      <c r="IQN135" s="105"/>
      <c r="IQO135" s="105"/>
      <c r="IQP135" s="105"/>
      <c r="IQQ135" s="105"/>
      <c r="IQR135" s="105"/>
      <c r="IQS135" s="105"/>
      <c r="IQT135" s="105"/>
      <c r="IQU135" s="105"/>
      <c r="IQV135" s="105"/>
      <c r="IQW135" s="105"/>
      <c r="IQX135" s="105"/>
      <c r="IQY135" s="105"/>
      <c r="IQZ135" s="105"/>
      <c r="IRA135" s="105"/>
      <c r="IRB135" s="105"/>
      <c r="IRC135" s="105"/>
      <c r="IRD135" s="105"/>
      <c r="IRE135" s="105"/>
      <c r="IRF135" s="105"/>
      <c r="IRG135" s="105"/>
      <c r="IRH135" s="105"/>
      <c r="IRI135" s="105"/>
      <c r="IRJ135" s="105"/>
      <c r="IRK135" s="105"/>
      <c r="IRL135" s="105"/>
      <c r="IRM135" s="105"/>
      <c r="IRN135" s="105"/>
      <c r="IRO135" s="105"/>
      <c r="IRP135" s="105"/>
      <c r="IRQ135" s="105"/>
      <c r="IRR135" s="105"/>
      <c r="IRS135" s="105"/>
      <c r="IRT135" s="105"/>
      <c r="IRU135" s="105"/>
      <c r="IRV135" s="105"/>
      <c r="IRW135" s="105"/>
      <c r="IRX135" s="105"/>
      <c r="IRY135" s="105"/>
      <c r="IRZ135" s="105"/>
      <c r="ISA135" s="105"/>
      <c r="ISB135" s="105"/>
      <c r="ISC135" s="105"/>
      <c r="ISD135" s="105"/>
      <c r="ISE135" s="105"/>
      <c r="ISF135" s="105"/>
      <c r="ISG135" s="105"/>
      <c r="ISH135" s="105"/>
      <c r="ISI135" s="105"/>
      <c r="ISJ135" s="105"/>
      <c r="ISK135" s="105"/>
      <c r="ISL135" s="105"/>
      <c r="ISM135" s="105"/>
      <c r="ISN135" s="105"/>
      <c r="ISO135" s="105"/>
      <c r="ISP135" s="105"/>
      <c r="ISQ135" s="105"/>
      <c r="ISR135" s="105"/>
      <c r="ISS135" s="105"/>
      <c r="IST135" s="105"/>
      <c r="ISU135" s="105"/>
      <c r="ISV135" s="105"/>
      <c r="ISW135" s="105"/>
      <c r="ISX135" s="105"/>
      <c r="ISY135" s="105"/>
      <c r="ISZ135" s="105"/>
      <c r="ITA135" s="105"/>
      <c r="ITB135" s="105"/>
      <c r="ITC135" s="105"/>
      <c r="ITD135" s="105"/>
      <c r="ITE135" s="105"/>
      <c r="ITF135" s="105"/>
      <c r="ITG135" s="105"/>
      <c r="ITH135" s="105"/>
      <c r="ITI135" s="105"/>
      <c r="ITJ135" s="105"/>
      <c r="ITK135" s="105"/>
      <c r="ITL135" s="105"/>
      <c r="ITM135" s="105"/>
      <c r="ITN135" s="105"/>
      <c r="ITO135" s="105"/>
      <c r="ITP135" s="105"/>
      <c r="ITQ135" s="105"/>
      <c r="ITR135" s="105"/>
      <c r="ITS135" s="105"/>
      <c r="ITT135" s="105"/>
      <c r="ITU135" s="105"/>
      <c r="ITV135" s="105"/>
      <c r="ITW135" s="105"/>
      <c r="ITX135" s="105"/>
      <c r="ITY135" s="105"/>
      <c r="ITZ135" s="105"/>
      <c r="IUA135" s="105"/>
      <c r="IUB135" s="105"/>
      <c r="IUC135" s="105"/>
      <c r="IUD135" s="105"/>
      <c r="IUE135" s="105"/>
      <c r="IUF135" s="105"/>
      <c r="IUG135" s="105"/>
      <c r="IUH135" s="105"/>
      <c r="IUI135" s="105"/>
      <c r="IUJ135" s="105"/>
      <c r="IUK135" s="105"/>
      <c r="IUL135" s="105"/>
      <c r="IUM135" s="105"/>
      <c r="IUN135" s="105"/>
      <c r="IUO135" s="105"/>
      <c r="IUP135" s="105"/>
      <c r="IUQ135" s="105"/>
      <c r="IUR135" s="105"/>
      <c r="IUS135" s="105"/>
      <c r="IUT135" s="105"/>
      <c r="IUU135" s="105"/>
      <c r="IUV135" s="105"/>
      <c r="IUW135" s="105"/>
      <c r="IUX135" s="105"/>
      <c r="IUY135" s="105"/>
      <c r="IUZ135" s="105"/>
      <c r="IVA135" s="105"/>
      <c r="IVB135" s="105"/>
      <c r="IVC135" s="105"/>
      <c r="IVD135" s="105"/>
      <c r="IVE135" s="105"/>
      <c r="IVF135" s="105"/>
      <c r="IVG135" s="105"/>
      <c r="IVH135" s="105"/>
      <c r="IVI135" s="105"/>
      <c r="IVJ135" s="105"/>
      <c r="IVK135" s="105"/>
      <c r="IVL135" s="105"/>
      <c r="IVM135" s="105"/>
      <c r="IVN135" s="105"/>
      <c r="IVO135" s="105"/>
      <c r="IVP135" s="105"/>
      <c r="IVQ135" s="105"/>
      <c r="IVR135" s="105"/>
      <c r="IVS135" s="105"/>
      <c r="IVT135" s="105"/>
      <c r="IVU135" s="105"/>
      <c r="IVV135" s="105"/>
      <c r="IVW135" s="105"/>
      <c r="IVX135" s="105"/>
      <c r="IVY135" s="105"/>
      <c r="IVZ135" s="105"/>
      <c r="IWA135" s="105"/>
      <c r="IWB135" s="105"/>
      <c r="IWC135" s="105"/>
      <c r="IWD135" s="105"/>
      <c r="IWE135" s="105"/>
      <c r="IWF135" s="105"/>
      <c r="IWG135" s="105"/>
      <c r="IWH135" s="105"/>
      <c r="IWI135" s="105"/>
      <c r="IWJ135" s="105"/>
      <c r="IWK135" s="105"/>
      <c r="IWL135" s="105"/>
      <c r="IWM135" s="105"/>
      <c r="IWN135" s="105"/>
      <c r="IWO135" s="105"/>
      <c r="IWP135" s="105"/>
      <c r="IWQ135" s="105"/>
      <c r="IWR135" s="105"/>
      <c r="IWS135" s="105"/>
      <c r="IWT135" s="105"/>
      <c r="IWU135" s="105"/>
      <c r="IWV135" s="105"/>
      <c r="IWW135" s="105"/>
      <c r="IWX135" s="105"/>
      <c r="IWY135" s="105"/>
      <c r="IWZ135" s="105"/>
      <c r="IXA135" s="105"/>
      <c r="IXB135" s="105"/>
      <c r="IXC135" s="105"/>
      <c r="IXD135" s="105"/>
      <c r="IXE135" s="105"/>
      <c r="IXF135" s="105"/>
      <c r="IXG135" s="105"/>
      <c r="IXH135" s="105"/>
      <c r="IXI135" s="105"/>
      <c r="IXJ135" s="105"/>
      <c r="IXK135" s="105"/>
      <c r="IXL135" s="105"/>
      <c r="IXM135" s="105"/>
      <c r="IXN135" s="105"/>
      <c r="IXO135" s="105"/>
      <c r="IXP135" s="105"/>
      <c r="IXQ135" s="105"/>
      <c r="IXR135" s="105"/>
      <c r="IXS135" s="105"/>
      <c r="IXT135" s="105"/>
      <c r="IXU135" s="105"/>
      <c r="IXV135" s="105"/>
      <c r="IXW135" s="105"/>
      <c r="IXX135" s="105"/>
      <c r="IXY135" s="105"/>
      <c r="IXZ135" s="105"/>
      <c r="IYA135" s="105"/>
      <c r="IYB135" s="105"/>
      <c r="IYC135" s="105"/>
      <c r="IYD135" s="105"/>
      <c r="IYE135" s="105"/>
      <c r="IYF135" s="105"/>
      <c r="IYG135" s="105"/>
      <c r="IYH135" s="105"/>
      <c r="IYI135" s="105"/>
      <c r="IYJ135" s="105"/>
      <c r="IYK135" s="105"/>
      <c r="IYL135" s="105"/>
      <c r="IYM135" s="105"/>
      <c r="IYN135" s="105"/>
      <c r="IYO135" s="105"/>
      <c r="IYP135" s="105"/>
      <c r="IYQ135" s="105"/>
      <c r="IYR135" s="105"/>
      <c r="IYS135" s="105"/>
      <c r="IYT135" s="105"/>
      <c r="IYU135" s="105"/>
      <c r="IYV135" s="105"/>
      <c r="IYW135" s="105"/>
      <c r="IYX135" s="105"/>
      <c r="IYY135" s="105"/>
      <c r="IYZ135" s="105"/>
      <c r="IZA135" s="105"/>
      <c r="IZB135" s="105"/>
      <c r="IZC135" s="105"/>
      <c r="IZD135" s="105"/>
      <c r="IZE135" s="105"/>
      <c r="IZF135" s="105"/>
      <c r="IZG135" s="105"/>
      <c r="IZH135" s="105"/>
      <c r="IZI135" s="105"/>
      <c r="IZJ135" s="105"/>
      <c r="IZK135" s="105"/>
      <c r="IZL135" s="105"/>
      <c r="IZM135" s="105"/>
      <c r="IZN135" s="105"/>
      <c r="IZO135" s="105"/>
      <c r="IZP135" s="105"/>
      <c r="IZQ135" s="105"/>
      <c r="IZR135" s="105"/>
      <c r="IZS135" s="105"/>
      <c r="IZT135" s="105"/>
      <c r="IZU135" s="105"/>
      <c r="IZV135" s="105"/>
      <c r="IZW135" s="105"/>
      <c r="IZX135" s="105"/>
      <c r="IZY135" s="105"/>
      <c r="IZZ135" s="105"/>
      <c r="JAA135" s="105"/>
      <c r="JAB135" s="105"/>
      <c r="JAC135" s="105"/>
      <c r="JAD135" s="105"/>
      <c r="JAE135" s="105"/>
      <c r="JAF135" s="105"/>
      <c r="JAG135" s="105"/>
      <c r="JAH135" s="105"/>
      <c r="JAI135" s="105"/>
      <c r="JAJ135" s="105"/>
      <c r="JAK135" s="105"/>
      <c r="JAL135" s="105"/>
      <c r="JAM135" s="105"/>
      <c r="JAN135" s="105"/>
      <c r="JAO135" s="105"/>
      <c r="JAP135" s="105"/>
      <c r="JAQ135" s="105"/>
      <c r="JAR135" s="105"/>
      <c r="JAS135" s="105"/>
      <c r="JAT135" s="105"/>
      <c r="JAU135" s="105"/>
      <c r="JAV135" s="105"/>
      <c r="JAW135" s="105"/>
      <c r="JAX135" s="105"/>
      <c r="JAY135" s="105"/>
      <c r="JAZ135" s="105"/>
      <c r="JBA135" s="105"/>
      <c r="JBB135" s="105"/>
      <c r="JBC135" s="105"/>
      <c r="JBD135" s="105"/>
      <c r="JBE135" s="105"/>
      <c r="JBF135" s="105"/>
      <c r="JBG135" s="105"/>
      <c r="JBH135" s="105"/>
      <c r="JBI135" s="105"/>
      <c r="JBJ135" s="105"/>
      <c r="JBK135" s="105"/>
      <c r="JBL135" s="105"/>
      <c r="JBM135" s="105"/>
      <c r="JBN135" s="105"/>
      <c r="JBO135" s="105"/>
      <c r="JBP135" s="105"/>
      <c r="JBQ135" s="105"/>
      <c r="JBR135" s="105"/>
      <c r="JBS135" s="105"/>
      <c r="JBT135" s="105"/>
      <c r="JBU135" s="105"/>
      <c r="JBV135" s="105"/>
      <c r="JBW135" s="105"/>
      <c r="JBX135" s="105"/>
      <c r="JBY135" s="105"/>
      <c r="JBZ135" s="105"/>
      <c r="JCA135" s="105"/>
      <c r="JCB135" s="105"/>
      <c r="JCC135" s="105"/>
      <c r="JCD135" s="105"/>
      <c r="JCE135" s="105"/>
      <c r="JCF135" s="105"/>
      <c r="JCG135" s="105"/>
      <c r="JCH135" s="105"/>
      <c r="JCI135" s="105"/>
      <c r="JCJ135" s="105"/>
      <c r="JCK135" s="105"/>
      <c r="JCL135" s="105"/>
      <c r="JCM135" s="105"/>
      <c r="JCN135" s="105"/>
      <c r="JCO135" s="105"/>
      <c r="JCP135" s="105"/>
      <c r="JCQ135" s="105"/>
      <c r="JCR135" s="105"/>
      <c r="JCS135" s="105"/>
      <c r="JCT135" s="105"/>
      <c r="JCU135" s="105"/>
      <c r="JCV135" s="105"/>
      <c r="JCW135" s="105"/>
      <c r="JCX135" s="105"/>
      <c r="JCY135" s="105"/>
      <c r="JCZ135" s="105"/>
      <c r="JDA135" s="105"/>
      <c r="JDB135" s="105"/>
      <c r="JDC135" s="105"/>
      <c r="JDD135" s="105"/>
      <c r="JDE135" s="105"/>
      <c r="JDF135" s="105"/>
      <c r="JDG135" s="105"/>
      <c r="JDH135" s="105"/>
      <c r="JDI135" s="105"/>
      <c r="JDJ135" s="105"/>
      <c r="JDK135" s="105"/>
      <c r="JDL135" s="105"/>
      <c r="JDM135" s="105"/>
      <c r="JDN135" s="105"/>
      <c r="JDO135" s="105"/>
      <c r="JDP135" s="105"/>
      <c r="JDQ135" s="105"/>
      <c r="JDR135" s="105"/>
      <c r="JDS135" s="105"/>
      <c r="JDT135" s="105"/>
      <c r="JDU135" s="105"/>
      <c r="JDV135" s="105"/>
      <c r="JDW135" s="105"/>
      <c r="JDX135" s="105"/>
      <c r="JDY135" s="105"/>
      <c r="JDZ135" s="105"/>
      <c r="JEA135" s="105"/>
      <c r="JEB135" s="105"/>
      <c r="JEC135" s="105"/>
      <c r="JED135" s="105"/>
      <c r="JEE135" s="105"/>
      <c r="JEF135" s="105"/>
      <c r="JEG135" s="105"/>
      <c r="JEH135" s="105"/>
      <c r="JEI135" s="105"/>
      <c r="JEJ135" s="105"/>
      <c r="JEK135" s="105"/>
      <c r="JEL135" s="105"/>
      <c r="JEM135" s="105"/>
      <c r="JEN135" s="105"/>
      <c r="JEO135" s="105"/>
      <c r="JEP135" s="105"/>
      <c r="JEQ135" s="105"/>
      <c r="JER135" s="105"/>
      <c r="JES135" s="105"/>
      <c r="JET135" s="105"/>
      <c r="JEU135" s="105"/>
      <c r="JEV135" s="105"/>
      <c r="JEW135" s="105"/>
      <c r="JEX135" s="105"/>
      <c r="JEY135" s="105"/>
      <c r="JEZ135" s="105"/>
      <c r="JFA135" s="105"/>
      <c r="JFB135" s="105"/>
      <c r="JFC135" s="105"/>
      <c r="JFD135" s="105"/>
      <c r="JFE135" s="105"/>
      <c r="JFF135" s="105"/>
      <c r="JFG135" s="105"/>
      <c r="JFH135" s="105"/>
      <c r="JFI135" s="105"/>
      <c r="JFJ135" s="105"/>
      <c r="JFK135" s="105"/>
      <c r="JFL135" s="105"/>
      <c r="JFM135" s="105"/>
      <c r="JFN135" s="105"/>
      <c r="JFO135" s="105"/>
      <c r="JFP135" s="105"/>
      <c r="JFQ135" s="105"/>
      <c r="JFR135" s="105"/>
      <c r="JFS135" s="105"/>
      <c r="JFT135" s="105"/>
      <c r="JFU135" s="105"/>
      <c r="JFV135" s="105"/>
      <c r="JFW135" s="105"/>
      <c r="JFX135" s="105"/>
      <c r="JFY135" s="105"/>
      <c r="JFZ135" s="105"/>
      <c r="JGA135" s="105"/>
      <c r="JGB135" s="105"/>
      <c r="JGC135" s="105"/>
      <c r="JGD135" s="105"/>
      <c r="JGE135" s="105"/>
      <c r="JGF135" s="105"/>
      <c r="JGG135" s="105"/>
      <c r="JGH135" s="105"/>
      <c r="JGI135" s="105"/>
      <c r="JGJ135" s="105"/>
      <c r="JGK135" s="105"/>
      <c r="JGL135" s="105"/>
      <c r="JGM135" s="105"/>
      <c r="JGN135" s="105"/>
      <c r="JGO135" s="105"/>
      <c r="JGP135" s="105"/>
      <c r="JGQ135" s="105"/>
      <c r="JGR135" s="105"/>
      <c r="JGS135" s="105"/>
      <c r="JGT135" s="105"/>
      <c r="JGU135" s="105"/>
      <c r="JGV135" s="105"/>
      <c r="JGW135" s="105"/>
      <c r="JGX135" s="105"/>
      <c r="JGY135" s="105"/>
      <c r="JGZ135" s="105"/>
      <c r="JHA135" s="105"/>
      <c r="JHB135" s="105"/>
      <c r="JHC135" s="105"/>
      <c r="JHD135" s="105"/>
      <c r="JHE135" s="105"/>
      <c r="JHF135" s="105"/>
      <c r="JHG135" s="105"/>
      <c r="JHH135" s="105"/>
      <c r="JHI135" s="105"/>
      <c r="JHJ135" s="105"/>
      <c r="JHK135" s="105"/>
      <c r="JHL135" s="105"/>
      <c r="JHM135" s="105"/>
      <c r="JHN135" s="105"/>
      <c r="JHO135" s="105"/>
      <c r="JHP135" s="105"/>
      <c r="JHQ135" s="105"/>
      <c r="JHR135" s="105"/>
      <c r="JHS135" s="105"/>
      <c r="JHT135" s="105"/>
      <c r="JHU135" s="105"/>
      <c r="JHV135" s="105"/>
      <c r="JHW135" s="105"/>
      <c r="JHX135" s="105"/>
      <c r="JHY135" s="105"/>
      <c r="JHZ135" s="105"/>
      <c r="JIA135" s="105"/>
      <c r="JIB135" s="105"/>
      <c r="JIC135" s="105"/>
      <c r="JID135" s="105"/>
      <c r="JIE135" s="105"/>
      <c r="JIF135" s="105"/>
      <c r="JIG135" s="105"/>
      <c r="JIH135" s="105"/>
      <c r="JII135" s="105"/>
      <c r="JIJ135" s="105"/>
      <c r="JIK135" s="105"/>
      <c r="JIL135" s="105"/>
      <c r="JIM135" s="105"/>
      <c r="JIN135" s="105"/>
      <c r="JIO135" s="105"/>
      <c r="JIP135" s="105"/>
      <c r="JIQ135" s="105"/>
      <c r="JIR135" s="105"/>
      <c r="JIS135" s="105"/>
      <c r="JIT135" s="105"/>
      <c r="JIU135" s="105"/>
      <c r="JIV135" s="105"/>
      <c r="JIW135" s="105"/>
      <c r="JIX135" s="105"/>
      <c r="JIY135" s="105"/>
      <c r="JIZ135" s="105"/>
      <c r="JJA135" s="105"/>
      <c r="JJB135" s="105"/>
      <c r="JJC135" s="105"/>
      <c r="JJD135" s="105"/>
      <c r="JJE135" s="105"/>
      <c r="JJF135" s="105"/>
      <c r="JJG135" s="105"/>
      <c r="JJH135" s="105"/>
      <c r="JJI135" s="105"/>
      <c r="JJJ135" s="105"/>
      <c r="JJK135" s="105"/>
      <c r="JJL135" s="105"/>
      <c r="JJM135" s="105"/>
      <c r="JJN135" s="105"/>
      <c r="JJO135" s="105"/>
      <c r="JJP135" s="105"/>
      <c r="JJQ135" s="105"/>
      <c r="JJR135" s="105"/>
      <c r="JJS135" s="105"/>
      <c r="JJT135" s="105"/>
      <c r="JJU135" s="105"/>
      <c r="JJV135" s="105"/>
      <c r="JJW135" s="105"/>
      <c r="JJX135" s="105"/>
      <c r="JJY135" s="105"/>
      <c r="JJZ135" s="105"/>
      <c r="JKA135" s="105"/>
      <c r="JKB135" s="105"/>
      <c r="JKC135" s="105"/>
      <c r="JKD135" s="105"/>
      <c r="JKE135" s="105"/>
      <c r="JKF135" s="105"/>
      <c r="JKG135" s="105"/>
      <c r="JKH135" s="105"/>
      <c r="JKI135" s="105"/>
      <c r="JKJ135" s="105"/>
      <c r="JKK135" s="105"/>
      <c r="JKL135" s="105"/>
      <c r="JKM135" s="105"/>
      <c r="JKN135" s="105"/>
      <c r="JKO135" s="105"/>
      <c r="JKP135" s="105"/>
      <c r="JKQ135" s="105"/>
      <c r="JKR135" s="105"/>
      <c r="JKS135" s="105"/>
      <c r="JKT135" s="105"/>
      <c r="JKU135" s="105"/>
      <c r="JKV135" s="105"/>
      <c r="JKW135" s="105"/>
      <c r="JKX135" s="105"/>
      <c r="JKY135" s="105"/>
      <c r="JKZ135" s="105"/>
      <c r="JLA135" s="105"/>
      <c r="JLB135" s="105"/>
      <c r="JLC135" s="105"/>
      <c r="JLD135" s="105"/>
      <c r="JLE135" s="105"/>
      <c r="JLF135" s="105"/>
      <c r="JLG135" s="105"/>
      <c r="JLH135" s="105"/>
      <c r="JLI135" s="105"/>
      <c r="JLJ135" s="105"/>
      <c r="JLK135" s="105"/>
      <c r="JLL135" s="105"/>
      <c r="JLM135" s="105"/>
      <c r="JLN135" s="105"/>
      <c r="JLO135" s="105"/>
      <c r="JLP135" s="105"/>
      <c r="JLQ135" s="105"/>
      <c r="JLR135" s="105"/>
      <c r="JLS135" s="105"/>
      <c r="JLT135" s="105"/>
      <c r="JLU135" s="105"/>
      <c r="JLV135" s="105"/>
      <c r="JLW135" s="105"/>
      <c r="JLX135" s="105"/>
      <c r="JLY135" s="105"/>
      <c r="JLZ135" s="105"/>
      <c r="JMA135" s="105"/>
      <c r="JMB135" s="105"/>
      <c r="JMC135" s="105"/>
      <c r="JMD135" s="105"/>
      <c r="JME135" s="105"/>
      <c r="JMF135" s="105"/>
      <c r="JMG135" s="105"/>
      <c r="JMH135" s="105"/>
      <c r="JMI135" s="105"/>
      <c r="JMJ135" s="105"/>
      <c r="JMK135" s="105"/>
      <c r="JML135" s="105"/>
      <c r="JMM135" s="105"/>
      <c r="JMN135" s="105"/>
      <c r="JMO135" s="105"/>
      <c r="JMP135" s="105"/>
      <c r="JMQ135" s="105"/>
      <c r="JMR135" s="105"/>
      <c r="JMS135" s="105"/>
      <c r="JMT135" s="105"/>
      <c r="JMU135" s="105"/>
      <c r="JMV135" s="105"/>
      <c r="JMW135" s="105"/>
      <c r="JMX135" s="105"/>
      <c r="JMY135" s="105"/>
      <c r="JMZ135" s="105"/>
      <c r="JNA135" s="105"/>
      <c r="JNB135" s="105"/>
      <c r="JNC135" s="105"/>
      <c r="JND135" s="105"/>
      <c r="JNE135" s="105"/>
      <c r="JNF135" s="105"/>
      <c r="JNG135" s="105"/>
      <c r="JNH135" s="105"/>
      <c r="JNI135" s="105"/>
      <c r="JNJ135" s="105"/>
      <c r="JNK135" s="105"/>
      <c r="JNL135" s="105"/>
      <c r="JNM135" s="105"/>
      <c r="JNN135" s="105"/>
      <c r="JNO135" s="105"/>
      <c r="JNP135" s="105"/>
      <c r="JNQ135" s="105"/>
      <c r="JNR135" s="105"/>
      <c r="JNS135" s="105"/>
      <c r="JNT135" s="105"/>
      <c r="JNU135" s="105"/>
      <c r="JNV135" s="105"/>
      <c r="JNW135" s="105"/>
      <c r="JNX135" s="105"/>
      <c r="JNY135" s="105"/>
      <c r="JNZ135" s="105"/>
      <c r="JOA135" s="105"/>
      <c r="JOB135" s="105"/>
      <c r="JOC135" s="105"/>
      <c r="JOD135" s="105"/>
      <c r="JOE135" s="105"/>
      <c r="JOF135" s="105"/>
      <c r="JOG135" s="105"/>
      <c r="JOH135" s="105"/>
      <c r="JOI135" s="105"/>
      <c r="JOJ135" s="105"/>
      <c r="JOK135" s="105"/>
      <c r="JOL135" s="105"/>
      <c r="JOM135" s="105"/>
      <c r="JON135" s="105"/>
      <c r="JOO135" s="105"/>
      <c r="JOP135" s="105"/>
      <c r="JOQ135" s="105"/>
      <c r="JOR135" s="105"/>
      <c r="JOS135" s="105"/>
      <c r="JOT135" s="105"/>
      <c r="JOU135" s="105"/>
      <c r="JOV135" s="105"/>
      <c r="JOW135" s="105"/>
      <c r="JOX135" s="105"/>
      <c r="JOY135" s="105"/>
      <c r="JOZ135" s="105"/>
      <c r="JPA135" s="105"/>
      <c r="JPB135" s="105"/>
      <c r="JPC135" s="105"/>
      <c r="JPD135" s="105"/>
      <c r="JPE135" s="105"/>
      <c r="JPF135" s="105"/>
      <c r="JPG135" s="105"/>
      <c r="JPH135" s="105"/>
      <c r="JPI135" s="105"/>
      <c r="JPJ135" s="105"/>
      <c r="JPK135" s="105"/>
      <c r="JPL135" s="105"/>
      <c r="JPM135" s="105"/>
      <c r="JPN135" s="105"/>
      <c r="JPO135" s="105"/>
      <c r="JPP135" s="105"/>
      <c r="JPQ135" s="105"/>
      <c r="JPR135" s="105"/>
      <c r="JPS135" s="105"/>
      <c r="JPT135" s="105"/>
      <c r="JPU135" s="105"/>
      <c r="JPV135" s="105"/>
      <c r="JPW135" s="105"/>
      <c r="JPX135" s="105"/>
      <c r="JPY135" s="105"/>
      <c r="JPZ135" s="105"/>
      <c r="JQA135" s="105"/>
      <c r="JQB135" s="105"/>
      <c r="JQC135" s="105"/>
      <c r="JQD135" s="105"/>
      <c r="JQE135" s="105"/>
      <c r="JQF135" s="105"/>
      <c r="JQG135" s="105"/>
      <c r="JQH135" s="105"/>
      <c r="JQI135" s="105"/>
      <c r="JQJ135" s="105"/>
      <c r="JQK135" s="105"/>
      <c r="JQL135" s="105"/>
      <c r="JQM135" s="105"/>
      <c r="JQN135" s="105"/>
      <c r="JQO135" s="105"/>
      <c r="JQP135" s="105"/>
      <c r="JQQ135" s="105"/>
      <c r="JQR135" s="105"/>
      <c r="JQS135" s="105"/>
      <c r="JQT135" s="105"/>
      <c r="JQU135" s="105"/>
      <c r="JQV135" s="105"/>
      <c r="JQW135" s="105"/>
      <c r="JQX135" s="105"/>
      <c r="JQY135" s="105"/>
      <c r="JQZ135" s="105"/>
      <c r="JRA135" s="105"/>
      <c r="JRB135" s="105"/>
      <c r="JRC135" s="105"/>
      <c r="JRD135" s="105"/>
      <c r="JRE135" s="105"/>
      <c r="JRF135" s="105"/>
      <c r="JRG135" s="105"/>
      <c r="JRH135" s="105"/>
      <c r="JRI135" s="105"/>
      <c r="JRJ135" s="105"/>
      <c r="JRK135" s="105"/>
      <c r="JRL135" s="105"/>
      <c r="JRM135" s="105"/>
      <c r="JRN135" s="105"/>
      <c r="JRO135" s="105"/>
      <c r="JRP135" s="105"/>
      <c r="JRQ135" s="105"/>
      <c r="JRR135" s="105"/>
      <c r="JRS135" s="105"/>
      <c r="JRT135" s="105"/>
      <c r="JRU135" s="105"/>
      <c r="JRV135" s="105"/>
      <c r="JRW135" s="105"/>
      <c r="JRX135" s="105"/>
      <c r="JRY135" s="105"/>
      <c r="JRZ135" s="105"/>
      <c r="JSA135" s="105"/>
      <c r="JSB135" s="105"/>
      <c r="JSC135" s="105"/>
      <c r="JSD135" s="105"/>
      <c r="JSE135" s="105"/>
      <c r="JSF135" s="105"/>
      <c r="JSG135" s="105"/>
      <c r="JSH135" s="105"/>
      <c r="JSI135" s="105"/>
      <c r="JSJ135" s="105"/>
      <c r="JSK135" s="105"/>
      <c r="JSL135" s="105"/>
      <c r="JSM135" s="105"/>
      <c r="JSN135" s="105"/>
      <c r="JSO135" s="105"/>
      <c r="JSP135" s="105"/>
      <c r="JSQ135" s="105"/>
      <c r="JSR135" s="105"/>
      <c r="JSS135" s="105"/>
      <c r="JST135" s="105"/>
      <c r="JSU135" s="105"/>
      <c r="JSV135" s="105"/>
      <c r="JSW135" s="105"/>
      <c r="JSX135" s="105"/>
      <c r="JSY135" s="105"/>
      <c r="JSZ135" s="105"/>
      <c r="JTA135" s="105"/>
      <c r="JTB135" s="105"/>
      <c r="JTC135" s="105"/>
      <c r="JTD135" s="105"/>
      <c r="JTE135" s="105"/>
      <c r="JTF135" s="105"/>
      <c r="JTG135" s="105"/>
      <c r="JTH135" s="105"/>
      <c r="JTI135" s="105"/>
      <c r="JTJ135" s="105"/>
      <c r="JTK135" s="105"/>
      <c r="JTL135" s="105"/>
      <c r="JTM135" s="105"/>
      <c r="JTN135" s="105"/>
      <c r="JTO135" s="105"/>
      <c r="JTP135" s="105"/>
      <c r="JTQ135" s="105"/>
      <c r="JTR135" s="105"/>
      <c r="JTS135" s="105"/>
      <c r="JTT135" s="105"/>
      <c r="JTU135" s="105"/>
      <c r="JTV135" s="105"/>
      <c r="JTW135" s="105"/>
      <c r="JTX135" s="105"/>
      <c r="JTY135" s="105"/>
      <c r="JTZ135" s="105"/>
      <c r="JUA135" s="105"/>
      <c r="JUB135" s="105"/>
      <c r="JUC135" s="105"/>
      <c r="JUD135" s="105"/>
      <c r="JUE135" s="105"/>
      <c r="JUF135" s="105"/>
      <c r="JUG135" s="105"/>
      <c r="JUH135" s="105"/>
      <c r="JUI135" s="105"/>
      <c r="JUJ135" s="105"/>
      <c r="JUK135" s="105"/>
      <c r="JUL135" s="105"/>
      <c r="JUM135" s="105"/>
      <c r="JUN135" s="105"/>
      <c r="JUO135" s="105"/>
      <c r="JUP135" s="105"/>
      <c r="JUQ135" s="105"/>
      <c r="JUR135" s="105"/>
      <c r="JUS135" s="105"/>
      <c r="JUT135" s="105"/>
      <c r="JUU135" s="105"/>
      <c r="JUV135" s="105"/>
      <c r="JUW135" s="105"/>
      <c r="JUX135" s="105"/>
      <c r="JUY135" s="105"/>
      <c r="JUZ135" s="105"/>
      <c r="JVA135" s="105"/>
      <c r="JVB135" s="105"/>
      <c r="JVC135" s="105"/>
      <c r="JVD135" s="105"/>
      <c r="JVE135" s="105"/>
      <c r="JVF135" s="105"/>
      <c r="JVG135" s="105"/>
      <c r="JVH135" s="105"/>
      <c r="JVI135" s="105"/>
      <c r="JVJ135" s="105"/>
      <c r="JVK135" s="105"/>
      <c r="JVL135" s="105"/>
      <c r="JVM135" s="105"/>
      <c r="JVN135" s="105"/>
      <c r="JVO135" s="105"/>
      <c r="JVP135" s="105"/>
      <c r="JVQ135" s="105"/>
      <c r="JVR135" s="105"/>
      <c r="JVS135" s="105"/>
      <c r="JVT135" s="105"/>
      <c r="JVU135" s="105"/>
      <c r="JVV135" s="105"/>
      <c r="JVW135" s="105"/>
      <c r="JVX135" s="105"/>
      <c r="JVY135" s="105"/>
      <c r="JVZ135" s="105"/>
      <c r="JWA135" s="105"/>
      <c r="JWB135" s="105"/>
      <c r="JWC135" s="105"/>
      <c r="JWD135" s="105"/>
      <c r="JWE135" s="105"/>
      <c r="JWF135" s="105"/>
      <c r="JWG135" s="105"/>
      <c r="JWH135" s="105"/>
      <c r="JWI135" s="105"/>
      <c r="JWJ135" s="105"/>
      <c r="JWK135" s="105"/>
      <c r="JWL135" s="105"/>
      <c r="JWM135" s="105"/>
      <c r="JWN135" s="105"/>
      <c r="JWO135" s="105"/>
      <c r="JWP135" s="105"/>
      <c r="JWQ135" s="105"/>
      <c r="JWR135" s="105"/>
      <c r="JWS135" s="105"/>
      <c r="JWT135" s="105"/>
      <c r="JWU135" s="105"/>
      <c r="JWV135" s="105"/>
      <c r="JWW135" s="105"/>
      <c r="JWX135" s="105"/>
      <c r="JWY135" s="105"/>
      <c r="JWZ135" s="105"/>
      <c r="JXA135" s="105"/>
      <c r="JXB135" s="105"/>
      <c r="JXC135" s="105"/>
      <c r="JXD135" s="105"/>
      <c r="JXE135" s="105"/>
      <c r="JXF135" s="105"/>
      <c r="JXG135" s="105"/>
      <c r="JXH135" s="105"/>
      <c r="JXI135" s="105"/>
      <c r="JXJ135" s="105"/>
      <c r="JXK135" s="105"/>
      <c r="JXL135" s="105"/>
      <c r="JXM135" s="105"/>
      <c r="JXN135" s="105"/>
      <c r="JXO135" s="105"/>
      <c r="JXP135" s="105"/>
      <c r="JXQ135" s="105"/>
      <c r="JXR135" s="105"/>
      <c r="JXS135" s="105"/>
      <c r="JXT135" s="105"/>
      <c r="JXU135" s="105"/>
      <c r="JXV135" s="105"/>
      <c r="JXW135" s="105"/>
      <c r="JXX135" s="105"/>
      <c r="JXY135" s="105"/>
      <c r="JXZ135" s="105"/>
      <c r="JYA135" s="105"/>
      <c r="JYB135" s="105"/>
      <c r="JYC135" s="105"/>
      <c r="JYD135" s="105"/>
      <c r="JYE135" s="105"/>
      <c r="JYF135" s="105"/>
      <c r="JYG135" s="105"/>
      <c r="JYH135" s="105"/>
      <c r="JYI135" s="105"/>
      <c r="JYJ135" s="105"/>
      <c r="JYK135" s="105"/>
      <c r="JYL135" s="105"/>
      <c r="JYM135" s="105"/>
      <c r="JYN135" s="105"/>
      <c r="JYO135" s="105"/>
      <c r="JYP135" s="105"/>
      <c r="JYQ135" s="105"/>
      <c r="JYR135" s="105"/>
      <c r="JYS135" s="105"/>
      <c r="JYT135" s="105"/>
      <c r="JYU135" s="105"/>
      <c r="JYV135" s="105"/>
      <c r="JYW135" s="105"/>
      <c r="JYX135" s="105"/>
      <c r="JYY135" s="105"/>
      <c r="JYZ135" s="105"/>
      <c r="JZA135" s="105"/>
      <c r="JZB135" s="105"/>
      <c r="JZC135" s="105"/>
      <c r="JZD135" s="105"/>
      <c r="JZE135" s="105"/>
      <c r="JZF135" s="105"/>
      <c r="JZG135" s="105"/>
      <c r="JZH135" s="105"/>
      <c r="JZI135" s="105"/>
      <c r="JZJ135" s="105"/>
      <c r="JZK135" s="105"/>
      <c r="JZL135" s="105"/>
      <c r="JZM135" s="105"/>
      <c r="JZN135" s="105"/>
      <c r="JZO135" s="105"/>
      <c r="JZP135" s="105"/>
      <c r="JZQ135" s="105"/>
      <c r="JZR135" s="105"/>
      <c r="JZS135" s="105"/>
      <c r="JZT135" s="105"/>
      <c r="JZU135" s="105"/>
      <c r="JZV135" s="105"/>
      <c r="JZW135" s="105"/>
      <c r="JZX135" s="105"/>
      <c r="JZY135" s="105"/>
      <c r="JZZ135" s="105"/>
      <c r="KAA135" s="105"/>
      <c r="KAB135" s="105"/>
      <c r="KAC135" s="105"/>
      <c r="KAD135" s="105"/>
      <c r="KAE135" s="105"/>
      <c r="KAF135" s="105"/>
      <c r="KAG135" s="105"/>
      <c r="KAH135" s="105"/>
      <c r="KAI135" s="105"/>
      <c r="KAJ135" s="105"/>
      <c r="KAK135" s="105"/>
      <c r="KAL135" s="105"/>
      <c r="KAM135" s="105"/>
      <c r="KAN135" s="105"/>
      <c r="KAO135" s="105"/>
      <c r="KAP135" s="105"/>
      <c r="KAQ135" s="105"/>
      <c r="KAR135" s="105"/>
      <c r="KAS135" s="105"/>
      <c r="KAT135" s="105"/>
      <c r="KAU135" s="105"/>
      <c r="KAV135" s="105"/>
      <c r="KAW135" s="105"/>
      <c r="KAX135" s="105"/>
      <c r="KAY135" s="105"/>
      <c r="KAZ135" s="105"/>
      <c r="KBA135" s="105"/>
      <c r="KBB135" s="105"/>
      <c r="KBC135" s="105"/>
      <c r="KBD135" s="105"/>
      <c r="KBE135" s="105"/>
      <c r="KBF135" s="105"/>
      <c r="KBG135" s="105"/>
      <c r="KBH135" s="105"/>
      <c r="KBI135" s="105"/>
      <c r="KBJ135" s="105"/>
      <c r="KBK135" s="105"/>
      <c r="KBL135" s="105"/>
      <c r="KBM135" s="105"/>
      <c r="KBN135" s="105"/>
      <c r="KBO135" s="105"/>
      <c r="KBP135" s="105"/>
      <c r="KBQ135" s="105"/>
      <c r="KBR135" s="105"/>
      <c r="KBS135" s="105"/>
      <c r="KBT135" s="105"/>
      <c r="KBU135" s="105"/>
      <c r="KBV135" s="105"/>
      <c r="KBW135" s="105"/>
      <c r="KBX135" s="105"/>
      <c r="KBY135" s="105"/>
      <c r="KBZ135" s="105"/>
      <c r="KCA135" s="105"/>
      <c r="KCB135" s="105"/>
      <c r="KCC135" s="105"/>
      <c r="KCD135" s="105"/>
      <c r="KCE135" s="105"/>
      <c r="KCF135" s="105"/>
      <c r="KCG135" s="105"/>
      <c r="KCH135" s="105"/>
      <c r="KCI135" s="105"/>
      <c r="KCJ135" s="105"/>
      <c r="KCK135" s="105"/>
      <c r="KCL135" s="105"/>
      <c r="KCM135" s="105"/>
      <c r="KCN135" s="105"/>
      <c r="KCO135" s="105"/>
      <c r="KCP135" s="105"/>
      <c r="KCQ135" s="105"/>
      <c r="KCR135" s="105"/>
      <c r="KCS135" s="105"/>
      <c r="KCT135" s="105"/>
      <c r="KCU135" s="105"/>
      <c r="KCV135" s="105"/>
      <c r="KCW135" s="105"/>
      <c r="KCX135" s="105"/>
      <c r="KCY135" s="105"/>
      <c r="KCZ135" s="105"/>
      <c r="KDA135" s="105"/>
      <c r="KDB135" s="105"/>
      <c r="KDC135" s="105"/>
      <c r="KDD135" s="105"/>
      <c r="KDE135" s="105"/>
      <c r="KDF135" s="105"/>
      <c r="KDG135" s="105"/>
      <c r="KDH135" s="105"/>
      <c r="KDI135" s="105"/>
      <c r="KDJ135" s="105"/>
      <c r="KDK135" s="105"/>
      <c r="KDL135" s="105"/>
      <c r="KDM135" s="105"/>
      <c r="KDN135" s="105"/>
      <c r="KDO135" s="105"/>
      <c r="KDP135" s="105"/>
      <c r="KDQ135" s="105"/>
      <c r="KDR135" s="105"/>
      <c r="KDS135" s="105"/>
      <c r="KDT135" s="105"/>
      <c r="KDU135" s="105"/>
      <c r="KDV135" s="105"/>
      <c r="KDW135" s="105"/>
      <c r="KDX135" s="105"/>
      <c r="KDY135" s="105"/>
      <c r="KDZ135" s="105"/>
      <c r="KEA135" s="105"/>
      <c r="KEB135" s="105"/>
      <c r="KEC135" s="105"/>
      <c r="KED135" s="105"/>
      <c r="KEE135" s="105"/>
      <c r="KEF135" s="105"/>
      <c r="KEG135" s="105"/>
      <c r="KEH135" s="105"/>
      <c r="KEI135" s="105"/>
      <c r="KEJ135" s="105"/>
      <c r="KEK135" s="105"/>
      <c r="KEL135" s="105"/>
      <c r="KEM135" s="105"/>
      <c r="KEN135" s="105"/>
      <c r="KEO135" s="105"/>
      <c r="KEP135" s="105"/>
      <c r="KEQ135" s="105"/>
      <c r="KER135" s="105"/>
      <c r="KES135" s="105"/>
      <c r="KET135" s="105"/>
      <c r="KEU135" s="105"/>
      <c r="KEV135" s="105"/>
      <c r="KEW135" s="105"/>
      <c r="KEX135" s="105"/>
      <c r="KEY135" s="105"/>
      <c r="KEZ135" s="105"/>
      <c r="KFA135" s="105"/>
      <c r="KFB135" s="105"/>
      <c r="KFC135" s="105"/>
      <c r="KFD135" s="105"/>
      <c r="KFE135" s="105"/>
      <c r="KFF135" s="105"/>
      <c r="KFG135" s="105"/>
      <c r="KFH135" s="105"/>
      <c r="KFI135" s="105"/>
      <c r="KFJ135" s="105"/>
      <c r="KFK135" s="105"/>
      <c r="KFL135" s="105"/>
      <c r="KFM135" s="105"/>
      <c r="KFN135" s="105"/>
      <c r="KFO135" s="105"/>
      <c r="KFP135" s="105"/>
      <c r="KFQ135" s="105"/>
      <c r="KFR135" s="105"/>
      <c r="KFS135" s="105"/>
      <c r="KFT135" s="105"/>
      <c r="KFU135" s="105"/>
      <c r="KFV135" s="105"/>
      <c r="KFW135" s="105"/>
      <c r="KFX135" s="105"/>
      <c r="KFY135" s="105"/>
      <c r="KFZ135" s="105"/>
      <c r="KGA135" s="105"/>
      <c r="KGB135" s="105"/>
      <c r="KGC135" s="105"/>
      <c r="KGD135" s="105"/>
      <c r="KGE135" s="105"/>
      <c r="KGF135" s="105"/>
      <c r="KGG135" s="105"/>
      <c r="KGH135" s="105"/>
      <c r="KGI135" s="105"/>
      <c r="KGJ135" s="105"/>
      <c r="KGK135" s="105"/>
      <c r="KGL135" s="105"/>
      <c r="KGM135" s="105"/>
      <c r="KGN135" s="105"/>
      <c r="KGO135" s="105"/>
      <c r="KGP135" s="105"/>
      <c r="KGQ135" s="105"/>
      <c r="KGR135" s="105"/>
      <c r="KGS135" s="105"/>
      <c r="KGT135" s="105"/>
      <c r="KGU135" s="105"/>
      <c r="KGV135" s="105"/>
      <c r="KGW135" s="105"/>
      <c r="KGX135" s="105"/>
      <c r="KGY135" s="105"/>
      <c r="KGZ135" s="105"/>
      <c r="KHA135" s="105"/>
      <c r="KHB135" s="105"/>
      <c r="KHC135" s="105"/>
      <c r="KHD135" s="105"/>
      <c r="KHE135" s="105"/>
      <c r="KHF135" s="105"/>
      <c r="KHG135" s="105"/>
      <c r="KHH135" s="105"/>
      <c r="KHI135" s="105"/>
      <c r="KHJ135" s="105"/>
      <c r="KHK135" s="105"/>
      <c r="KHL135" s="105"/>
      <c r="KHM135" s="105"/>
      <c r="KHN135" s="105"/>
      <c r="KHO135" s="105"/>
      <c r="KHP135" s="105"/>
      <c r="KHQ135" s="105"/>
      <c r="KHR135" s="105"/>
      <c r="KHS135" s="105"/>
      <c r="KHT135" s="105"/>
      <c r="KHU135" s="105"/>
      <c r="KHV135" s="105"/>
      <c r="KHW135" s="105"/>
      <c r="KHX135" s="105"/>
      <c r="KHY135" s="105"/>
      <c r="KHZ135" s="105"/>
      <c r="KIA135" s="105"/>
      <c r="KIB135" s="105"/>
      <c r="KIC135" s="105"/>
      <c r="KID135" s="105"/>
      <c r="KIE135" s="105"/>
      <c r="KIF135" s="105"/>
      <c r="KIG135" s="105"/>
      <c r="KIH135" s="105"/>
      <c r="KII135" s="105"/>
      <c r="KIJ135" s="105"/>
      <c r="KIK135" s="105"/>
      <c r="KIL135" s="105"/>
      <c r="KIM135" s="105"/>
      <c r="KIN135" s="105"/>
      <c r="KIO135" s="105"/>
      <c r="KIP135" s="105"/>
      <c r="KIQ135" s="105"/>
      <c r="KIR135" s="105"/>
      <c r="KIS135" s="105"/>
      <c r="KIT135" s="105"/>
      <c r="KIU135" s="105"/>
      <c r="KIV135" s="105"/>
      <c r="KIW135" s="105"/>
      <c r="KIX135" s="105"/>
      <c r="KIY135" s="105"/>
      <c r="KIZ135" s="105"/>
      <c r="KJA135" s="105"/>
      <c r="KJB135" s="105"/>
      <c r="KJC135" s="105"/>
      <c r="KJD135" s="105"/>
      <c r="KJE135" s="105"/>
      <c r="KJF135" s="105"/>
      <c r="KJG135" s="105"/>
      <c r="KJH135" s="105"/>
      <c r="KJI135" s="105"/>
      <c r="KJJ135" s="105"/>
      <c r="KJK135" s="105"/>
      <c r="KJL135" s="105"/>
      <c r="KJM135" s="105"/>
      <c r="KJN135" s="105"/>
      <c r="KJO135" s="105"/>
      <c r="KJP135" s="105"/>
      <c r="KJQ135" s="105"/>
      <c r="KJR135" s="105"/>
      <c r="KJS135" s="105"/>
      <c r="KJT135" s="105"/>
      <c r="KJU135" s="105"/>
      <c r="KJV135" s="105"/>
      <c r="KJW135" s="105"/>
      <c r="KJX135" s="105"/>
      <c r="KJY135" s="105"/>
      <c r="KJZ135" s="105"/>
      <c r="KKA135" s="105"/>
      <c r="KKB135" s="105"/>
      <c r="KKC135" s="105"/>
      <c r="KKD135" s="105"/>
      <c r="KKE135" s="105"/>
      <c r="KKF135" s="105"/>
      <c r="KKG135" s="105"/>
      <c r="KKH135" s="105"/>
      <c r="KKI135" s="105"/>
      <c r="KKJ135" s="105"/>
      <c r="KKK135" s="105"/>
      <c r="KKL135" s="105"/>
      <c r="KKM135" s="105"/>
      <c r="KKN135" s="105"/>
      <c r="KKO135" s="105"/>
      <c r="KKP135" s="105"/>
      <c r="KKQ135" s="105"/>
      <c r="KKR135" s="105"/>
      <c r="KKS135" s="105"/>
      <c r="KKT135" s="105"/>
      <c r="KKU135" s="105"/>
      <c r="KKV135" s="105"/>
      <c r="KKW135" s="105"/>
      <c r="KKX135" s="105"/>
      <c r="KKY135" s="105"/>
      <c r="KKZ135" s="105"/>
      <c r="KLA135" s="105"/>
      <c r="KLB135" s="105"/>
      <c r="KLC135" s="105"/>
      <c r="KLD135" s="105"/>
      <c r="KLE135" s="105"/>
      <c r="KLF135" s="105"/>
      <c r="KLG135" s="105"/>
      <c r="KLH135" s="105"/>
      <c r="KLI135" s="105"/>
      <c r="KLJ135" s="105"/>
      <c r="KLK135" s="105"/>
      <c r="KLL135" s="105"/>
      <c r="KLM135" s="105"/>
      <c r="KLN135" s="105"/>
      <c r="KLO135" s="105"/>
      <c r="KLP135" s="105"/>
      <c r="KLQ135" s="105"/>
      <c r="KLR135" s="105"/>
      <c r="KLS135" s="105"/>
      <c r="KLT135" s="105"/>
      <c r="KLU135" s="105"/>
      <c r="KLV135" s="105"/>
      <c r="KLW135" s="105"/>
      <c r="KLX135" s="105"/>
      <c r="KLY135" s="105"/>
      <c r="KLZ135" s="105"/>
      <c r="KMA135" s="105"/>
      <c r="KMB135" s="105"/>
      <c r="KMC135" s="105"/>
      <c r="KMD135" s="105"/>
      <c r="KME135" s="105"/>
      <c r="KMF135" s="105"/>
      <c r="KMG135" s="105"/>
      <c r="KMH135" s="105"/>
      <c r="KMI135" s="105"/>
      <c r="KMJ135" s="105"/>
      <c r="KMK135" s="105"/>
      <c r="KML135" s="105"/>
      <c r="KMM135" s="105"/>
      <c r="KMN135" s="105"/>
      <c r="KMO135" s="105"/>
      <c r="KMP135" s="105"/>
      <c r="KMQ135" s="105"/>
      <c r="KMR135" s="105"/>
      <c r="KMS135" s="105"/>
      <c r="KMT135" s="105"/>
      <c r="KMU135" s="105"/>
      <c r="KMV135" s="105"/>
      <c r="KMW135" s="105"/>
      <c r="KMX135" s="105"/>
      <c r="KMY135" s="105"/>
      <c r="KMZ135" s="105"/>
      <c r="KNA135" s="105"/>
      <c r="KNB135" s="105"/>
      <c r="KNC135" s="105"/>
      <c r="KND135" s="105"/>
      <c r="KNE135" s="105"/>
      <c r="KNF135" s="105"/>
      <c r="KNG135" s="105"/>
      <c r="KNH135" s="105"/>
      <c r="KNI135" s="105"/>
      <c r="KNJ135" s="105"/>
      <c r="KNK135" s="105"/>
      <c r="KNL135" s="105"/>
      <c r="KNM135" s="105"/>
      <c r="KNN135" s="105"/>
      <c r="KNO135" s="105"/>
      <c r="KNP135" s="105"/>
      <c r="KNQ135" s="105"/>
      <c r="KNR135" s="105"/>
      <c r="KNS135" s="105"/>
      <c r="KNT135" s="105"/>
      <c r="KNU135" s="105"/>
      <c r="KNV135" s="105"/>
      <c r="KNW135" s="105"/>
      <c r="KNX135" s="105"/>
      <c r="KNY135" s="105"/>
      <c r="KNZ135" s="105"/>
      <c r="KOA135" s="105"/>
      <c r="KOB135" s="105"/>
      <c r="KOC135" s="105"/>
      <c r="KOD135" s="105"/>
      <c r="KOE135" s="105"/>
      <c r="KOF135" s="105"/>
      <c r="KOG135" s="105"/>
      <c r="KOH135" s="105"/>
      <c r="KOI135" s="105"/>
      <c r="KOJ135" s="105"/>
      <c r="KOK135" s="105"/>
      <c r="KOL135" s="105"/>
      <c r="KOM135" s="105"/>
      <c r="KON135" s="105"/>
      <c r="KOO135" s="105"/>
      <c r="KOP135" s="105"/>
      <c r="KOQ135" s="105"/>
      <c r="KOR135" s="105"/>
      <c r="KOS135" s="105"/>
      <c r="KOT135" s="105"/>
      <c r="KOU135" s="105"/>
      <c r="KOV135" s="105"/>
      <c r="KOW135" s="105"/>
      <c r="KOX135" s="105"/>
      <c r="KOY135" s="105"/>
      <c r="KOZ135" s="105"/>
      <c r="KPA135" s="105"/>
      <c r="KPB135" s="105"/>
      <c r="KPC135" s="105"/>
      <c r="KPD135" s="105"/>
      <c r="KPE135" s="105"/>
      <c r="KPF135" s="105"/>
      <c r="KPG135" s="105"/>
      <c r="KPH135" s="105"/>
      <c r="KPI135" s="105"/>
      <c r="KPJ135" s="105"/>
      <c r="KPK135" s="105"/>
      <c r="KPL135" s="105"/>
      <c r="KPM135" s="105"/>
      <c r="KPN135" s="105"/>
      <c r="KPO135" s="105"/>
      <c r="KPP135" s="105"/>
      <c r="KPQ135" s="105"/>
      <c r="KPR135" s="105"/>
      <c r="KPS135" s="105"/>
      <c r="KPT135" s="105"/>
      <c r="KPU135" s="105"/>
      <c r="KPV135" s="105"/>
      <c r="KPW135" s="105"/>
      <c r="KPX135" s="105"/>
      <c r="KPY135" s="105"/>
      <c r="KPZ135" s="105"/>
      <c r="KQA135" s="105"/>
      <c r="KQB135" s="105"/>
      <c r="KQC135" s="105"/>
      <c r="KQD135" s="105"/>
      <c r="KQE135" s="105"/>
      <c r="KQF135" s="105"/>
      <c r="KQG135" s="105"/>
      <c r="KQH135" s="105"/>
      <c r="KQI135" s="105"/>
      <c r="KQJ135" s="105"/>
      <c r="KQK135" s="105"/>
      <c r="KQL135" s="105"/>
      <c r="KQM135" s="105"/>
      <c r="KQN135" s="105"/>
      <c r="KQO135" s="105"/>
      <c r="KQP135" s="105"/>
      <c r="KQQ135" s="105"/>
      <c r="KQR135" s="105"/>
      <c r="KQS135" s="105"/>
      <c r="KQT135" s="105"/>
      <c r="KQU135" s="105"/>
      <c r="KQV135" s="105"/>
      <c r="KQW135" s="105"/>
      <c r="KQX135" s="105"/>
      <c r="KQY135" s="105"/>
      <c r="KQZ135" s="105"/>
      <c r="KRA135" s="105"/>
      <c r="KRB135" s="105"/>
      <c r="KRC135" s="105"/>
      <c r="KRD135" s="105"/>
      <c r="KRE135" s="105"/>
      <c r="KRF135" s="105"/>
      <c r="KRG135" s="105"/>
      <c r="KRH135" s="105"/>
      <c r="KRI135" s="105"/>
      <c r="KRJ135" s="105"/>
      <c r="KRK135" s="105"/>
      <c r="KRL135" s="105"/>
      <c r="KRM135" s="105"/>
      <c r="KRN135" s="105"/>
      <c r="KRO135" s="105"/>
      <c r="KRP135" s="105"/>
      <c r="KRQ135" s="105"/>
      <c r="KRR135" s="105"/>
      <c r="KRS135" s="105"/>
      <c r="KRT135" s="105"/>
      <c r="KRU135" s="105"/>
      <c r="KRV135" s="105"/>
      <c r="KRW135" s="105"/>
      <c r="KRX135" s="105"/>
      <c r="KRY135" s="105"/>
      <c r="KRZ135" s="105"/>
      <c r="KSA135" s="105"/>
      <c r="KSB135" s="105"/>
      <c r="KSC135" s="105"/>
      <c r="KSD135" s="105"/>
      <c r="KSE135" s="105"/>
      <c r="KSF135" s="105"/>
      <c r="KSG135" s="105"/>
      <c r="KSH135" s="105"/>
      <c r="KSI135" s="105"/>
      <c r="KSJ135" s="105"/>
      <c r="KSK135" s="105"/>
      <c r="KSL135" s="105"/>
      <c r="KSM135" s="105"/>
      <c r="KSN135" s="105"/>
      <c r="KSO135" s="105"/>
      <c r="KSP135" s="105"/>
      <c r="KSQ135" s="105"/>
      <c r="KSR135" s="105"/>
      <c r="KSS135" s="105"/>
      <c r="KST135" s="105"/>
      <c r="KSU135" s="105"/>
      <c r="KSV135" s="105"/>
      <c r="KSW135" s="105"/>
      <c r="KSX135" s="105"/>
      <c r="KSY135" s="105"/>
      <c r="KSZ135" s="105"/>
      <c r="KTA135" s="105"/>
      <c r="KTB135" s="105"/>
      <c r="KTC135" s="105"/>
      <c r="KTD135" s="105"/>
      <c r="KTE135" s="105"/>
      <c r="KTF135" s="105"/>
      <c r="KTG135" s="105"/>
      <c r="KTH135" s="105"/>
      <c r="KTI135" s="105"/>
      <c r="KTJ135" s="105"/>
      <c r="KTK135" s="105"/>
      <c r="KTL135" s="105"/>
      <c r="KTM135" s="105"/>
      <c r="KTN135" s="105"/>
      <c r="KTO135" s="105"/>
      <c r="KTP135" s="105"/>
      <c r="KTQ135" s="105"/>
      <c r="KTR135" s="105"/>
      <c r="KTS135" s="105"/>
      <c r="KTT135" s="105"/>
      <c r="KTU135" s="105"/>
      <c r="KTV135" s="105"/>
      <c r="KTW135" s="105"/>
      <c r="KTX135" s="105"/>
      <c r="KTY135" s="105"/>
      <c r="KTZ135" s="105"/>
      <c r="KUA135" s="105"/>
      <c r="KUB135" s="105"/>
      <c r="KUC135" s="105"/>
      <c r="KUD135" s="105"/>
      <c r="KUE135" s="105"/>
      <c r="KUF135" s="105"/>
      <c r="KUG135" s="105"/>
      <c r="KUH135" s="105"/>
      <c r="KUI135" s="105"/>
      <c r="KUJ135" s="105"/>
      <c r="KUK135" s="105"/>
      <c r="KUL135" s="105"/>
      <c r="KUM135" s="105"/>
      <c r="KUN135" s="105"/>
      <c r="KUO135" s="105"/>
      <c r="KUP135" s="105"/>
      <c r="KUQ135" s="105"/>
      <c r="KUR135" s="105"/>
      <c r="KUS135" s="105"/>
      <c r="KUT135" s="105"/>
      <c r="KUU135" s="105"/>
      <c r="KUV135" s="105"/>
      <c r="KUW135" s="105"/>
      <c r="KUX135" s="105"/>
      <c r="KUY135" s="105"/>
      <c r="KUZ135" s="105"/>
      <c r="KVA135" s="105"/>
      <c r="KVB135" s="105"/>
      <c r="KVC135" s="105"/>
      <c r="KVD135" s="105"/>
      <c r="KVE135" s="105"/>
      <c r="KVF135" s="105"/>
      <c r="KVG135" s="105"/>
      <c r="KVH135" s="105"/>
      <c r="KVI135" s="105"/>
      <c r="KVJ135" s="105"/>
      <c r="KVK135" s="105"/>
      <c r="KVL135" s="105"/>
      <c r="KVM135" s="105"/>
      <c r="KVN135" s="105"/>
      <c r="KVO135" s="105"/>
      <c r="KVP135" s="105"/>
      <c r="KVQ135" s="105"/>
      <c r="KVR135" s="105"/>
      <c r="KVS135" s="105"/>
      <c r="KVT135" s="105"/>
      <c r="KVU135" s="105"/>
      <c r="KVV135" s="105"/>
      <c r="KVW135" s="105"/>
      <c r="KVX135" s="105"/>
      <c r="KVY135" s="105"/>
      <c r="KVZ135" s="105"/>
      <c r="KWA135" s="105"/>
      <c r="KWB135" s="105"/>
      <c r="KWC135" s="105"/>
      <c r="KWD135" s="105"/>
      <c r="KWE135" s="105"/>
      <c r="KWF135" s="105"/>
      <c r="KWG135" s="105"/>
      <c r="KWH135" s="105"/>
      <c r="KWI135" s="105"/>
      <c r="KWJ135" s="105"/>
      <c r="KWK135" s="105"/>
      <c r="KWL135" s="105"/>
      <c r="KWM135" s="105"/>
      <c r="KWN135" s="105"/>
      <c r="KWO135" s="105"/>
      <c r="KWP135" s="105"/>
      <c r="KWQ135" s="105"/>
      <c r="KWR135" s="105"/>
      <c r="KWS135" s="105"/>
      <c r="KWT135" s="105"/>
      <c r="KWU135" s="105"/>
      <c r="KWV135" s="105"/>
      <c r="KWW135" s="105"/>
      <c r="KWX135" s="105"/>
      <c r="KWY135" s="105"/>
      <c r="KWZ135" s="105"/>
      <c r="KXA135" s="105"/>
      <c r="KXB135" s="105"/>
      <c r="KXC135" s="105"/>
      <c r="KXD135" s="105"/>
      <c r="KXE135" s="105"/>
      <c r="KXF135" s="105"/>
      <c r="KXG135" s="105"/>
      <c r="KXH135" s="105"/>
      <c r="KXI135" s="105"/>
      <c r="KXJ135" s="105"/>
      <c r="KXK135" s="105"/>
      <c r="KXL135" s="105"/>
      <c r="KXM135" s="105"/>
      <c r="KXN135" s="105"/>
      <c r="KXO135" s="105"/>
      <c r="KXP135" s="105"/>
      <c r="KXQ135" s="105"/>
      <c r="KXR135" s="105"/>
      <c r="KXS135" s="105"/>
      <c r="KXT135" s="105"/>
      <c r="KXU135" s="105"/>
      <c r="KXV135" s="105"/>
      <c r="KXW135" s="105"/>
      <c r="KXX135" s="105"/>
      <c r="KXY135" s="105"/>
      <c r="KXZ135" s="105"/>
      <c r="KYA135" s="105"/>
      <c r="KYB135" s="105"/>
      <c r="KYC135" s="105"/>
      <c r="KYD135" s="105"/>
      <c r="KYE135" s="105"/>
      <c r="KYF135" s="105"/>
      <c r="KYG135" s="105"/>
      <c r="KYH135" s="105"/>
      <c r="KYI135" s="105"/>
      <c r="KYJ135" s="105"/>
      <c r="KYK135" s="105"/>
      <c r="KYL135" s="105"/>
      <c r="KYM135" s="105"/>
      <c r="KYN135" s="105"/>
      <c r="KYO135" s="105"/>
      <c r="KYP135" s="105"/>
      <c r="KYQ135" s="105"/>
      <c r="KYR135" s="105"/>
      <c r="KYS135" s="105"/>
      <c r="KYT135" s="105"/>
      <c r="KYU135" s="105"/>
      <c r="KYV135" s="105"/>
      <c r="KYW135" s="105"/>
      <c r="KYX135" s="105"/>
      <c r="KYY135" s="105"/>
      <c r="KYZ135" s="105"/>
      <c r="KZA135" s="105"/>
      <c r="KZB135" s="105"/>
      <c r="KZC135" s="105"/>
      <c r="KZD135" s="105"/>
      <c r="KZE135" s="105"/>
      <c r="KZF135" s="105"/>
      <c r="KZG135" s="105"/>
      <c r="KZH135" s="105"/>
      <c r="KZI135" s="105"/>
      <c r="KZJ135" s="105"/>
      <c r="KZK135" s="105"/>
      <c r="KZL135" s="105"/>
      <c r="KZM135" s="105"/>
      <c r="KZN135" s="105"/>
      <c r="KZO135" s="105"/>
      <c r="KZP135" s="105"/>
      <c r="KZQ135" s="105"/>
      <c r="KZR135" s="105"/>
      <c r="KZS135" s="105"/>
      <c r="KZT135" s="105"/>
      <c r="KZU135" s="105"/>
      <c r="KZV135" s="105"/>
      <c r="KZW135" s="105"/>
      <c r="KZX135" s="105"/>
      <c r="KZY135" s="105"/>
      <c r="KZZ135" s="105"/>
      <c r="LAA135" s="105"/>
      <c r="LAB135" s="105"/>
      <c r="LAC135" s="105"/>
      <c r="LAD135" s="105"/>
      <c r="LAE135" s="105"/>
      <c r="LAF135" s="105"/>
      <c r="LAG135" s="105"/>
      <c r="LAH135" s="105"/>
      <c r="LAI135" s="105"/>
      <c r="LAJ135" s="105"/>
      <c r="LAK135" s="105"/>
      <c r="LAL135" s="105"/>
      <c r="LAM135" s="105"/>
      <c r="LAN135" s="105"/>
      <c r="LAO135" s="105"/>
      <c r="LAP135" s="105"/>
      <c r="LAQ135" s="105"/>
      <c r="LAR135" s="105"/>
      <c r="LAS135" s="105"/>
      <c r="LAT135" s="105"/>
      <c r="LAU135" s="105"/>
      <c r="LAV135" s="105"/>
      <c r="LAW135" s="105"/>
      <c r="LAX135" s="105"/>
      <c r="LAY135" s="105"/>
      <c r="LAZ135" s="105"/>
      <c r="LBA135" s="105"/>
      <c r="LBB135" s="105"/>
      <c r="LBC135" s="105"/>
      <c r="LBD135" s="105"/>
      <c r="LBE135" s="105"/>
      <c r="LBF135" s="105"/>
      <c r="LBG135" s="105"/>
      <c r="LBH135" s="105"/>
      <c r="LBI135" s="105"/>
      <c r="LBJ135" s="105"/>
      <c r="LBK135" s="105"/>
      <c r="LBL135" s="105"/>
      <c r="LBM135" s="105"/>
      <c r="LBN135" s="105"/>
      <c r="LBO135" s="105"/>
      <c r="LBP135" s="105"/>
      <c r="LBQ135" s="105"/>
      <c r="LBR135" s="105"/>
      <c r="LBS135" s="105"/>
      <c r="LBT135" s="105"/>
      <c r="LBU135" s="105"/>
      <c r="LBV135" s="105"/>
      <c r="LBW135" s="105"/>
      <c r="LBX135" s="105"/>
      <c r="LBY135" s="105"/>
      <c r="LBZ135" s="105"/>
      <c r="LCA135" s="105"/>
      <c r="LCB135" s="105"/>
      <c r="LCC135" s="105"/>
      <c r="LCD135" s="105"/>
      <c r="LCE135" s="105"/>
      <c r="LCF135" s="105"/>
      <c r="LCG135" s="105"/>
      <c r="LCH135" s="105"/>
      <c r="LCI135" s="105"/>
      <c r="LCJ135" s="105"/>
      <c r="LCK135" s="105"/>
      <c r="LCL135" s="105"/>
      <c r="LCM135" s="105"/>
      <c r="LCN135" s="105"/>
      <c r="LCO135" s="105"/>
      <c r="LCP135" s="105"/>
      <c r="LCQ135" s="105"/>
      <c r="LCR135" s="105"/>
      <c r="LCS135" s="105"/>
      <c r="LCT135" s="105"/>
      <c r="LCU135" s="105"/>
      <c r="LCV135" s="105"/>
      <c r="LCW135" s="105"/>
      <c r="LCX135" s="105"/>
      <c r="LCY135" s="105"/>
      <c r="LCZ135" s="105"/>
      <c r="LDA135" s="105"/>
      <c r="LDB135" s="105"/>
      <c r="LDC135" s="105"/>
      <c r="LDD135" s="105"/>
      <c r="LDE135" s="105"/>
      <c r="LDF135" s="105"/>
      <c r="LDG135" s="105"/>
      <c r="LDH135" s="105"/>
      <c r="LDI135" s="105"/>
      <c r="LDJ135" s="105"/>
      <c r="LDK135" s="105"/>
      <c r="LDL135" s="105"/>
      <c r="LDM135" s="105"/>
      <c r="LDN135" s="105"/>
      <c r="LDO135" s="105"/>
      <c r="LDP135" s="105"/>
      <c r="LDQ135" s="105"/>
      <c r="LDR135" s="105"/>
      <c r="LDS135" s="105"/>
      <c r="LDT135" s="105"/>
      <c r="LDU135" s="105"/>
      <c r="LDV135" s="105"/>
      <c r="LDW135" s="105"/>
      <c r="LDX135" s="105"/>
      <c r="LDY135" s="105"/>
      <c r="LDZ135" s="105"/>
      <c r="LEA135" s="105"/>
      <c r="LEB135" s="105"/>
      <c r="LEC135" s="105"/>
      <c r="LED135" s="105"/>
      <c r="LEE135" s="105"/>
      <c r="LEF135" s="105"/>
      <c r="LEG135" s="105"/>
      <c r="LEH135" s="105"/>
      <c r="LEI135" s="105"/>
      <c r="LEJ135" s="105"/>
      <c r="LEK135" s="105"/>
      <c r="LEL135" s="105"/>
      <c r="LEM135" s="105"/>
      <c r="LEN135" s="105"/>
      <c r="LEO135" s="105"/>
      <c r="LEP135" s="105"/>
      <c r="LEQ135" s="105"/>
      <c r="LER135" s="105"/>
      <c r="LES135" s="105"/>
      <c r="LET135" s="105"/>
      <c r="LEU135" s="105"/>
      <c r="LEV135" s="105"/>
      <c r="LEW135" s="105"/>
      <c r="LEX135" s="105"/>
      <c r="LEY135" s="105"/>
      <c r="LEZ135" s="105"/>
      <c r="LFA135" s="105"/>
      <c r="LFB135" s="105"/>
      <c r="LFC135" s="105"/>
      <c r="LFD135" s="105"/>
      <c r="LFE135" s="105"/>
      <c r="LFF135" s="105"/>
      <c r="LFG135" s="105"/>
      <c r="LFH135" s="105"/>
      <c r="LFI135" s="105"/>
      <c r="LFJ135" s="105"/>
      <c r="LFK135" s="105"/>
      <c r="LFL135" s="105"/>
      <c r="LFM135" s="105"/>
      <c r="LFN135" s="105"/>
      <c r="LFO135" s="105"/>
      <c r="LFP135" s="105"/>
      <c r="LFQ135" s="105"/>
      <c r="LFR135" s="105"/>
      <c r="LFS135" s="105"/>
      <c r="LFT135" s="105"/>
      <c r="LFU135" s="105"/>
      <c r="LFV135" s="105"/>
      <c r="LFW135" s="105"/>
      <c r="LFX135" s="105"/>
      <c r="LFY135" s="105"/>
      <c r="LFZ135" s="105"/>
      <c r="LGA135" s="105"/>
      <c r="LGB135" s="105"/>
      <c r="LGC135" s="105"/>
      <c r="LGD135" s="105"/>
      <c r="LGE135" s="105"/>
      <c r="LGF135" s="105"/>
      <c r="LGG135" s="105"/>
      <c r="LGH135" s="105"/>
      <c r="LGI135" s="105"/>
      <c r="LGJ135" s="105"/>
      <c r="LGK135" s="105"/>
      <c r="LGL135" s="105"/>
      <c r="LGM135" s="105"/>
      <c r="LGN135" s="105"/>
      <c r="LGO135" s="105"/>
      <c r="LGP135" s="105"/>
      <c r="LGQ135" s="105"/>
      <c r="LGR135" s="105"/>
      <c r="LGS135" s="105"/>
      <c r="LGT135" s="105"/>
      <c r="LGU135" s="105"/>
      <c r="LGV135" s="105"/>
      <c r="LGW135" s="105"/>
      <c r="LGX135" s="105"/>
      <c r="LGY135" s="105"/>
      <c r="LGZ135" s="105"/>
      <c r="LHA135" s="105"/>
      <c r="LHB135" s="105"/>
      <c r="LHC135" s="105"/>
      <c r="LHD135" s="105"/>
      <c r="LHE135" s="105"/>
      <c r="LHF135" s="105"/>
      <c r="LHG135" s="105"/>
      <c r="LHH135" s="105"/>
      <c r="LHI135" s="105"/>
      <c r="LHJ135" s="105"/>
      <c r="LHK135" s="105"/>
      <c r="LHL135" s="105"/>
      <c r="LHM135" s="105"/>
      <c r="LHN135" s="105"/>
      <c r="LHO135" s="105"/>
      <c r="LHP135" s="105"/>
      <c r="LHQ135" s="105"/>
      <c r="LHR135" s="105"/>
      <c r="LHS135" s="105"/>
      <c r="LHT135" s="105"/>
      <c r="LHU135" s="105"/>
      <c r="LHV135" s="105"/>
      <c r="LHW135" s="105"/>
      <c r="LHX135" s="105"/>
      <c r="LHY135" s="105"/>
      <c r="LHZ135" s="105"/>
      <c r="LIA135" s="105"/>
      <c r="LIB135" s="105"/>
      <c r="LIC135" s="105"/>
      <c r="LID135" s="105"/>
      <c r="LIE135" s="105"/>
      <c r="LIF135" s="105"/>
      <c r="LIG135" s="105"/>
      <c r="LIH135" s="105"/>
      <c r="LII135" s="105"/>
      <c r="LIJ135" s="105"/>
      <c r="LIK135" s="105"/>
      <c r="LIL135" s="105"/>
      <c r="LIM135" s="105"/>
      <c r="LIN135" s="105"/>
      <c r="LIO135" s="105"/>
      <c r="LIP135" s="105"/>
      <c r="LIQ135" s="105"/>
      <c r="LIR135" s="105"/>
      <c r="LIS135" s="105"/>
      <c r="LIT135" s="105"/>
      <c r="LIU135" s="105"/>
      <c r="LIV135" s="105"/>
      <c r="LIW135" s="105"/>
      <c r="LIX135" s="105"/>
      <c r="LIY135" s="105"/>
      <c r="LIZ135" s="105"/>
      <c r="LJA135" s="105"/>
      <c r="LJB135" s="105"/>
      <c r="LJC135" s="105"/>
      <c r="LJD135" s="105"/>
      <c r="LJE135" s="105"/>
      <c r="LJF135" s="105"/>
      <c r="LJG135" s="105"/>
      <c r="LJH135" s="105"/>
      <c r="LJI135" s="105"/>
      <c r="LJJ135" s="105"/>
      <c r="LJK135" s="105"/>
      <c r="LJL135" s="105"/>
      <c r="LJM135" s="105"/>
      <c r="LJN135" s="105"/>
      <c r="LJO135" s="105"/>
      <c r="LJP135" s="105"/>
      <c r="LJQ135" s="105"/>
      <c r="LJR135" s="105"/>
      <c r="LJS135" s="105"/>
      <c r="LJT135" s="105"/>
      <c r="LJU135" s="105"/>
      <c r="LJV135" s="105"/>
      <c r="LJW135" s="105"/>
      <c r="LJX135" s="105"/>
      <c r="LJY135" s="105"/>
      <c r="LJZ135" s="105"/>
      <c r="LKA135" s="105"/>
      <c r="LKB135" s="105"/>
      <c r="LKC135" s="105"/>
      <c r="LKD135" s="105"/>
      <c r="LKE135" s="105"/>
      <c r="LKF135" s="105"/>
      <c r="LKG135" s="105"/>
      <c r="LKH135" s="105"/>
      <c r="LKI135" s="105"/>
      <c r="LKJ135" s="105"/>
      <c r="LKK135" s="105"/>
      <c r="LKL135" s="105"/>
      <c r="LKM135" s="105"/>
      <c r="LKN135" s="105"/>
      <c r="LKO135" s="105"/>
      <c r="LKP135" s="105"/>
      <c r="LKQ135" s="105"/>
      <c r="LKR135" s="105"/>
      <c r="LKS135" s="105"/>
      <c r="LKT135" s="105"/>
      <c r="LKU135" s="105"/>
      <c r="LKV135" s="105"/>
      <c r="LKW135" s="105"/>
      <c r="LKX135" s="105"/>
      <c r="LKY135" s="105"/>
      <c r="LKZ135" s="105"/>
      <c r="LLA135" s="105"/>
      <c r="LLB135" s="105"/>
      <c r="LLC135" s="105"/>
      <c r="LLD135" s="105"/>
      <c r="LLE135" s="105"/>
      <c r="LLF135" s="105"/>
      <c r="LLG135" s="105"/>
      <c r="LLH135" s="105"/>
      <c r="LLI135" s="105"/>
      <c r="LLJ135" s="105"/>
      <c r="LLK135" s="105"/>
      <c r="LLL135" s="105"/>
      <c r="LLM135" s="105"/>
      <c r="LLN135" s="105"/>
      <c r="LLO135" s="105"/>
      <c r="LLP135" s="105"/>
      <c r="LLQ135" s="105"/>
      <c r="LLR135" s="105"/>
      <c r="LLS135" s="105"/>
      <c r="LLT135" s="105"/>
      <c r="LLU135" s="105"/>
      <c r="LLV135" s="105"/>
      <c r="LLW135" s="105"/>
      <c r="LLX135" s="105"/>
      <c r="LLY135" s="105"/>
      <c r="LLZ135" s="105"/>
      <c r="LMA135" s="105"/>
      <c r="LMB135" s="105"/>
      <c r="LMC135" s="105"/>
      <c r="LMD135" s="105"/>
      <c r="LME135" s="105"/>
      <c r="LMF135" s="105"/>
      <c r="LMG135" s="105"/>
      <c r="LMH135" s="105"/>
      <c r="LMI135" s="105"/>
      <c r="LMJ135" s="105"/>
      <c r="LMK135" s="105"/>
      <c r="LML135" s="105"/>
      <c r="LMM135" s="105"/>
      <c r="LMN135" s="105"/>
      <c r="LMO135" s="105"/>
      <c r="LMP135" s="105"/>
      <c r="LMQ135" s="105"/>
      <c r="LMR135" s="105"/>
      <c r="LMS135" s="105"/>
      <c r="LMT135" s="105"/>
      <c r="LMU135" s="105"/>
      <c r="LMV135" s="105"/>
      <c r="LMW135" s="105"/>
      <c r="LMX135" s="105"/>
      <c r="LMY135" s="105"/>
      <c r="LMZ135" s="105"/>
      <c r="LNA135" s="105"/>
      <c r="LNB135" s="105"/>
      <c r="LNC135" s="105"/>
      <c r="LND135" s="105"/>
      <c r="LNE135" s="105"/>
      <c r="LNF135" s="105"/>
      <c r="LNG135" s="105"/>
      <c r="LNH135" s="105"/>
      <c r="LNI135" s="105"/>
      <c r="LNJ135" s="105"/>
      <c r="LNK135" s="105"/>
      <c r="LNL135" s="105"/>
      <c r="LNM135" s="105"/>
      <c r="LNN135" s="105"/>
      <c r="LNO135" s="105"/>
      <c r="LNP135" s="105"/>
      <c r="LNQ135" s="105"/>
      <c r="LNR135" s="105"/>
      <c r="LNS135" s="105"/>
      <c r="LNT135" s="105"/>
      <c r="LNU135" s="105"/>
      <c r="LNV135" s="105"/>
      <c r="LNW135" s="105"/>
      <c r="LNX135" s="105"/>
      <c r="LNY135" s="105"/>
      <c r="LNZ135" s="105"/>
      <c r="LOA135" s="105"/>
      <c r="LOB135" s="105"/>
      <c r="LOC135" s="105"/>
      <c r="LOD135" s="105"/>
      <c r="LOE135" s="105"/>
      <c r="LOF135" s="105"/>
      <c r="LOG135" s="105"/>
      <c r="LOH135" s="105"/>
      <c r="LOI135" s="105"/>
      <c r="LOJ135" s="105"/>
      <c r="LOK135" s="105"/>
      <c r="LOL135" s="105"/>
      <c r="LOM135" s="105"/>
      <c r="LON135" s="105"/>
      <c r="LOO135" s="105"/>
      <c r="LOP135" s="105"/>
      <c r="LOQ135" s="105"/>
      <c r="LOR135" s="105"/>
      <c r="LOS135" s="105"/>
      <c r="LOT135" s="105"/>
      <c r="LOU135" s="105"/>
      <c r="LOV135" s="105"/>
      <c r="LOW135" s="105"/>
      <c r="LOX135" s="105"/>
      <c r="LOY135" s="105"/>
      <c r="LOZ135" s="105"/>
      <c r="LPA135" s="105"/>
      <c r="LPB135" s="105"/>
      <c r="LPC135" s="105"/>
      <c r="LPD135" s="105"/>
      <c r="LPE135" s="105"/>
      <c r="LPF135" s="105"/>
      <c r="LPG135" s="105"/>
      <c r="LPH135" s="105"/>
      <c r="LPI135" s="105"/>
      <c r="LPJ135" s="105"/>
      <c r="LPK135" s="105"/>
      <c r="LPL135" s="105"/>
      <c r="LPM135" s="105"/>
      <c r="LPN135" s="105"/>
      <c r="LPO135" s="105"/>
      <c r="LPP135" s="105"/>
      <c r="LPQ135" s="105"/>
      <c r="LPR135" s="105"/>
      <c r="LPS135" s="105"/>
      <c r="LPT135" s="105"/>
      <c r="LPU135" s="105"/>
      <c r="LPV135" s="105"/>
      <c r="LPW135" s="105"/>
      <c r="LPX135" s="105"/>
      <c r="LPY135" s="105"/>
      <c r="LPZ135" s="105"/>
      <c r="LQA135" s="105"/>
      <c r="LQB135" s="105"/>
      <c r="LQC135" s="105"/>
      <c r="LQD135" s="105"/>
      <c r="LQE135" s="105"/>
      <c r="LQF135" s="105"/>
      <c r="LQG135" s="105"/>
      <c r="LQH135" s="105"/>
      <c r="LQI135" s="105"/>
      <c r="LQJ135" s="105"/>
      <c r="LQK135" s="105"/>
      <c r="LQL135" s="105"/>
      <c r="LQM135" s="105"/>
      <c r="LQN135" s="105"/>
      <c r="LQO135" s="105"/>
      <c r="LQP135" s="105"/>
      <c r="LQQ135" s="105"/>
      <c r="LQR135" s="105"/>
      <c r="LQS135" s="105"/>
      <c r="LQT135" s="105"/>
      <c r="LQU135" s="105"/>
      <c r="LQV135" s="105"/>
      <c r="LQW135" s="105"/>
      <c r="LQX135" s="105"/>
      <c r="LQY135" s="105"/>
      <c r="LQZ135" s="105"/>
      <c r="LRA135" s="105"/>
      <c r="LRB135" s="105"/>
      <c r="LRC135" s="105"/>
      <c r="LRD135" s="105"/>
      <c r="LRE135" s="105"/>
      <c r="LRF135" s="105"/>
      <c r="LRG135" s="105"/>
      <c r="LRH135" s="105"/>
      <c r="LRI135" s="105"/>
      <c r="LRJ135" s="105"/>
      <c r="LRK135" s="105"/>
      <c r="LRL135" s="105"/>
      <c r="LRM135" s="105"/>
      <c r="LRN135" s="105"/>
      <c r="LRO135" s="105"/>
      <c r="LRP135" s="105"/>
      <c r="LRQ135" s="105"/>
      <c r="LRR135" s="105"/>
      <c r="LRS135" s="105"/>
      <c r="LRT135" s="105"/>
      <c r="LRU135" s="105"/>
      <c r="LRV135" s="105"/>
      <c r="LRW135" s="105"/>
      <c r="LRX135" s="105"/>
      <c r="LRY135" s="105"/>
      <c r="LRZ135" s="105"/>
      <c r="LSA135" s="105"/>
      <c r="LSB135" s="105"/>
      <c r="LSC135" s="105"/>
      <c r="LSD135" s="105"/>
      <c r="LSE135" s="105"/>
      <c r="LSF135" s="105"/>
      <c r="LSG135" s="105"/>
      <c r="LSH135" s="105"/>
      <c r="LSI135" s="105"/>
      <c r="LSJ135" s="105"/>
      <c r="LSK135" s="105"/>
      <c r="LSL135" s="105"/>
      <c r="LSM135" s="105"/>
      <c r="LSN135" s="105"/>
      <c r="LSO135" s="105"/>
      <c r="LSP135" s="105"/>
      <c r="LSQ135" s="105"/>
      <c r="LSR135" s="105"/>
      <c r="LSS135" s="105"/>
      <c r="LST135" s="105"/>
      <c r="LSU135" s="105"/>
      <c r="LSV135" s="105"/>
      <c r="LSW135" s="105"/>
      <c r="LSX135" s="105"/>
      <c r="LSY135" s="105"/>
      <c r="LSZ135" s="105"/>
      <c r="LTA135" s="105"/>
      <c r="LTB135" s="105"/>
      <c r="LTC135" s="105"/>
      <c r="LTD135" s="105"/>
      <c r="LTE135" s="105"/>
      <c r="LTF135" s="105"/>
      <c r="LTG135" s="105"/>
      <c r="LTH135" s="105"/>
      <c r="LTI135" s="105"/>
      <c r="LTJ135" s="105"/>
      <c r="LTK135" s="105"/>
      <c r="LTL135" s="105"/>
      <c r="LTM135" s="105"/>
      <c r="LTN135" s="105"/>
      <c r="LTO135" s="105"/>
      <c r="LTP135" s="105"/>
      <c r="LTQ135" s="105"/>
      <c r="LTR135" s="105"/>
      <c r="LTS135" s="105"/>
      <c r="LTT135" s="105"/>
      <c r="LTU135" s="105"/>
      <c r="LTV135" s="105"/>
      <c r="LTW135" s="105"/>
      <c r="LTX135" s="105"/>
      <c r="LTY135" s="105"/>
      <c r="LTZ135" s="105"/>
      <c r="LUA135" s="105"/>
      <c r="LUB135" s="105"/>
      <c r="LUC135" s="105"/>
      <c r="LUD135" s="105"/>
      <c r="LUE135" s="105"/>
      <c r="LUF135" s="105"/>
      <c r="LUG135" s="105"/>
      <c r="LUH135" s="105"/>
      <c r="LUI135" s="105"/>
      <c r="LUJ135" s="105"/>
      <c r="LUK135" s="105"/>
      <c r="LUL135" s="105"/>
      <c r="LUM135" s="105"/>
      <c r="LUN135" s="105"/>
      <c r="LUO135" s="105"/>
      <c r="LUP135" s="105"/>
      <c r="LUQ135" s="105"/>
      <c r="LUR135" s="105"/>
      <c r="LUS135" s="105"/>
      <c r="LUT135" s="105"/>
      <c r="LUU135" s="105"/>
      <c r="LUV135" s="105"/>
      <c r="LUW135" s="105"/>
      <c r="LUX135" s="105"/>
      <c r="LUY135" s="105"/>
      <c r="LUZ135" s="105"/>
      <c r="LVA135" s="105"/>
      <c r="LVB135" s="105"/>
      <c r="LVC135" s="105"/>
      <c r="LVD135" s="105"/>
      <c r="LVE135" s="105"/>
      <c r="LVF135" s="105"/>
      <c r="LVG135" s="105"/>
      <c r="LVH135" s="105"/>
      <c r="LVI135" s="105"/>
      <c r="LVJ135" s="105"/>
      <c r="LVK135" s="105"/>
      <c r="LVL135" s="105"/>
      <c r="LVM135" s="105"/>
      <c r="LVN135" s="105"/>
      <c r="LVO135" s="105"/>
      <c r="LVP135" s="105"/>
      <c r="LVQ135" s="105"/>
      <c r="LVR135" s="105"/>
      <c r="LVS135" s="105"/>
      <c r="LVT135" s="105"/>
      <c r="LVU135" s="105"/>
      <c r="LVV135" s="105"/>
      <c r="LVW135" s="105"/>
      <c r="LVX135" s="105"/>
      <c r="LVY135" s="105"/>
      <c r="LVZ135" s="105"/>
      <c r="LWA135" s="105"/>
      <c r="LWB135" s="105"/>
      <c r="LWC135" s="105"/>
      <c r="LWD135" s="105"/>
      <c r="LWE135" s="105"/>
      <c r="LWF135" s="105"/>
      <c r="LWG135" s="105"/>
      <c r="LWH135" s="105"/>
      <c r="LWI135" s="105"/>
      <c r="LWJ135" s="105"/>
      <c r="LWK135" s="105"/>
      <c r="LWL135" s="105"/>
      <c r="LWM135" s="105"/>
      <c r="LWN135" s="105"/>
      <c r="LWO135" s="105"/>
      <c r="LWP135" s="105"/>
      <c r="LWQ135" s="105"/>
      <c r="LWR135" s="105"/>
      <c r="LWS135" s="105"/>
      <c r="LWT135" s="105"/>
      <c r="LWU135" s="105"/>
      <c r="LWV135" s="105"/>
      <c r="LWW135" s="105"/>
      <c r="LWX135" s="105"/>
      <c r="LWY135" s="105"/>
      <c r="LWZ135" s="105"/>
      <c r="LXA135" s="105"/>
      <c r="LXB135" s="105"/>
      <c r="LXC135" s="105"/>
      <c r="LXD135" s="105"/>
      <c r="LXE135" s="105"/>
      <c r="LXF135" s="105"/>
      <c r="LXG135" s="105"/>
      <c r="LXH135" s="105"/>
      <c r="LXI135" s="105"/>
      <c r="LXJ135" s="105"/>
      <c r="LXK135" s="105"/>
      <c r="LXL135" s="105"/>
      <c r="LXM135" s="105"/>
      <c r="LXN135" s="105"/>
      <c r="LXO135" s="105"/>
      <c r="LXP135" s="105"/>
      <c r="LXQ135" s="105"/>
      <c r="LXR135" s="105"/>
      <c r="LXS135" s="105"/>
      <c r="LXT135" s="105"/>
      <c r="LXU135" s="105"/>
      <c r="LXV135" s="105"/>
      <c r="LXW135" s="105"/>
      <c r="LXX135" s="105"/>
      <c r="LXY135" s="105"/>
      <c r="LXZ135" s="105"/>
      <c r="LYA135" s="105"/>
      <c r="LYB135" s="105"/>
      <c r="LYC135" s="105"/>
      <c r="LYD135" s="105"/>
      <c r="LYE135" s="105"/>
      <c r="LYF135" s="105"/>
      <c r="LYG135" s="105"/>
      <c r="LYH135" s="105"/>
      <c r="LYI135" s="105"/>
      <c r="LYJ135" s="105"/>
      <c r="LYK135" s="105"/>
      <c r="LYL135" s="105"/>
      <c r="LYM135" s="105"/>
      <c r="LYN135" s="105"/>
      <c r="LYO135" s="105"/>
      <c r="LYP135" s="105"/>
      <c r="LYQ135" s="105"/>
      <c r="LYR135" s="105"/>
      <c r="LYS135" s="105"/>
      <c r="LYT135" s="105"/>
      <c r="LYU135" s="105"/>
      <c r="LYV135" s="105"/>
      <c r="LYW135" s="105"/>
      <c r="LYX135" s="105"/>
      <c r="LYY135" s="105"/>
      <c r="LYZ135" s="105"/>
      <c r="LZA135" s="105"/>
      <c r="LZB135" s="105"/>
      <c r="LZC135" s="105"/>
      <c r="LZD135" s="105"/>
      <c r="LZE135" s="105"/>
      <c r="LZF135" s="105"/>
      <c r="LZG135" s="105"/>
      <c r="LZH135" s="105"/>
      <c r="LZI135" s="105"/>
      <c r="LZJ135" s="105"/>
      <c r="LZK135" s="105"/>
      <c r="LZL135" s="105"/>
      <c r="LZM135" s="105"/>
      <c r="LZN135" s="105"/>
      <c r="LZO135" s="105"/>
      <c r="LZP135" s="105"/>
      <c r="LZQ135" s="105"/>
      <c r="LZR135" s="105"/>
      <c r="LZS135" s="105"/>
      <c r="LZT135" s="105"/>
      <c r="LZU135" s="105"/>
      <c r="LZV135" s="105"/>
      <c r="LZW135" s="105"/>
      <c r="LZX135" s="105"/>
      <c r="LZY135" s="105"/>
      <c r="LZZ135" s="105"/>
      <c r="MAA135" s="105"/>
      <c r="MAB135" s="105"/>
      <c r="MAC135" s="105"/>
      <c r="MAD135" s="105"/>
      <c r="MAE135" s="105"/>
      <c r="MAF135" s="105"/>
      <c r="MAG135" s="105"/>
      <c r="MAH135" s="105"/>
      <c r="MAI135" s="105"/>
      <c r="MAJ135" s="105"/>
      <c r="MAK135" s="105"/>
      <c r="MAL135" s="105"/>
      <c r="MAM135" s="105"/>
      <c r="MAN135" s="105"/>
      <c r="MAO135" s="105"/>
      <c r="MAP135" s="105"/>
      <c r="MAQ135" s="105"/>
      <c r="MAR135" s="105"/>
      <c r="MAS135" s="105"/>
      <c r="MAT135" s="105"/>
      <c r="MAU135" s="105"/>
      <c r="MAV135" s="105"/>
      <c r="MAW135" s="105"/>
      <c r="MAX135" s="105"/>
      <c r="MAY135" s="105"/>
      <c r="MAZ135" s="105"/>
      <c r="MBA135" s="105"/>
      <c r="MBB135" s="105"/>
      <c r="MBC135" s="105"/>
      <c r="MBD135" s="105"/>
      <c r="MBE135" s="105"/>
      <c r="MBF135" s="105"/>
      <c r="MBG135" s="105"/>
      <c r="MBH135" s="105"/>
      <c r="MBI135" s="105"/>
      <c r="MBJ135" s="105"/>
      <c r="MBK135" s="105"/>
      <c r="MBL135" s="105"/>
      <c r="MBM135" s="105"/>
      <c r="MBN135" s="105"/>
      <c r="MBO135" s="105"/>
      <c r="MBP135" s="105"/>
      <c r="MBQ135" s="105"/>
      <c r="MBR135" s="105"/>
      <c r="MBS135" s="105"/>
      <c r="MBT135" s="105"/>
      <c r="MBU135" s="105"/>
      <c r="MBV135" s="105"/>
      <c r="MBW135" s="105"/>
      <c r="MBX135" s="105"/>
      <c r="MBY135" s="105"/>
      <c r="MBZ135" s="105"/>
      <c r="MCA135" s="105"/>
      <c r="MCB135" s="105"/>
      <c r="MCC135" s="105"/>
      <c r="MCD135" s="105"/>
      <c r="MCE135" s="105"/>
      <c r="MCF135" s="105"/>
      <c r="MCG135" s="105"/>
      <c r="MCH135" s="105"/>
      <c r="MCI135" s="105"/>
      <c r="MCJ135" s="105"/>
      <c r="MCK135" s="105"/>
      <c r="MCL135" s="105"/>
      <c r="MCM135" s="105"/>
      <c r="MCN135" s="105"/>
      <c r="MCO135" s="105"/>
      <c r="MCP135" s="105"/>
      <c r="MCQ135" s="105"/>
      <c r="MCR135" s="105"/>
      <c r="MCS135" s="105"/>
      <c r="MCT135" s="105"/>
      <c r="MCU135" s="105"/>
      <c r="MCV135" s="105"/>
      <c r="MCW135" s="105"/>
      <c r="MCX135" s="105"/>
      <c r="MCY135" s="105"/>
      <c r="MCZ135" s="105"/>
      <c r="MDA135" s="105"/>
      <c r="MDB135" s="105"/>
      <c r="MDC135" s="105"/>
      <c r="MDD135" s="105"/>
      <c r="MDE135" s="105"/>
      <c r="MDF135" s="105"/>
      <c r="MDG135" s="105"/>
      <c r="MDH135" s="105"/>
      <c r="MDI135" s="105"/>
      <c r="MDJ135" s="105"/>
      <c r="MDK135" s="105"/>
      <c r="MDL135" s="105"/>
      <c r="MDM135" s="105"/>
      <c r="MDN135" s="105"/>
      <c r="MDO135" s="105"/>
      <c r="MDP135" s="105"/>
      <c r="MDQ135" s="105"/>
      <c r="MDR135" s="105"/>
      <c r="MDS135" s="105"/>
      <c r="MDT135" s="105"/>
      <c r="MDU135" s="105"/>
      <c r="MDV135" s="105"/>
      <c r="MDW135" s="105"/>
      <c r="MDX135" s="105"/>
      <c r="MDY135" s="105"/>
      <c r="MDZ135" s="105"/>
      <c r="MEA135" s="105"/>
      <c r="MEB135" s="105"/>
      <c r="MEC135" s="105"/>
      <c r="MED135" s="105"/>
      <c r="MEE135" s="105"/>
      <c r="MEF135" s="105"/>
      <c r="MEG135" s="105"/>
      <c r="MEH135" s="105"/>
      <c r="MEI135" s="105"/>
      <c r="MEJ135" s="105"/>
      <c r="MEK135" s="105"/>
      <c r="MEL135" s="105"/>
      <c r="MEM135" s="105"/>
      <c r="MEN135" s="105"/>
      <c r="MEO135" s="105"/>
      <c r="MEP135" s="105"/>
      <c r="MEQ135" s="105"/>
      <c r="MER135" s="105"/>
      <c r="MES135" s="105"/>
      <c r="MET135" s="105"/>
      <c r="MEU135" s="105"/>
      <c r="MEV135" s="105"/>
      <c r="MEW135" s="105"/>
      <c r="MEX135" s="105"/>
      <c r="MEY135" s="105"/>
      <c r="MEZ135" s="105"/>
      <c r="MFA135" s="105"/>
      <c r="MFB135" s="105"/>
      <c r="MFC135" s="105"/>
      <c r="MFD135" s="105"/>
      <c r="MFE135" s="105"/>
      <c r="MFF135" s="105"/>
      <c r="MFG135" s="105"/>
      <c r="MFH135" s="105"/>
      <c r="MFI135" s="105"/>
      <c r="MFJ135" s="105"/>
      <c r="MFK135" s="105"/>
      <c r="MFL135" s="105"/>
      <c r="MFM135" s="105"/>
      <c r="MFN135" s="105"/>
      <c r="MFO135" s="105"/>
      <c r="MFP135" s="105"/>
      <c r="MFQ135" s="105"/>
      <c r="MFR135" s="105"/>
      <c r="MFS135" s="105"/>
      <c r="MFT135" s="105"/>
      <c r="MFU135" s="105"/>
      <c r="MFV135" s="105"/>
      <c r="MFW135" s="105"/>
      <c r="MFX135" s="105"/>
      <c r="MFY135" s="105"/>
      <c r="MFZ135" s="105"/>
      <c r="MGA135" s="105"/>
      <c r="MGB135" s="105"/>
      <c r="MGC135" s="105"/>
      <c r="MGD135" s="105"/>
      <c r="MGE135" s="105"/>
      <c r="MGF135" s="105"/>
      <c r="MGG135" s="105"/>
      <c r="MGH135" s="105"/>
      <c r="MGI135" s="105"/>
      <c r="MGJ135" s="105"/>
      <c r="MGK135" s="105"/>
      <c r="MGL135" s="105"/>
      <c r="MGM135" s="105"/>
      <c r="MGN135" s="105"/>
      <c r="MGO135" s="105"/>
      <c r="MGP135" s="105"/>
      <c r="MGQ135" s="105"/>
      <c r="MGR135" s="105"/>
      <c r="MGS135" s="105"/>
      <c r="MGT135" s="105"/>
      <c r="MGU135" s="105"/>
      <c r="MGV135" s="105"/>
      <c r="MGW135" s="105"/>
      <c r="MGX135" s="105"/>
      <c r="MGY135" s="105"/>
      <c r="MGZ135" s="105"/>
      <c r="MHA135" s="105"/>
      <c r="MHB135" s="105"/>
      <c r="MHC135" s="105"/>
      <c r="MHD135" s="105"/>
      <c r="MHE135" s="105"/>
      <c r="MHF135" s="105"/>
      <c r="MHG135" s="105"/>
      <c r="MHH135" s="105"/>
      <c r="MHI135" s="105"/>
      <c r="MHJ135" s="105"/>
      <c r="MHK135" s="105"/>
      <c r="MHL135" s="105"/>
      <c r="MHM135" s="105"/>
      <c r="MHN135" s="105"/>
      <c r="MHO135" s="105"/>
      <c r="MHP135" s="105"/>
      <c r="MHQ135" s="105"/>
      <c r="MHR135" s="105"/>
      <c r="MHS135" s="105"/>
      <c r="MHT135" s="105"/>
      <c r="MHU135" s="105"/>
      <c r="MHV135" s="105"/>
      <c r="MHW135" s="105"/>
      <c r="MHX135" s="105"/>
      <c r="MHY135" s="105"/>
      <c r="MHZ135" s="105"/>
      <c r="MIA135" s="105"/>
      <c r="MIB135" s="105"/>
      <c r="MIC135" s="105"/>
      <c r="MID135" s="105"/>
      <c r="MIE135" s="105"/>
      <c r="MIF135" s="105"/>
      <c r="MIG135" s="105"/>
      <c r="MIH135" s="105"/>
      <c r="MII135" s="105"/>
      <c r="MIJ135" s="105"/>
      <c r="MIK135" s="105"/>
      <c r="MIL135" s="105"/>
      <c r="MIM135" s="105"/>
      <c r="MIN135" s="105"/>
      <c r="MIO135" s="105"/>
      <c r="MIP135" s="105"/>
      <c r="MIQ135" s="105"/>
      <c r="MIR135" s="105"/>
      <c r="MIS135" s="105"/>
      <c r="MIT135" s="105"/>
      <c r="MIU135" s="105"/>
      <c r="MIV135" s="105"/>
      <c r="MIW135" s="105"/>
      <c r="MIX135" s="105"/>
      <c r="MIY135" s="105"/>
      <c r="MIZ135" s="105"/>
      <c r="MJA135" s="105"/>
      <c r="MJB135" s="105"/>
      <c r="MJC135" s="105"/>
      <c r="MJD135" s="105"/>
      <c r="MJE135" s="105"/>
      <c r="MJF135" s="105"/>
      <c r="MJG135" s="105"/>
      <c r="MJH135" s="105"/>
      <c r="MJI135" s="105"/>
      <c r="MJJ135" s="105"/>
      <c r="MJK135" s="105"/>
      <c r="MJL135" s="105"/>
      <c r="MJM135" s="105"/>
      <c r="MJN135" s="105"/>
      <c r="MJO135" s="105"/>
      <c r="MJP135" s="105"/>
      <c r="MJQ135" s="105"/>
      <c r="MJR135" s="105"/>
      <c r="MJS135" s="105"/>
      <c r="MJT135" s="105"/>
      <c r="MJU135" s="105"/>
      <c r="MJV135" s="105"/>
      <c r="MJW135" s="105"/>
      <c r="MJX135" s="105"/>
      <c r="MJY135" s="105"/>
      <c r="MJZ135" s="105"/>
      <c r="MKA135" s="105"/>
      <c r="MKB135" s="105"/>
      <c r="MKC135" s="105"/>
      <c r="MKD135" s="105"/>
      <c r="MKE135" s="105"/>
      <c r="MKF135" s="105"/>
      <c r="MKG135" s="105"/>
      <c r="MKH135" s="105"/>
      <c r="MKI135" s="105"/>
      <c r="MKJ135" s="105"/>
      <c r="MKK135" s="105"/>
      <c r="MKL135" s="105"/>
      <c r="MKM135" s="105"/>
      <c r="MKN135" s="105"/>
      <c r="MKO135" s="105"/>
      <c r="MKP135" s="105"/>
      <c r="MKQ135" s="105"/>
      <c r="MKR135" s="105"/>
      <c r="MKS135" s="105"/>
      <c r="MKT135" s="105"/>
      <c r="MKU135" s="105"/>
      <c r="MKV135" s="105"/>
      <c r="MKW135" s="105"/>
      <c r="MKX135" s="105"/>
      <c r="MKY135" s="105"/>
      <c r="MKZ135" s="105"/>
      <c r="MLA135" s="105"/>
      <c r="MLB135" s="105"/>
      <c r="MLC135" s="105"/>
      <c r="MLD135" s="105"/>
      <c r="MLE135" s="105"/>
      <c r="MLF135" s="105"/>
      <c r="MLG135" s="105"/>
      <c r="MLH135" s="105"/>
      <c r="MLI135" s="105"/>
      <c r="MLJ135" s="105"/>
      <c r="MLK135" s="105"/>
      <c r="MLL135" s="105"/>
      <c r="MLM135" s="105"/>
      <c r="MLN135" s="105"/>
      <c r="MLO135" s="105"/>
      <c r="MLP135" s="105"/>
      <c r="MLQ135" s="105"/>
      <c r="MLR135" s="105"/>
      <c r="MLS135" s="105"/>
      <c r="MLT135" s="105"/>
      <c r="MLU135" s="105"/>
      <c r="MLV135" s="105"/>
      <c r="MLW135" s="105"/>
      <c r="MLX135" s="105"/>
      <c r="MLY135" s="105"/>
      <c r="MLZ135" s="105"/>
      <c r="MMA135" s="105"/>
      <c r="MMB135" s="105"/>
      <c r="MMC135" s="105"/>
      <c r="MMD135" s="105"/>
      <c r="MME135" s="105"/>
      <c r="MMF135" s="105"/>
      <c r="MMG135" s="105"/>
      <c r="MMH135" s="105"/>
      <c r="MMI135" s="105"/>
      <c r="MMJ135" s="105"/>
      <c r="MMK135" s="105"/>
      <c r="MML135" s="105"/>
      <c r="MMM135" s="105"/>
      <c r="MMN135" s="105"/>
      <c r="MMO135" s="105"/>
      <c r="MMP135" s="105"/>
      <c r="MMQ135" s="105"/>
      <c r="MMR135" s="105"/>
      <c r="MMS135" s="105"/>
      <c r="MMT135" s="105"/>
      <c r="MMU135" s="105"/>
      <c r="MMV135" s="105"/>
      <c r="MMW135" s="105"/>
      <c r="MMX135" s="105"/>
      <c r="MMY135" s="105"/>
      <c r="MMZ135" s="105"/>
      <c r="MNA135" s="105"/>
      <c r="MNB135" s="105"/>
      <c r="MNC135" s="105"/>
      <c r="MND135" s="105"/>
      <c r="MNE135" s="105"/>
      <c r="MNF135" s="105"/>
      <c r="MNG135" s="105"/>
      <c r="MNH135" s="105"/>
      <c r="MNI135" s="105"/>
      <c r="MNJ135" s="105"/>
      <c r="MNK135" s="105"/>
      <c r="MNL135" s="105"/>
      <c r="MNM135" s="105"/>
      <c r="MNN135" s="105"/>
      <c r="MNO135" s="105"/>
      <c r="MNP135" s="105"/>
      <c r="MNQ135" s="105"/>
      <c r="MNR135" s="105"/>
      <c r="MNS135" s="105"/>
      <c r="MNT135" s="105"/>
      <c r="MNU135" s="105"/>
      <c r="MNV135" s="105"/>
      <c r="MNW135" s="105"/>
      <c r="MNX135" s="105"/>
      <c r="MNY135" s="105"/>
      <c r="MNZ135" s="105"/>
      <c r="MOA135" s="105"/>
      <c r="MOB135" s="105"/>
      <c r="MOC135" s="105"/>
      <c r="MOD135" s="105"/>
      <c r="MOE135" s="105"/>
      <c r="MOF135" s="105"/>
      <c r="MOG135" s="105"/>
      <c r="MOH135" s="105"/>
      <c r="MOI135" s="105"/>
      <c r="MOJ135" s="105"/>
      <c r="MOK135" s="105"/>
      <c r="MOL135" s="105"/>
      <c r="MOM135" s="105"/>
      <c r="MON135" s="105"/>
      <c r="MOO135" s="105"/>
      <c r="MOP135" s="105"/>
      <c r="MOQ135" s="105"/>
      <c r="MOR135" s="105"/>
      <c r="MOS135" s="105"/>
      <c r="MOT135" s="105"/>
      <c r="MOU135" s="105"/>
      <c r="MOV135" s="105"/>
      <c r="MOW135" s="105"/>
      <c r="MOX135" s="105"/>
      <c r="MOY135" s="105"/>
      <c r="MOZ135" s="105"/>
      <c r="MPA135" s="105"/>
      <c r="MPB135" s="105"/>
      <c r="MPC135" s="105"/>
      <c r="MPD135" s="105"/>
      <c r="MPE135" s="105"/>
      <c r="MPF135" s="105"/>
      <c r="MPG135" s="105"/>
      <c r="MPH135" s="105"/>
      <c r="MPI135" s="105"/>
      <c r="MPJ135" s="105"/>
      <c r="MPK135" s="105"/>
      <c r="MPL135" s="105"/>
      <c r="MPM135" s="105"/>
      <c r="MPN135" s="105"/>
      <c r="MPO135" s="105"/>
      <c r="MPP135" s="105"/>
      <c r="MPQ135" s="105"/>
      <c r="MPR135" s="105"/>
      <c r="MPS135" s="105"/>
      <c r="MPT135" s="105"/>
      <c r="MPU135" s="105"/>
      <c r="MPV135" s="105"/>
      <c r="MPW135" s="105"/>
      <c r="MPX135" s="105"/>
      <c r="MPY135" s="105"/>
      <c r="MPZ135" s="105"/>
      <c r="MQA135" s="105"/>
      <c r="MQB135" s="105"/>
      <c r="MQC135" s="105"/>
      <c r="MQD135" s="105"/>
      <c r="MQE135" s="105"/>
      <c r="MQF135" s="105"/>
      <c r="MQG135" s="105"/>
      <c r="MQH135" s="105"/>
      <c r="MQI135" s="105"/>
      <c r="MQJ135" s="105"/>
      <c r="MQK135" s="105"/>
      <c r="MQL135" s="105"/>
      <c r="MQM135" s="105"/>
      <c r="MQN135" s="105"/>
      <c r="MQO135" s="105"/>
      <c r="MQP135" s="105"/>
      <c r="MQQ135" s="105"/>
      <c r="MQR135" s="105"/>
      <c r="MQS135" s="105"/>
      <c r="MQT135" s="105"/>
      <c r="MQU135" s="105"/>
      <c r="MQV135" s="105"/>
      <c r="MQW135" s="105"/>
      <c r="MQX135" s="105"/>
      <c r="MQY135" s="105"/>
      <c r="MQZ135" s="105"/>
      <c r="MRA135" s="105"/>
      <c r="MRB135" s="105"/>
      <c r="MRC135" s="105"/>
      <c r="MRD135" s="105"/>
      <c r="MRE135" s="105"/>
      <c r="MRF135" s="105"/>
      <c r="MRG135" s="105"/>
      <c r="MRH135" s="105"/>
      <c r="MRI135" s="105"/>
      <c r="MRJ135" s="105"/>
      <c r="MRK135" s="105"/>
      <c r="MRL135" s="105"/>
      <c r="MRM135" s="105"/>
      <c r="MRN135" s="105"/>
      <c r="MRO135" s="105"/>
      <c r="MRP135" s="105"/>
      <c r="MRQ135" s="105"/>
      <c r="MRR135" s="105"/>
      <c r="MRS135" s="105"/>
      <c r="MRT135" s="105"/>
      <c r="MRU135" s="105"/>
      <c r="MRV135" s="105"/>
      <c r="MRW135" s="105"/>
      <c r="MRX135" s="105"/>
      <c r="MRY135" s="105"/>
      <c r="MRZ135" s="105"/>
      <c r="MSA135" s="105"/>
      <c r="MSB135" s="105"/>
      <c r="MSC135" s="105"/>
      <c r="MSD135" s="105"/>
      <c r="MSE135" s="105"/>
      <c r="MSF135" s="105"/>
      <c r="MSG135" s="105"/>
      <c r="MSH135" s="105"/>
      <c r="MSI135" s="105"/>
      <c r="MSJ135" s="105"/>
      <c r="MSK135" s="105"/>
      <c r="MSL135" s="105"/>
      <c r="MSM135" s="105"/>
      <c r="MSN135" s="105"/>
      <c r="MSO135" s="105"/>
      <c r="MSP135" s="105"/>
      <c r="MSQ135" s="105"/>
      <c r="MSR135" s="105"/>
      <c r="MSS135" s="105"/>
      <c r="MST135" s="105"/>
      <c r="MSU135" s="105"/>
      <c r="MSV135" s="105"/>
      <c r="MSW135" s="105"/>
      <c r="MSX135" s="105"/>
      <c r="MSY135" s="105"/>
      <c r="MSZ135" s="105"/>
      <c r="MTA135" s="105"/>
      <c r="MTB135" s="105"/>
      <c r="MTC135" s="105"/>
      <c r="MTD135" s="105"/>
      <c r="MTE135" s="105"/>
      <c r="MTF135" s="105"/>
      <c r="MTG135" s="105"/>
      <c r="MTH135" s="105"/>
      <c r="MTI135" s="105"/>
      <c r="MTJ135" s="105"/>
      <c r="MTK135" s="105"/>
      <c r="MTL135" s="105"/>
      <c r="MTM135" s="105"/>
      <c r="MTN135" s="105"/>
      <c r="MTO135" s="105"/>
      <c r="MTP135" s="105"/>
      <c r="MTQ135" s="105"/>
      <c r="MTR135" s="105"/>
      <c r="MTS135" s="105"/>
      <c r="MTT135" s="105"/>
      <c r="MTU135" s="105"/>
      <c r="MTV135" s="105"/>
      <c r="MTW135" s="105"/>
      <c r="MTX135" s="105"/>
      <c r="MTY135" s="105"/>
      <c r="MTZ135" s="105"/>
      <c r="MUA135" s="105"/>
      <c r="MUB135" s="105"/>
      <c r="MUC135" s="105"/>
      <c r="MUD135" s="105"/>
      <c r="MUE135" s="105"/>
      <c r="MUF135" s="105"/>
      <c r="MUG135" s="105"/>
      <c r="MUH135" s="105"/>
      <c r="MUI135" s="105"/>
      <c r="MUJ135" s="105"/>
      <c r="MUK135" s="105"/>
      <c r="MUL135" s="105"/>
      <c r="MUM135" s="105"/>
      <c r="MUN135" s="105"/>
      <c r="MUO135" s="105"/>
      <c r="MUP135" s="105"/>
      <c r="MUQ135" s="105"/>
      <c r="MUR135" s="105"/>
      <c r="MUS135" s="105"/>
      <c r="MUT135" s="105"/>
      <c r="MUU135" s="105"/>
      <c r="MUV135" s="105"/>
      <c r="MUW135" s="105"/>
      <c r="MUX135" s="105"/>
      <c r="MUY135" s="105"/>
      <c r="MUZ135" s="105"/>
      <c r="MVA135" s="105"/>
      <c r="MVB135" s="105"/>
      <c r="MVC135" s="105"/>
      <c r="MVD135" s="105"/>
      <c r="MVE135" s="105"/>
      <c r="MVF135" s="105"/>
      <c r="MVG135" s="105"/>
      <c r="MVH135" s="105"/>
      <c r="MVI135" s="105"/>
      <c r="MVJ135" s="105"/>
      <c r="MVK135" s="105"/>
      <c r="MVL135" s="105"/>
      <c r="MVM135" s="105"/>
      <c r="MVN135" s="105"/>
      <c r="MVO135" s="105"/>
      <c r="MVP135" s="105"/>
      <c r="MVQ135" s="105"/>
      <c r="MVR135" s="105"/>
      <c r="MVS135" s="105"/>
      <c r="MVT135" s="105"/>
      <c r="MVU135" s="105"/>
      <c r="MVV135" s="105"/>
      <c r="MVW135" s="105"/>
      <c r="MVX135" s="105"/>
      <c r="MVY135" s="105"/>
      <c r="MVZ135" s="105"/>
      <c r="MWA135" s="105"/>
      <c r="MWB135" s="105"/>
      <c r="MWC135" s="105"/>
      <c r="MWD135" s="105"/>
      <c r="MWE135" s="105"/>
      <c r="MWF135" s="105"/>
      <c r="MWG135" s="105"/>
      <c r="MWH135" s="105"/>
      <c r="MWI135" s="105"/>
      <c r="MWJ135" s="105"/>
      <c r="MWK135" s="105"/>
      <c r="MWL135" s="105"/>
      <c r="MWM135" s="105"/>
      <c r="MWN135" s="105"/>
      <c r="MWO135" s="105"/>
      <c r="MWP135" s="105"/>
      <c r="MWQ135" s="105"/>
      <c r="MWR135" s="105"/>
      <c r="MWS135" s="105"/>
      <c r="MWT135" s="105"/>
      <c r="MWU135" s="105"/>
      <c r="MWV135" s="105"/>
      <c r="MWW135" s="105"/>
      <c r="MWX135" s="105"/>
      <c r="MWY135" s="105"/>
      <c r="MWZ135" s="105"/>
      <c r="MXA135" s="105"/>
      <c r="MXB135" s="105"/>
      <c r="MXC135" s="105"/>
      <c r="MXD135" s="105"/>
      <c r="MXE135" s="105"/>
      <c r="MXF135" s="105"/>
      <c r="MXG135" s="105"/>
      <c r="MXH135" s="105"/>
      <c r="MXI135" s="105"/>
      <c r="MXJ135" s="105"/>
      <c r="MXK135" s="105"/>
      <c r="MXL135" s="105"/>
      <c r="MXM135" s="105"/>
      <c r="MXN135" s="105"/>
      <c r="MXO135" s="105"/>
      <c r="MXP135" s="105"/>
      <c r="MXQ135" s="105"/>
      <c r="MXR135" s="105"/>
      <c r="MXS135" s="105"/>
      <c r="MXT135" s="105"/>
      <c r="MXU135" s="105"/>
      <c r="MXV135" s="105"/>
      <c r="MXW135" s="105"/>
      <c r="MXX135" s="105"/>
      <c r="MXY135" s="105"/>
      <c r="MXZ135" s="105"/>
      <c r="MYA135" s="105"/>
      <c r="MYB135" s="105"/>
      <c r="MYC135" s="105"/>
      <c r="MYD135" s="105"/>
      <c r="MYE135" s="105"/>
      <c r="MYF135" s="105"/>
      <c r="MYG135" s="105"/>
      <c r="MYH135" s="105"/>
      <c r="MYI135" s="105"/>
      <c r="MYJ135" s="105"/>
      <c r="MYK135" s="105"/>
      <c r="MYL135" s="105"/>
      <c r="MYM135" s="105"/>
      <c r="MYN135" s="105"/>
      <c r="MYO135" s="105"/>
      <c r="MYP135" s="105"/>
      <c r="MYQ135" s="105"/>
      <c r="MYR135" s="105"/>
      <c r="MYS135" s="105"/>
      <c r="MYT135" s="105"/>
      <c r="MYU135" s="105"/>
      <c r="MYV135" s="105"/>
      <c r="MYW135" s="105"/>
      <c r="MYX135" s="105"/>
      <c r="MYY135" s="105"/>
      <c r="MYZ135" s="105"/>
      <c r="MZA135" s="105"/>
      <c r="MZB135" s="105"/>
      <c r="MZC135" s="105"/>
      <c r="MZD135" s="105"/>
      <c r="MZE135" s="105"/>
      <c r="MZF135" s="105"/>
      <c r="MZG135" s="105"/>
      <c r="MZH135" s="105"/>
      <c r="MZI135" s="105"/>
      <c r="MZJ135" s="105"/>
      <c r="MZK135" s="105"/>
      <c r="MZL135" s="105"/>
      <c r="MZM135" s="105"/>
      <c r="MZN135" s="105"/>
      <c r="MZO135" s="105"/>
      <c r="MZP135" s="105"/>
      <c r="MZQ135" s="105"/>
      <c r="MZR135" s="105"/>
      <c r="MZS135" s="105"/>
      <c r="MZT135" s="105"/>
      <c r="MZU135" s="105"/>
      <c r="MZV135" s="105"/>
      <c r="MZW135" s="105"/>
      <c r="MZX135" s="105"/>
      <c r="MZY135" s="105"/>
      <c r="MZZ135" s="105"/>
      <c r="NAA135" s="105"/>
      <c r="NAB135" s="105"/>
      <c r="NAC135" s="105"/>
      <c r="NAD135" s="105"/>
      <c r="NAE135" s="105"/>
      <c r="NAF135" s="105"/>
      <c r="NAG135" s="105"/>
      <c r="NAH135" s="105"/>
      <c r="NAI135" s="105"/>
      <c r="NAJ135" s="105"/>
      <c r="NAK135" s="105"/>
      <c r="NAL135" s="105"/>
      <c r="NAM135" s="105"/>
      <c r="NAN135" s="105"/>
      <c r="NAO135" s="105"/>
      <c r="NAP135" s="105"/>
      <c r="NAQ135" s="105"/>
      <c r="NAR135" s="105"/>
      <c r="NAS135" s="105"/>
      <c r="NAT135" s="105"/>
      <c r="NAU135" s="105"/>
      <c r="NAV135" s="105"/>
      <c r="NAW135" s="105"/>
      <c r="NAX135" s="105"/>
      <c r="NAY135" s="105"/>
      <c r="NAZ135" s="105"/>
      <c r="NBA135" s="105"/>
      <c r="NBB135" s="105"/>
      <c r="NBC135" s="105"/>
      <c r="NBD135" s="105"/>
      <c r="NBE135" s="105"/>
      <c r="NBF135" s="105"/>
      <c r="NBG135" s="105"/>
      <c r="NBH135" s="105"/>
      <c r="NBI135" s="105"/>
      <c r="NBJ135" s="105"/>
      <c r="NBK135" s="105"/>
      <c r="NBL135" s="105"/>
      <c r="NBM135" s="105"/>
      <c r="NBN135" s="105"/>
      <c r="NBO135" s="105"/>
      <c r="NBP135" s="105"/>
      <c r="NBQ135" s="105"/>
      <c r="NBR135" s="105"/>
      <c r="NBS135" s="105"/>
      <c r="NBT135" s="105"/>
      <c r="NBU135" s="105"/>
      <c r="NBV135" s="105"/>
      <c r="NBW135" s="105"/>
      <c r="NBX135" s="105"/>
      <c r="NBY135" s="105"/>
      <c r="NBZ135" s="105"/>
      <c r="NCA135" s="105"/>
      <c r="NCB135" s="105"/>
      <c r="NCC135" s="105"/>
      <c r="NCD135" s="105"/>
      <c r="NCE135" s="105"/>
      <c r="NCF135" s="105"/>
      <c r="NCG135" s="105"/>
      <c r="NCH135" s="105"/>
      <c r="NCI135" s="105"/>
      <c r="NCJ135" s="105"/>
      <c r="NCK135" s="105"/>
      <c r="NCL135" s="105"/>
      <c r="NCM135" s="105"/>
      <c r="NCN135" s="105"/>
      <c r="NCO135" s="105"/>
      <c r="NCP135" s="105"/>
      <c r="NCQ135" s="105"/>
      <c r="NCR135" s="105"/>
      <c r="NCS135" s="105"/>
      <c r="NCT135" s="105"/>
      <c r="NCU135" s="105"/>
      <c r="NCV135" s="105"/>
      <c r="NCW135" s="105"/>
      <c r="NCX135" s="105"/>
      <c r="NCY135" s="105"/>
      <c r="NCZ135" s="105"/>
      <c r="NDA135" s="105"/>
      <c r="NDB135" s="105"/>
      <c r="NDC135" s="105"/>
      <c r="NDD135" s="105"/>
      <c r="NDE135" s="105"/>
      <c r="NDF135" s="105"/>
      <c r="NDG135" s="105"/>
      <c r="NDH135" s="105"/>
      <c r="NDI135" s="105"/>
      <c r="NDJ135" s="105"/>
      <c r="NDK135" s="105"/>
      <c r="NDL135" s="105"/>
      <c r="NDM135" s="105"/>
      <c r="NDN135" s="105"/>
      <c r="NDO135" s="105"/>
      <c r="NDP135" s="105"/>
      <c r="NDQ135" s="105"/>
      <c r="NDR135" s="105"/>
      <c r="NDS135" s="105"/>
      <c r="NDT135" s="105"/>
      <c r="NDU135" s="105"/>
      <c r="NDV135" s="105"/>
      <c r="NDW135" s="105"/>
      <c r="NDX135" s="105"/>
      <c r="NDY135" s="105"/>
      <c r="NDZ135" s="105"/>
      <c r="NEA135" s="105"/>
      <c r="NEB135" s="105"/>
      <c r="NEC135" s="105"/>
      <c r="NED135" s="105"/>
      <c r="NEE135" s="105"/>
      <c r="NEF135" s="105"/>
      <c r="NEG135" s="105"/>
      <c r="NEH135" s="105"/>
      <c r="NEI135" s="105"/>
      <c r="NEJ135" s="105"/>
      <c r="NEK135" s="105"/>
      <c r="NEL135" s="105"/>
      <c r="NEM135" s="105"/>
      <c r="NEN135" s="105"/>
      <c r="NEO135" s="105"/>
      <c r="NEP135" s="105"/>
      <c r="NEQ135" s="105"/>
      <c r="NER135" s="105"/>
      <c r="NES135" s="105"/>
      <c r="NET135" s="105"/>
      <c r="NEU135" s="105"/>
      <c r="NEV135" s="105"/>
      <c r="NEW135" s="105"/>
      <c r="NEX135" s="105"/>
      <c r="NEY135" s="105"/>
      <c r="NEZ135" s="105"/>
      <c r="NFA135" s="105"/>
      <c r="NFB135" s="105"/>
      <c r="NFC135" s="105"/>
      <c r="NFD135" s="105"/>
      <c r="NFE135" s="105"/>
      <c r="NFF135" s="105"/>
      <c r="NFG135" s="105"/>
      <c r="NFH135" s="105"/>
      <c r="NFI135" s="105"/>
      <c r="NFJ135" s="105"/>
      <c r="NFK135" s="105"/>
      <c r="NFL135" s="105"/>
      <c r="NFM135" s="105"/>
      <c r="NFN135" s="105"/>
      <c r="NFO135" s="105"/>
      <c r="NFP135" s="105"/>
      <c r="NFQ135" s="105"/>
      <c r="NFR135" s="105"/>
      <c r="NFS135" s="105"/>
      <c r="NFT135" s="105"/>
      <c r="NFU135" s="105"/>
      <c r="NFV135" s="105"/>
      <c r="NFW135" s="105"/>
      <c r="NFX135" s="105"/>
      <c r="NFY135" s="105"/>
      <c r="NFZ135" s="105"/>
      <c r="NGA135" s="105"/>
      <c r="NGB135" s="105"/>
      <c r="NGC135" s="105"/>
      <c r="NGD135" s="105"/>
      <c r="NGE135" s="105"/>
      <c r="NGF135" s="105"/>
      <c r="NGG135" s="105"/>
      <c r="NGH135" s="105"/>
      <c r="NGI135" s="105"/>
      <c r="NGJ135" s="105"/>
      <c r="NGK135" s="105"/>
      <c r="NGL135" s="105"/>
      <c r="NGM135" s="105"/>
      <c r="NGN135" s="105"/>
      <c r="NGO135" s="105"/>
      <c r="NGP135" s="105"/>
      <c r="NGQ135" s="105"/>
      <c r="NGR135" s="105"/>
      <c r="NGS135" s="105"/>
      <c r="NGT135" s="105"/>
      <c r="NGU135" s="105"/>
      <c r="NGV135" s="105"/>
      <c r="NGW135" s="105"/>
      <c r="NGX135" s="105"/>
      <c r="NGY135" s="105"/>
      <c r="NGZ135" s="105"/>
      <c r="NHA135" s="105"/>
      <c r="NHB135" s="105"/>
      <c r="NHC135" s="105"/>
      <c r="NHD135" s="105"/>
      <c r="NHE135" s="105"/>
      <c r="NHF135" s="105"/>
      <c r="NHG135" s="105"/>
      <c r="NHH135" s="105"/>
      <c r="NHI135" s="105"/>
      <c r="NHJ135" s="105"/>
      <c r="NHK135" s="105"/>
      <c r="NHL135" s="105"/>
      <c r="NHM135" s="105"/>
      <c r="NHN135" s="105"/>
      <c r="NHO135" s="105"/>
      <c r="NHP135" s="105"/>
      <c r="NHQ135" s="105"/>
      <c r="NHR135" s="105"/>
      <c r="NHS135" s="105"/>
      <c r="NHT135" s="105"/>
      <c r="NHU135" s="105"/>
      <c r="NHV135" s="105"/>
      <c r="NHW135" s="105"/>
      <c r="NHX135" s="105"/>
      <c r="NHY135" s="105"/>
      <c r="NHZ135" s="105"/>
      <c r="NIA135" s="105"/>
      <c r="NIB135" s="105"/>
      <c r="NIC135" s="105"/>
      <c r="NID135" s="105"/>
      <c r="NIE135" s="105"/>
      <c r="NIF135" s="105"/>
      <c r="NIG135" s="105"/>
      <c r="NIH135" s="105"/>
      <c r="NII135" s="105"/>
      <c r="NIJ135" s="105"/>
      <c r="NIK135" s="105"/>
      <c r="NIL135" s="105"/>
      <c r="NIM135" s="105"/>
      <c r="NIN135" s="105"/>
      <c r="NIO135" s="105"/>
      <c r="NIP135" s="105"/>
      <c r="NIQ135" s="105"/>
      <c r="NIR135" s="105"/>
      <c r="NIS135" s="105"/>
      <c r="NIT135" s="105"/>
      <c r="NIU135" s="105"/>
      <c r="NIV135" s="105"/>
      <c r="NIW135" s="105"/>
      <c r="NIX135" s="105"/>
      <c r="NIY135" s="105"/>
      <c r="NIZ135" s="105"/>
      <c r="NJA135" s="105"/>
      <c r="NJB135" s="105"/>
      <c r="NJC135" s="105"/>
      <c r="NJD135" s="105"/>
      <c r="NJE135" s="105"/>
      <c r="NJF135" s="105"/>
      <c r="NJG135" s="105"/>
      <c r="NJH135" s="105"/>
      <c r="NJI135" s="105"/>
      <c r="NJJ135" s="105"/>
      <c r="NJK135" s="105"/>
      <c r="NJL135" s="105"/>
      <c r="NJM135" s="105"/>
      <c r="NJN135" s="105"/>
      <c r="NJO135" s="105"/>
      <c r="NJP135" s="105"/>
      <c r="NJQ135" s="105"/>
      <c r="NJR135" s="105"/>
      <c r="NJS135" s="105"/>
      <c r="NJT135" s="105"/>
      <c r="NJU135" s="105"/>
      <c r="NJV135" s="105"/>
      <c r="NJW135" s="105"/>
      <c r="NJX135" s="105"/>
      <c r="NJY135" s="105"/>
      <c r="NJZ135" s="105"/>
      <c r="NKA135" s="105"/>
      <c r="NKB135" s="105"/>
      <c r="NKC135" s="105"/>
      <c r="NKD135" s="105"/>
      <c r="NKE135" s="105"/>
      <c r="NKF135" s="105"/>
      <c r="NKG135" s="105"/>
      <c r="NKH135" s="105"/>
      <c r="NKI135" s="105"/>
      <c r="NKJ135" s="105"/>
      <c r="NKK135" s="105"/>
      <c r="NKL135" s="105"/>
      <c r="NKM135" s="105"/>
      <c r="NKN135" s="105"/>
      <c r="NKO135" s="105"/>
      <c r="NKP135" s="105"/>
      <c r="NKQ135" s="105"/>
      <c r="NKR135" s="105"/>
      <c r="NKS135" s="105"/>
      <c r="NKT135" s="105"/>
      <c r="NKU135" s="105"/>
      <c r="NKV135" s="105"/>
      <c r="NKW135" s="105"/>
      <c r="NKX135" s="105"/>
      <c r="NKY135" s="105"/>
      <c r="NKZ135" s="105"/>
      <c r="NLA135" s="105"/>
      <c r="NLB135" s="105"/>
      <c r="NLC135" s="105"/>
      <c r="NLD135" s="105"/>
      <c r="NLE135" s="105"/>
      <c r="NLF135" s="105"/>
      <c r="NLG135" s="105"/>
      <c r="NLH135" s="105"/>
      <c r="NLI135" s="105"/>
      <c r="NLJ135" s="105"/>
      <c r="NLK135" s="105"/>
      <c r="NLL135" s="105"/>
      <c r="NLM135" s="105"/>
      <c r="NLN135" s="105"/>
      <c r="NLO135" s="105"/>
      <c r="NLP135" s="105"/>
      <c r="NLQ135" s="105"/>
      <c r="NLR135" s="105"/>
      <c r="NLS135" s="105"/>
      <c r="NLT135" s="105"/>
      <c r="NLU135" s="105"/>
      <c r="NLV135" s="105"/>
      <c r="NLW135" s="105"/>
      <c r="NLX135" s="105"/>
      <c r="NLY135" s="105"/>
      <c r="NLZ135" s="105"/>
      <c r="NMA135" s="105"/>
      <c r="NMB135" s="105"/>
      <c r="NMC135" s="105"/>
      <c r="NMD135" s="105"/>
      <c r="NME135" s="105"/>
      <c r="NMF135" s="105"/>
      <c r="NMG135" s="105"/>
      <c r="NMH135" s="105"/>
      <c r="NMI135" s="105"/>
      <c r="NMJ135" s="105"/>
      <c r="NMK135" s="105"/>
      <c r="NML135" s="105"/>
      <c r="NMM135" s="105"/>
      <c r="NMN135" s="105"/>
      <c r="NMO135" s="105"/>
      <c r="NMP135" s="105"/>
      <c r="NMQ135" s="105"/>
      <c r="NMR135" s="105"/>
      <c r="NMS135" s="105"/>
      <c r="NMT135" s="105"/>
      <c r="NMU135" s="105"/>
      <c r="NMV135" s="105"/>
      <c r="NMW135" s="105"/>
      <c r="NMX135" s="105"/>
      <c r="NMY135" s="105"/>
      <c r="NMZ135" s="105"/>
      <c r="NNA135" s="105"/>
      <c r="NNB135" s="105"/>
      <c r="NNC135" s="105"/>
      <c r="NND135" s="105"/>
      <c r="NNE135" s="105"/>
      <c r="NNF135" s="105"/>
      <c r="NNG135" s="105"/>
      <c r="NNH135" s="105"/>
      <c r="NNI135" s="105"/>
      <c r="NNJ135" s="105"/>
      <c r="NNK135" s="105"/>
      <c r="NNL135" s="105"/>
      <c r="NNM135" s="105"/>
      <c r="NNN135" s="105"/>
      <c r="NNO135" s="105"/>
      <c r="NNP135" s="105"/>
      <c r="NNQ135" s="105"/>
      <c r="NNR135" s="105"/>
      <c r="NNS135" s="105"/>
      <c r="NNT135" s="105"/>
      <c r="NNU135" s="105"/>
      <c r="NNV135" s="105"/>
      <c r="NNW135" s="105"/>
      <c r="NNX135" s="105"/>
      <c r="NNY135" s="105"/>
      <c r="NNZ135" s="105"/>
      <c r="NOA135" s="105"/>
      <c r="NOB135" s="105"/>
      <c r="NOC135" s="105"/>
      <c r="NOD135" s="105"/>
      <c r="NOE135" s="105"/>
      <c r="NOF135" s="105"/>
      <c r="NOG135" s="105"/>
      <c r="NOH135" s="105"/>
      <c r="NOI135" s="105"/>
      <c r="NOJ135" s="105"/>
      <c r="NOK135" s="105"/>
      <c r="NOL135" s="105"/>
      <c r="NOM135" s="105"/>
      <c r="NON135" s="105"/>
      <c r="NOO135" s="105"/>
      <c r="NOP135" s="105"/>
      <c r="NOQ135" s="105"/>
      <c r="NOR135" s="105"/>
      <c r="NOS135" s="105"/>
      <c r="NOT135" s="105"/>
      <c r="NOU135" s="105"/>
      <c r="NOV135" s="105"/>
      <c r="NOW135" s="105"/>
      <c r="NOX135" s="105"/>
      <c r="NOY135" s="105"/>
      <c r="NOZ135" s="105"/>
      <c r="NPA135" s="105"/>
      <c r="NPB135" s="105"/>
      <c r="NPC135" s="105"/>
      <c r="NPD135" s="105"/>
      <c r="NPE135" s="105"/>
      <c r="NPF135" s="105"/>
      <c r="NPG135" s="105"/>
      <c r="NPH135" s="105"/>
      <c r="NPI135" s="105"/>
      <c r="NPJ135" s="105"/>
      <c r="NPK135" s="105"/>
      <c r="NPL135" s="105"/>
      <c r="NPM135" s="105"/>
      <c r="NPN135" s="105"/>
      <c r="NPO135" s="105"/>
      <c r="NPP135" s="105"/>
      <c r="NPQ135" s="105"/>
      <c r="NPR135" s="105"/>
      <c r="NPS135" s="105"/>
      <c r="NPT135" s="105"/>
      <c r="NPU135" s="105"/>
      <c r="NPV135" s="105"/>
      <c r="NPW135" s="105"/>
      <c r="NPX135" s="105"/>
      <c r="NPY135" s="105"/>
      <c r="NPZ135" s="105"/>
      <c r="NQA135" s="105"/>
      <c r="NQB135" s="105"/>
      <c r="NQC135" s="105"/>
      <c r="NQD135" s="105"/>
      <c r="NQE135" s="105"/>
      <c r="NQF135" s="105"/>
      <c r="NQG135" s="105"/>
      <c r="NQH135" s="105"/>
      <c r="NQI135" s="105"/>
      <c r="NQJ135" s="105"/>
      <c r="NQK135" s="105"/>
      <c r="NQL135" s="105"/>
      <c r="NQM135" s="105"/>
      <c r="NQN135" s="105"/>
      <c r="NQO135" s="105"/>
      <c r="NQP135" s="105"/>
      <c r="NQQ135" s="105"/>
      <c r="NQR135" s="105"/>
      <c r="NQS135" s="105"/>
      <c r="NQT135" s="105"/>
      <c r="NQU135" s="105"/>
      <c r="NQV135" s="105"/>
      <c r="NQW135" s="105"/>
      <c r="NQX135" s="105"/>
      <c r="NQY135" s="105"/>
      <c r="NQZ135" s="105"/>
      <c r="NRA135" s="105"/>
      <c r="NRB135" s="105"/>
      <c r="NRC135" s="105"/>
      <c r="NRD135" s="105"/>
      <c r="NRE135" s="105"/>
      <c r="NRF135" s="105"/>
      <c r="NRG135" s="105"/>
      <c r="NRH135" s="105"/>
      <c r="NRI135" s="105"/>
      <c r="NRJ135" s="105"/>
      <c r="NRK135" s="105"/>
      <c r="NRL135" s="105"/>
      <c r="NRM135" s="105"/>
      <c r="NRN135" s="105"/>
      <c r="NRO135" s="105"/>
      <c r="NRP135" s="105"/>
      <c r="NRQ135" s="105"/>
      <c r="NRR135" s="105"/>
      <c r="NRS135" s="105"/>
      <c r="NRT135" s="105"/>
      <c r="NRU135" s="105"/>
      <c r="NRV135" s="105"/>
      <c r="NRW135" s="105"/>
      <c r="NRX135" s="105"/>
      <c r="NRY135" s="105"/>
      <c r="NRZ135" s="105"/>
      <c r="NSA135" s="105"/>
      <c r="NSB135" s="105"/>
      <c r="NSC135" s="105"/>
      <c r="NSD135" s="105"/>
      <c r="NSE135" s="105"/>
      <c r="NSF135" s="105"/>
      <c r="NSG135" s="105"/>
      <c r="NSH135" s="105"/>
      <c r="NSI135" s="105"/>
      <c r="NSJ135" s="105"/>
      <c r="NSK135" s="105"/>
      <c r="NSL135" s="105"/>
      <c r="NSM135" s="105"/>
      <c r="NSN135" s="105"/>
      <c r="NSO135" s="105"/>
      <c r="NSP135" s="105"/>
      <c r="NSQ135" s="105"/>
      <c r="NSR135" s="105"/>
      <c r="NSS135" s="105"/>
      <c r="NST135" s="105"/>
      <c r="NSU135" s="105"/>
      <c r="NSV135" s="105"/>
      <c r="NSW135" s="105"/>
      <c r="NSX135" s="105"/>
      <c r="NSY135" s="105"/>
      <c r="NSZ135" s="105"/>
      <c r="NTA135" s="105"/>
      <c r="NTB135" s="105"/>
      <c r="NTC135" s="105"/>
      <c r="NTD135" s="105"/>
      <c r="NTE135" s="105"/>
      <c r="NTF135" s="105"/>
      <c r="NTG135" s="105"/>
      <c r="NTH135" s="105"/>
      <c r="NTI135" s="105"/>
      <c r="NTJ135" s="105"/>
      <c r="NTK135" s="105"/>
      <c r="NTL135" s="105"/>
      <c r="NTM135" s="105"/>
      <c r="NTN135" s="105"/>
      <c r="NTO135" s="105"/>
      <c r="NTP135" s="105"/>
      <c r="NTQ135" s="105"/>
      <c r="NTR135" s="105"/>
      <c r="NTS135" s="105"/>
      <c r="NTT135" s="105"/>
      <c r="NTU135" s="105"/>
      <c r="NTV135" s="105"/>
      <c r="NTW135" s="105"/>
      <c r="NTX135" s="105"/>
      <c r="NTY135" s="105"/>
      <c r="NTZ135" s="105"/>
      <c r="NUA135" s="105"/>
      <c r="NUB135" s="105"/>
      <c r="NUC135" s="105"/>
      <c r="NUD135" s="105"/>
      <c r="NUE135" s="105"/>
      <c r="NUF135" s="105"/>
      <c r="NUG135" s="105"/>
      <c r="NUH135" s="105"/>
      <c r="NUI135" s="105"/>
      <c r="NUJ135" s="105"/>
      <c r="NUK135" s="105"/>
      <c r="NUL135" s="105"/>
      <c r="NUM135" s="105"/>
      <c r="NUN135" s="105"/>
      <c r="NUO135" s="105"/>
      <c r="NUP135" s="105"/>
      <c r="NUQ135" s="105"/>
      <c r="NUR135" s="105"/>
      <c r="NUS135" s="105"/>
      <c r="NUT135" s="105"/>
      <c r="NUU135" s="105"/>
      <c r="NUV135" s="105"/>
      <c r="NUW135" s="105"/>
      <c r="NUX135" s="105"/>
      <c r="NUY135" s="105"/>
      <c r="NUZ135" s="105"/>
      <c r="NVA135" s="105"/>
      <c r="NVB135" s="105"/>
      <c r="NVC135" s="105"/>
      <c r="NVD135" s="105"/>
      <c r="NVE135" s="105"/>
      <c r="NVF135" s="105"/>
      <c r="NVG135" s="105"/>
      <c r="NVH135" s="105"/>
      <c r="NVI135" s="105"/>
      <c r="NVJ135" s="105"/>
      <c r="NVK135" s="105"/>
      <c r="NVL135" s="105"/>
      <c r="NVM135" s="105"/>
      <c r="NVN135" s="105"/>
      <c r="NVO135" s="105"/>
      <c r="NVP135" s="105"/>
      <c r="NVQ135" s="105"/>
      <c r="NVR135" s="105"/>
      <c r="NVS135" s="105"/>
      <c r="NVT135" s="105"/>
      <c r="NVU135" s="105"/>
      <c r="NVV135" s="105"/>
      <c r="NVW135" s="105"/>
      <c r="NVX135" s="105"/>
      <c r="NVY135" s="105"/>
      <c r="NVZ135" s="105"/>
      <c r="NWA135" s="105"/>
      <c r="NWB135" s="105"/>
      <c r="NWC135" s="105"/>
      <c r="NWD135" s="105"/>
      <c r="NWE135" s="105"/>
      <c r="NWF135" s="105"/>
      <c r="NWG135" s="105"/>
      <c r="NWH135" s="105"/>
      <c r="NWI135" s="105"/>
      <c r="NWJ135" s="105"/>
      <c r="NWK135" s="105"/>
      <c r="NWL135" s="105"/>
      <c r="NWM135" s="105"/>
      <c r="NWN135" s="105"/>
      <c r="NWO135" s="105"/>
      <c r="NWP135" s="105"/>
      <c r="NWQ135" s="105"/>
      <c r="NWR135" s="105"/>
      <c r="NWS135" s="105"/>
      <c r="NWT135" s="105"/>
      <c r="NWU135" s="105"/>
      <c r="NWV135" s="105"/>
      <c r="NWW135" s="105"/>
      <c r="NWX135" s="105"/>
      <c r="NWY135" s="105"/>
      <c r="NWZ135" s="105"/>
      <c r="NXA135" s="105"/>
      <c r="NXB135" s="105"/>
      <c r="NXC135" s="105"/>
      <c r="NXD135" s="105"/>
      <c r="NXE135" s="105"/>
      <c r="NXF135" s="105"/>
      <c r="NXG135" s="105"/>
      <c r="NXH135" s="105"/>
      <c r="NXI135" s="105"/>
      <c r="NXJ135" s="105"/>
      <c r="NXK135" s="105"/>
      <c r="NXL135" s="105"/>
      <c r="NXM135" s="105"/>
      <c r="NXN135" s="105"/>
      <c r="NXO135" s="105"/>
      <c r="NXP135" s="105"/>
      <c r="NXQ135" s="105"/>
      <c r="NXR135" s="105"/>
      <c r="NXS135" s="105"/>
      <c r="NXT135" s="105"/>
      <c r="NXU135" s="105"/>
      <c r="NXV135" s="105"/>
      <c r="NXW135" s="105"/>
      <c r="NXX135" s="105"/>
      <c r="NXY135" s="105"/>
      <c r="NXZ135" s="105"/>
      <c r="NYA135" s="105"/>
      <c r="NYB135" s="105"/>
      <c r="NYC135" s="105"/>
      <c r="NYD135" s="105"/>
      <c r="NYE135" s="105"/>
      <c r="NYF135" s="105"/>
      <c r="NYG135" s="105"/>
      <c r="NYH135" s="105"/>
      <c r="NYI135" s="105"/>
      <c r="NYJ135" s="105"/>
      <c r="NYK135" s="105"/>
      <c r="NYL135" s="105"/>
      <c r="NYM135" s="105"/>
      <c r="NYN135" s="105"/>
      <c r="NYO135" s="105"/>
      <c r="NYP135" s="105"/>
      <c r="NYQ135" s="105"/>
      <c r="NYR135" s="105"/>
      <c r="NYS135" s="105"/>
      <c r="NYT135" s="105"/>
      <c r="NYU135" s="105"/>
      <c r="NYV135" s="105"/>
      <c r="NYW135" s="105"/>
      <c r="NYX135" s="105"/>
      <c r="NYY135" s="105"/>
      <c r="NYZ135" s="105"/>
      <c r="NZA135" s="105"/>
      <c r="NZB135" s="105"/>
      <c r="NZC135" s="105"/>
      <c r="NZD135" s="105"/>
      <c r="NZE135" s="105"/>
      <c r="NZF135" s="105"/>
      <c r="NZG135" s="105"/>
      <c r="NZH135" s="105"/>
      <c r="NZI135" s="105"/>
      <c r="NZJ135" s="105"/>
      <c r="NZK135" s="105"/>
      <c r="NZL135" s="105"/>
      <c r="NZM135" s="105"/>
      <c r="NZN135" s="105"/>
      <c r="NZO135" s="105"/>
      <c r="NZP135" s="105"/>
      <c r="NZQ135" s="105"/>
      <c r="NZR135" s="105"/>
      <c r="NZS135" s="105"/>
      <c r="NZT135" s="105"/>
      <c r="NZU135" s="105"/>
      <c r="NZV135" s="105"/>
      <c r="NZW135" s="105"/>
      <c r="NZX135" s="105"/>
      <c r="NZY135" s="105"/>
      <c r="NZZ135" s="105"/>
      <c r="OAA135" s="105"/>
      <c r="OAB135" s="105"/>
      <c r="OAC135" s="105"/>
      <c r="OAD135" s="105"/>
      <c r="OAE135" s="105"/>
      <c r="OAF135" s="105"/>
      <c r="OAG135" s="105"/>
      <c r="OAH135" s="105"/>
      <c r="OAI135" s="105"/>
      <c r="OAJ135" s="105"/>
      <c r="OAK135" s="105"/>
      <c r="OAL135" s="105"/>
      <c r="OAM135" s="105"/>
      <c r="OAN135" s="105"/>
      <c r="OAO135" s="105"/>
      <c r="OAP135" s="105"/>
      <c r="OAQ135" s="105"/>
      <c r="OAR135" s="105"/>
      <c r="OAS135" s="105"/>
      <c r="OAT135" s="105"/>
      <c r="OAU135" s="105"/>
      <c r="OAV135" s="105"/>
      <c r="OAW135" s="105"/>
      <c r="OAX135" s="105"/>
      <c r="OAY135" s="105"/>
      <c r="OAZ135" s="105"/>
      <c r="OBA135" s="105"/>
      <c r="OBB135" s="105"/>
      <c r="OBC135" s="105"/>
      <c r="OBD135" s="105"/>
      <c r="OBE135" s="105"/>
      <c r="OBF135" s="105"/>
      <c r="OBG135" s="105"/>
      <c r="OBH135" s="105"/>
      <c r="OBI135" s="105"/>
      <c r="OBJ135" s="105"/>
      <c r="OBK135" s="105"/>
      <c r="OBL135" s="105"/>
      <c r="OBM135" s="105"/>
      <c r="OBN135" s="105"/>
      <c r="OBO135" s="105"/>
      <c r="OBP135" s="105"/>
      <c r="OBQ135" s="105"/>
      <c r="OBR135" s="105"/>
      <c r="OBS135" s="105"/>
      <c r="OBT135" s="105"/>
      <c r="OBU135" s="105"/>
      <c r="OBV135" s="105"/>
      <c r="OBW135" s="105"/>
      <c r="OBX135" s="105"/>
      <c r="OBY135" s="105"/>
      <c r="OBZ135" s="105"/>
      <c r="OCA135" s="105"/>
      <c r="OCB135" s="105"/>
      <c r="OCC135" s="105"/>
      <c r="OCD135" s="105"/>
      <c r="OCE135" s="105"/>
      <c r="OCF135" s="105"/>
      <c r="OCG135" s="105"/>
      <c r="OCH135" s="105"/>
      <c r="OCI135" s="105"/>
      <c r="OCJ135" s="105"/>
      <c r="OCK135" s="105"/>
      <c r="OCL135" s="105"/>
      <c r="OCM135" s="105"/>
      <c r="OCN135" s="105"/>
      <c r="OCO135" s="105"/>
      <c r="OCP135" s="105"/>
      <c r="OCQ135" s="105"/>
      <c r="OCR135" s="105"/>
      <c r="OCS135" s="105"/>
      <c r="OCT135" s="105"/>
      <c r="OCU135" s="105"/>
      <c r="OCV135" s="105"/>
      <c r="OCW135" s="105"/>
      <c r="OCX135" s="105"/>
      <c r="OCY135" s="105"/>
      <c r="OCZ135" s="105"/>
      <c r="ODA135" s="105"/>
      <c r="ODB135" s="105"/>
      <c r="ODC135" s="105"/>
      <c r="ODD135" s="105"/>
      <c r="ODE135" s="105"/>
      <c r="ODF135" s="105"/>
      <c r="ODG135" s="105"/>
      <c r="ODH135" s="105"/>
      <c r="ODI135" s="105"/>
      <c r="ODJ135" s="105"/>
      <c r="ODK135" s="105"/>
      <c r="ODL135" s="105"/>
      <c r="ODM135" s="105"/>
      <c r="ODN135" s="105"/>
      <c r="ODO135" s="105"/>
      <c r="ODP135" s="105"/>
      <c r="ODQ135" s="105"/>
      <c r="ODR135" s="105"/>
      <c r="ODS135" s="105"/>
      <c r="ODT135" s="105"/>
      <c r="ODU135" s="105"/>
      <c r="ODV135" s="105"/>
      <c r="ODW135" s="105"/>
      <c r="ODX135" s="105"/>
      <c r="ODY135" s="105"/>
      <c r="ODZ135" s="105"/>
      <c r="OEA135" s="105"/>
      <c r="OEB135" s="105"/>
      <c r="OEC135" s="105"/>
      <c r="OED135" s="105"/>
      <c r="OEE135" s="105"/>
      <c r="OEF135" s="105"/>
      <c r="OEG135" s="105"/>
      <c r="OEH135" s="105"/>
      <c r="OEI135" s="105"/>
      <c r="OEJ135" s="105"/>
      <c r="OEK135" s="105"/>
      <c r="OEL135" s="105"/>
      <c r="OEM135" s="105"/>
      <c r="OEN135" s="105"/>
      <c r="OEO135" s="105"/>
      <c r="OEP135" s="105"/>
      <c r="OEQ135" s="105"/>
      <c r="OER135" s="105"/>
      <c r="OES135" s="105"/>
      <c r="OET135" s="105"/>
      <c r="OEU135" s="105"/>
      <c r="OEV135" s="105"/>
      <c r="OEW135" s="105"/>
      <c r="OEX135" s="105"/>
      <c r="OEY135" s="105"/>
      <c r="OEZ135" s="105"/>
      <c r="OFA135" s="105"/>
      <c r="OFB135" s="105"/>
      <c r="OFC135" s="105"/>
      <c r="OFD135" s="105"/>
      <c r="OFE135" s="105"/>
      <c r="OFF135" s="105"/>
      <c r="OFG135" s="105"/>
      <c r="OFH135" s="105"/>
      <c r="OFI135" s="105"/>
      <c r="OFJ135" s="105"/>
      <c r="OFK135" s="105"/>
      <c r="OFL135" s="105"/>
      <c r="OFM135" s="105"/>
      <c r="OFN135" s="105"/>
      <c r="OFO135" s="105"/>
      <c r="OFP135" s="105"/>
      <c r="OFQ135" s="105"/>
      <c r="OFR135" s="105"/>
      <c r="OFS135" s="105"/>
      <c r="OFT135" s="105"/>
      <c r="OFU135" s="105"/>
      <c r="OFV135" s="105"/>
      <c r="OFW135" s="105"/>
      <c r="OFX135" s="105"/>
      <c r="OFY135" s="105"/>
      <c r="OFZ135" s="105"/>
      <c r="OGA135" s="105"/>
      <c r="OGB135" s="105"/>
      <c r="OGC135" s="105"/>
      <c r="OGD135" s="105"/>
      <c r="OGE135" s="105"/>
      <c r="OGF135" s="105"/>
      <c r="OGG135" s="105"/>
      <c r="OGH135" s="105"/>
      <c r="OGI135" s="105"/>
      <c r="OGJ135" s="105"/>
      <c r="OGK135" s="105"/>
      <c r="OGL135" s="105"/>
      <c r="OGM135" s="105"/>
      <c r="OGN135" s="105"/>
      <c r="OGO135" s="105"/>
      <c r="OGP135" s="105"/>
      <c r="OGQ135" s="105"/>
      <c r="OGR135" s="105"/>
      <c r="OGS135" s="105"/>
      <c r="OGT135" s="105"/>
      <c r="OGU135" s="105"/>
      <c r="OGV135" s="105"/>
      <c r="OGW135" s="105"/>
      <c r="OGX135" s="105"/>
      <c r="OGY135" s="105"/>
      <c r="OGZ135" s="105"/>
      <c r="OHA135" s="105"/>
      <c r="OHB135" s="105"/>
      <c r="OHC135" s="105"/>
      <c r="OHD135" s="105"/>
      <c r="OHE135" s="105"/>
      <c r="OHF135" s="105"/>
      <c r="OHG135" s="105"/>
      <c r="OHH135" s="105"/>
      <c r="OHI135" s="105"/>
      <c r="OHJ135" s="105"/>
      <c r="OHK135" s="105"/>
      <c r="OHL135" s="105"/>
      <c r="OHM135" s="105"/>
      <c r="OHN135" s="105"/>
      <c r="OHO135" s="105"/>
      <c r="OHP135" s="105"/>
      <c r="OHQ135" s="105"/>
      <c r="OHR135" s="105"/>
      <c r="OHS135" s="105"/>
      <c r="OHT135" s="105"/>
      <c r="OHU135" s="105"/>
      <c r="OHV135" s="105"/>
      <c r="OHW135" s="105"/>
      <c r="OHX135" s="105"/>
      <c r="OHY135" s="105"/>
      <c r="OHZ135" s="105"/>
      <c r="OIA135" s="105"/>
      <c r="OIB135" s="105"/>
      <c r="OIC135" s="105"/>
      <c r="OID135" s="105"/>
      <c r="OIE135" s="105"/>
      <c r="OIF135" s="105"/>
      <c r="OIG135" s="105"/>
      <c r="OIH135" s="105"/>
      <c r="OII135" s="105"/>
      <c r="OIJ135" s="105"/>
      <c r="OIK135" s="105"/>
      <c r="OIL135" s="105"/>
      <c r="OIM135" s="105"/>
      <c r="OIN135" s="105"/>
      <c r="OIO135" s="105"/>
      <c r="OIP135" s="105"/>
      <c r="OIQ135" s="105"/>
      <c r="OIR135" s="105"/>
      <c r="OIS135" s="105"/>
      <c r="OIT135" s="105"/>
      <c r="OIU135" s="105"/>
      <c r="OIV135" s="105"/>
      <c r="OIW135" s="105"/>
      <c r="OIX135" s="105"/>
      <c r="OIY135" s="105"/>
      <c r="OIZ135" s="105"/>
      <c r="OJA135" s="105"/>
      <c r="OJB135" s="105"/>
      <c r="OJC135" s="105"/>
      <c r="OJD135" s="105"/>
      <c r="OJE135" s="105"/>
      <c r="OJF135" s="105"/>
      <c r="OJG135" s="105"/>
      <c r="OJH135" s="105"/>
      <c r="OJI135" s="105"/>
      <c r="OJJ135" s="105"/>
      <c r="OJK135" s="105"/>
      <c r="OJL135" s="105"/>
      <c r="OJM135" s="105"/>
      <c r="OJN135" s="105"/>
      <c r="OJO135" s="105"/>
      <c r="OJP135" s="105"/>
      <c r="OJQ135" s="105"/>
      <c r="OJR135" s="105"/>
      <c r="OJS135" s="105"/>
      <c r="OJT135" s="105"/>
      <c r="OJU135" s="105"/>
      <c r="OJV135" s="105"/>
      <c r="OJW135" s="105"/>
      <c r="OJX135" s="105"/>
      <c r="OJY135" s="105"/>
      <c r="OJZ135" s="105"/>
      <c r="OKA135" s="105"/>
      <c r="OKB135" s="105"/>
      <c r="OKC135" s="105"/>
      <c r="OKD135" s="105"/>
      <c r="OKE135" s="105"/>
      <c r="OKF135" s="105"/>
      <c r="OKG135" s="105"/>
      <c r="OKH135" s="105"/>
      <c r="OKI135" s="105"/>
      <c r="OKJ135" s="105"/>
      <c r="OKK135" s="105"/>
      <c r="OKL135" s="105"/>
      <c r="OKM135" s="105"/>
      <c r="OKN135" s="105"/>
      <c r="OKO135" s="105"/>
      <c r="OKP135" s="105"/>
      <c r="OKQ135" s="105"/>
      <c r="OKR135" s="105"/>
      <c r="OKS135" s="105"/>
      <c r="OKT135" s="105"/>
      <c r="OKU135" s="105"/>
      <c r="OKV135" s="105"/>
      <c r="OKW135" s="105"/>
      <c r="OKX135" s="105"/>
      <c r="OKY135" s="105"/>
      <c r="OKZ135" s="105"/>
      <c r="OLA135" s="105"/>
      <c r="OLB135" s="105"/>
      <c r="OLC135" s="105"/>
      <c r="OLD135" s="105"/>
      <c r="OLE135" s="105"/>
      <c r="OLF135" s="105"/>
      <c r="OLG135" s="105"/>
      <c r="OLH135" s="105"/>
      <c r="OLI135" s="105"/>
      <c r="OLJ135" s="105"/>
      <c r="OLK135" s="105"/>
      <c r="OLL135" s="105"/>
      <c r="OLM135" s="105"/>
      <c r="OLN135" s="105"/>
      <c r="OLO135" s="105"/>
      <c r="OLP135" s="105"/>
      <c r="OLQ135" s="105"/>
      <c r="OLR135" s="105"/>
      <c r="OLS135" s="105"/>
      <c r="OLT135" s="105"/>
      <c r="OLU135" s="105"/>
      <c r="OLV135" s="105"/>
      <c r="OLW135" s="105"/>
      <c r="OLX135" s="105"/>
      <c r="OLY135" s="105"/>
      <c r="OLZ135" s="105"/>
      <c r="OMA135" s="105"/>
      <c r="OMB135" s="105"/>
      <c r="OMC135" s="105"/>
      <c r="OMD135" s="105"/>
      <c r="OME135" s="105"/>
      <c r="OMF135" s="105"/>
      <c r="OMG135" s="105"/>
      <c r="OMH135" s="105"/>
      <c r="OMI135" s="105"/>
      <c r="OMJ135" s="105"/>
      <c r="OMK135" s="105"/>
      <c r="OML135" s="105"/>
      <c r="OMM135" s="105"/>
      <c r="OMN135" s="105"/>
      <c r="OMO135" s="105"/>
      <c r="OMP135" s="105"/>
      <c r="OMQ135" s="105"/>
      <c r="OMR135" s="105"/>
      <c r="OMS135" s="105"/>
      <c r="OMT135" s="105"/>
      <c r="OMU135" s="105"/>
      <c r="OMV135" s="105"/>
      <c r="OMW135" s="105"/>
      <c r="OMX135" s="105"/>
      <c r="OMY135" s="105"/>
      <c r="OMZ135" s="105"/>
      <c r="ONA135" s="105"/>
      <c r="ONB135" s="105"/>
      <c r="ONC135" s="105"/>
      <c r="OND135" s="105"/>
      <c r="ONE135" s="105"/>
      <c r="ONF135" s="105"/>
      <c r="ONG135" s="105"/>
      <c r="ONH135" s="105"/>
      <c r="ONI135" s="105"/>
      <c r="ONJ135" s="105"/>
      <c r="ONK135" s="105"/>
      <c r="ONL135" s="105"/>
      <c r="ONM135" s="105"/>
      <c r="ONN135" s="105"/>
      <c r="ONO135" s="105"/>
      <c r="ONP135" s="105"/>
      <c r="ONQ135" s="105"/>
      <c r="ONR135" s="105"/>
      <c r="ONS135" s="105"/>
      <c r="ONT135" s="105"/>
      <c r="ONU135" s="105"/>
      <c r="ONV135" s="105"/>
      <c r="ONW135" s="105"/>
      <c r="ONX135" s="105"/>
      <c r="ONY135" s="105"/>
      <c r="ONZ135" s="105"/>
      <c r="OOA135" s="105"/>
      <c r="OOB135" s="105"/>
      <c r="OOC135" s="105"/>
      <c r="OOD135" s="105"/>
      <c r="OOE135" s="105"/>
      <c r="OOF135" s="105"/>
      <c r="OOG135" s="105"/>
      <c r="OOH135" s="105"/>
      <c r="OOI135" s="105"/>
      <c r="OOJ135" s="105"/>
      <c r="OOK135" s="105"/>
      <c r="OOL135" s="105"/>
      <c r="OOM135" s="105"/>
      <c r="OON135" s="105"/>
      <c r="OOO135" s="105"/>
      <c r="OOP135" s="105"/>
      <c r="OOQ135" s="105"/>
      <c r="OOR135" s="105"/>
      <c r="OOS135" s="105"/>
      <c r="OOT135" s="105"/>
      <c r="OOU135" s="105"/>
      <c r="OOV135" s="105"/>
      <c r="OOW135" s="105"/>
      <c r="OOX135" s="105"/>
      <c r="OOY135" s="105"/>
      <c r="OOZ135" s="105"/>
      <c r="OPA135" s="105"/>
      <c r="OPB135" s="105"/>
      <c r="OPC135" s="105"/>
      <c r="OPD135" s="105"/>
      <c r="OPE135" s="105"/>
      <c r="OPF135" s="105"/>
      <c r="OPG135" s="105"/>
      <c r="OPH135" s="105"/>
      <c r="OPI135" s="105"/>
      <c r="OPJ135" s="105"/>
      <c r="OPK135" s="105"/>
      <c r="OPL135" s="105"/>
      <c r="OPM135" s="105"/>
      <c r="OPN135" s="105"/>
      <c r="OPO135" s="105"/>
      <c r="OPP135" s="105"/>
      <c r="OPQ135" s="105"/>
      <c r="OPR135" s="105"/>
      <c r="OPS135" s="105"/>
      <c r="OPT135" s="105"/>
      <c r="OPU135" s="105"/>
      <c r="OPV135" s="105"/>
      <c r="OPW135" s="105"/>
      <c r="OPX135" s="105"/>
      <c r="OPY135" s="105"/>
      <c r="OPZ135" s="105"/>
      <c r="OQA135" s="105"/>
      <c r="OQB135" s="105"/>
      <c r="OQC135" s="105"/>
      <c r="OQD135" s="105"/>
      <c r="OQE135" s="105"/>
      <c r="OQF135" s="105"/>
      <c r="OQG135" s="105"/>
      <c r="OQH135" s="105"/>
      <c r="OQI135" s="105"/>
      <c r="OQJ135" s="105"/>
      <c r="OQK135" s="105"/>
      <c r="OQL135" s="105"/>
      <c r="OQM135" s="105"/>
      <c r="OQN135" s="105"/>
      <c r="OQO135" s="105"/>
      <c r="OQP135" s="105"/>
      <c r="OQQ135" s="105"/>
      <c r="OQR135" s="105"/>
      <c r="OQS135" s="105"/>
      <c r="OQT135" s="105"/>
      <c r="OQU135" s="105"/>
      <c r="OQV135" s="105"/>
      <c r="OQW135" s="105"/>
      <c r="OQX135" s="105"/>
      <c r="OQY135" s="105"/>
      <c r="OQZ135" s="105"/>
      <c r="ORA135" s="105"/>
      <c r="ORB135" s="105"/>
      <c r="ORC135" s="105"/>
      <c r="ORD135" s="105"/>
      <c r="ORE135" s="105"/>
      <c r="ORF135" s="105"/>
      <c r="ORG135" s="105"/>
      <c r="ORH135" s="105"/>
      <c r="ORI135" s="105"/>
      <c r="ORJ135" s="105"/>
      <c r="ORK135" s="105"/>
      <c r="ORL135" s="105"/>
      <c r="ORM135" s="105"/>
      <c r="ORN135" s="105"/>
      <c r="ORO135" s="105"/>
      <c r="ORP135" s="105"/>
      <c r="ORQ135" s="105"/>
      <c r="ORR135" s="105"/>
      <c r="ORS135" s="105"/>
      <c r="ORT135" s="105"/>
      <c r="ORU135" s="105"/>
      <c r="ORV135" s="105"/>
      <c r="ORW135" s="105"/>
      <c r="ORX135" s="105"/>
      <c r="ORY135" s="105"/>
      <c r="ORZ135" s="105"/>
      <c r="OSA135" s="105"/>
      <c r="OSB135" s="105"/>
      <c r="OSC135" s="105"/>
      <c r="OSD135" s="105"/>
      <c r="OSE135" s="105"/>
      <c r="OSF135" s="105"/>
      <c r="OSG135" s="105"/>
      <c r="OSH135" s="105"/>
      <c r="OSI135" s="105"/>
      <c r="OSJ135" s="105"/>
      <c r="OSK135" s="105"/>
      <c r="OSL135" s="105"/>
      <c r="OSM135" s="105"/>
      <c r="OSN135" s="105"/>
      <c r="OSO135" s="105"/>
      <c r="OSP135" s="105"/>
      <c r="OSQ135" s="105"/>
      <c r="OSR135" s="105"/>
      <c r="OSS135" s="105"/>
      <c r="OST135" s="105"/>
      <c r="OSU135" s="105"/>
      <c r="OSV135" s="105"/>
      <c r="OSW135" s="105"/>
      <c r="OSX135" s="105"/>
      <c r="OSY135" s="105"/>
      <c r="OSZ135" s="105"/>
      <c r="OTA135" s="105"/>
      <c r="OTB135" s="105"/>
      <c r="OTC135" s="105"/>
      <c r="OTD135" s="105"/>
      <c r="OTE135" s="105"/>
      <c r="OTF135" s="105"/>
      <c r="OTG135" s="105"/>
      <c r="OTH135" s="105"/>
      <c r="OTI135" s="105"/>
      <c r="OTJ135" s="105"/>
      <c r="OTK135" s="105"/>
      <c r="OTL135" s="105"/>
      <c r="OTM135" s="105"/>
      <c r="OTN135" s="105"/>
      <c r="OTO135" s="105"/>
      <c r="OTP135" s="105"/>
      <c r="OTQ135" s="105"/>
      <c r="OTR135" s="105"/>
      <c r="OTS135" s="105"/>
      <c r="OTT135" s="105"/>
      <c r="OTU135" s="105"/>
      <c r="OTV135" s="105"/>
      <c r="OTW135" s="105"/>
      <c r="OTX135" s="105"/>
      <c r="OTY135" s="105"/>
      <c r="OTZ135" s="105"/>
      <c r="OUA135" s="105"/>
      <c r="OUB135" s="105"/>
      <c r="OUC135" s="105"/>
      <c r="OUD135" s="105"/>
      <c r="OUE135" s="105"/>
      <c r="OUF135" s="105"/>
      <c r="OUG135" s="105"/>
      <c r="OUH135" s="105"/>
      <c r="OUI135" s="105"/>
      <c r="OUJ135" s="105"/>
      <c r="OUK135" s="105"/>
      <c r="OUL135" s="105"/>
      <c r="OUM135" s="105"/>
      <c r="OUN135" s="105"/>
      <c r="OUO135" s="105"/>
      <c r="OUP135" s="105"/>
      <c r="OUQ135" s="105"/>
      <c r="OUR135" s="105"/>
      <c r="OUS135" s="105"/>
      <c r="OUT135" s="105"/>
      <c r="OUU135" s="105"/>
      <c r="OUV135" s="105"/>
      <c r="OUW135" s="105"/>
      <c r="OUX135" s="105"/>
      <c r="OUY135" s="105"/>
      <c r="OUZ135" s="105"/>
      <c r="OVA135" s="105"/>
      <c r="OVB135" s="105"/>
      <c r="OVC135" s="105"/>
      <c r="OVD135" s="105"/>
      <c r="OVE135" s="105"/>
      <c r="OVF135" s="105"/>
      <c r="OVG135" s="105"/>
      <c r="OVH135" s="105"/>
      <c r="OVI135" s="105"/>
      <c r="OVJ135" s="105"/>
      <c r="OVK135" s="105"/>
      <c r="OVL135" s="105"/>
      <c r="OVM135" s="105"/>
      <c r="OVN135" s="105"/>
      <c r="OVO135" s="105"/>
      <c r="OVP135" s="105"/>
      <c r="OVQ135" s="105"/>
      <c r="OVR135" s="105"/>
      <c r="OVS135" s="105"/>
      <c r="OVT135" s="105"/>
      <c r="OVU135" s="105"/>
      <c r="OVV135" s="105"/>
      <c r="OVW135" s="105"/>
      <c r="OVX135" s="105"/>
      <c r="OVY135" s="105"/>
      <c r="OVZ135" s="105"/>
      <c r="OWA135" s="105"/>
      <c r="OWB135" s="105"/>
      <c r="OWC135" s="105"/>
      <c r="OWD135" s="105"/>
      <c r="OWE135" s="105"/>
      <c r="OWF135" s="105"/>
      <c r="OWG135" s="105"/>
      <c r="OWH135" s="105"/>
      <c r="OWI135" s="105"/>
      <c r="OWJ135" s="105"/>
      <c r="OWK135" s="105"/>
      <c r="OWL135" s="105"/>
      <c r="OWM135" s="105"/>
      <c r="OWN135" s="105"/>
      <c r="OWO135" s="105"/>
      <c r="OWP135" s="105"/>
      <c r="OWQ135" s="105"/>
      <c r="OWR135" s="105"/>
      <c r="OWS135" s="105"/>
      <c r="OWT135" s="105"/>
      <c r="OWU135" s="105"/>
      <c r="OWV135" s="105"/>
      <c r="OWW135" s="105"/>
      <c r="OWX135" s="105"/>
      <c r="OWY135" s="105"/>
      <c r="OWZ135" s="105"/>
      <c r="OXA135" s="105"/>
      <c r="OXB135" s="105"/>
      <c r="OXC135" s="105"/>
      <c r="OXD135" s="105"/>
      <c r="OXE135" s="105"/>
      <c r="OXF135" s="105"/>
      <c r="OXG135" s="105"/>
      <c r="OXH135" s="105"/>
      <c r="OXI135" s="105"/>
      <c r="OXJ135" s="105"/>
      <c r="OXK135" s="105"/>
      <c r="OXL135" s="105"/>
      <c r="OXM135" s="105"/>
      <c r="OXN135" s="105"/>
      <c r="OXO135" s="105"/>
      <c r="OXP135" s="105"/>
      <c r="OXQ135" s="105"/>
      <c r="OXR135" s="105"/>
      <c r="OXS135" s="105"/>
      <c r="OXT135" s="105"/>
      <c r="OXU135" s="105"/>
      <c r="OXV135" s="105"/>
      <c r="OXW135" s="105"/>
      <c r="OXX135" s="105"/>
      <c r="OXY135" s="105"/>
      <c r="OXZ135" s="105"/>
      <c r="OYA135" s="105"/>
      <c r="OYB135" s="105"/>
      <c r="OYC135" s="105"/>
      <c r="OYD135" s="105"/>
      <c r="OYE135" s="105"/>
      <c r="OYF135" s="105"/>
      <c r="OYG135" s="105"/>
      <c r="OYH135" s="105"/>
      <c r="OYI135" s="105"/>
      <c r="OYJ135" s="105"/>
      <c r="OYK135" s="105"/>
      <c r="OYL135" s="105"/>
      <c r="OYM135" s="105"/>
      <c r="OYN135" s="105"/>
      <c r="OYO135" s="105"/>
      <c r="OYP135" s="105"/>
      <c r="OYQ135" s="105"/>
      <c r="OYR135" s="105"/>
      <c r="OYS135" s="105"/>
      <c r="OYT135" s="105"/>
      <c r="OYU135" s="105"/>
      <c r="OYV135" s="105"/>
      <c r="OYW135" s="105"/>
      <c r="OYX135" s="105"/>
      <c r="OYY135" s="105"/>
      <c r="OYZ135" s="105"/>
      <c r="OZA135" s="105"/>
      <c r="OZB135" s="105"/>
      <c r="OZC135" s="105"/>
      <c r="OZD135" s="105"/>
      <c r="OZE135" s="105"/>
      <c r="OZF135" s="105"/>
      <c r="OZG135" s="105"/>
      <c r="OZH135" s="105"/>
      <c r="OZI135" s="105"/>
      <c r="OZJ135" s="105"/>
      <c r="OZK135" s="105"/>
      <c r="OZL135" s="105"/>
      <c r="OZM135" s="105"/>
      <c r="OZN135" s="105"/>
      <c r="OZO135" s="105"/>
      <c r="OZP135" s="105"/>
      <c r="OZQ135" s="105"/>
      <c r="OZR135" s="105"/>
      <c r="OZS135" s="105"/>
      <c r="OZT135" s="105"/>
      <c r="OZU135" s="105"/>
      <c r="OZV135" s="105"/>
      <c r="OZW135" s="105"/>
      <c r="OZX135" s="105"/>
      <c r="OZY135" s="105"/>
      <c r="OZZ135" s="105"/>
      <c r="PAA135" s="105"/>
      <c r="PAB135" s="105"/>
      <c r="PAC135" s="105"/>
      <c r="PAD135" s="105"/>
      <c r="PAE135" s="105"/>
      <c r="PAF135" s="105"/>
      <c r="PAG135" s="105"/>
      <c r="PAH135" s="105"/>
      <c r="PAI135" s="105"/>
      <c r="PAJ135" s="105"/>
      <c r="PAK135" s="105"/>
      <c r="PAL135" s="105"/>
      <c r="PAM135" s="105"/>
      <c r="PAN135" s="105"/>
      <c r="PAO135" s="105"/>
      <c r="PAP135" s="105"/>
      <c r="PAQ135" s="105"/>
      <c r="PAR135" s="105"/>
      <c r="PAS135" s="105"/>
      <c r="PAT135" s="105"/>
      <c r="PAU135" s="105"/>
      <c r="PAV135" s="105"/>
      <c r="PAW135" s="105"/>
      <c r="PAX135" s="105"/>
      <c r="PAY135" s="105"/>
      <c r="PAZ135" s="105"/>
      <c r="PBA135" s="105"/>
      <c r="PBB135" s="105"/>
      <c r="PBC135" s="105"/>
      <c r="PBD135" s="105"/>
      <c r="PBE135" s="105"/>
      <c r="PBF135" s="105"/>
      <c r="PBG135" s="105"/>
      <c r="PBH135" s="105"/>
      <c r="PBI135" s="105"/>
      <c r="PBJ135" s="105"/>
      <c r="PBK135" s="105"/>
      <c r="PBL135" s="105"/>
      <c r="PBM135" s="105"/>
      <c r="PBN135" s="105"/>
      <c r="PBO135" s="105"/>
      <c r="PBP135" s="105"/>
      <c r="PBQ135" s="105"/>
      <c r="PBR135" s="105"/>
      <c r="PBS135" s="105"/>
      <c r="PBT135" s="105"/>
      <c r="PBU135" s="105"/>
      <c r="PBV135" s="105"/>
      <c r="PBW135" s="105"/>
      <c r="PBX135" s="105"/>
      <c r="PBY135" s="105"/>
      <c r="PBZ135" s="105"/>
      <c r="PCA135" s="105"/>
      <c r="PCB135" s="105"/>
      <c r="PCC135" s="105"/>
      <c r="PCD135" s="105"/>
      <c r="PCE135" s="105"/>
      <c r="PCF135" s="105"/>
      <c r="PCG135" s="105"/>
      <c r="PCH135" s="105"/>
      <c r="PCI135" s="105"/>
      <c r="PCJ135" s="105"/>
      <c r="PCK135" s="105"/>
      <c r="PCL135" s="105"/>
      <c r="PCM135" s="105"/>
      <c r="PCN135" s="105"/>
      <c r="PCO135" s="105"/>
      <c r="PCP135" s="105"/>
      <c r="PCQ135" s="105"/>
      <c r="PCR135" s="105"/>
      <c r="PCS135" s="105"/>
      <c r="PCT135" s="105"/>
      <c r="PCU135" s="105"/>
      <c r="PCV135" s="105"/>
      <c r="PCW135" s="105"/>
      <c r="PCX135" s="105"/>
      <c r="PCY135" s="105"/>
      <c r="PCZ135" s="105"/>
      <c r="PDA135" s="105"/>
      <c r="PDB135" s="105"/>
      <c r="PDC135" s="105"/>
      <c r="PDD135" s="105"/>
      <c r="PDE135" s="105"/>
      <c r="PDF135" s="105"/>
      <c r="PDG135" s="105"/>
      <c r="PDH135" s="105"/>
      <c r="PDI135" s="105"/>
      <c r="PDJ135" s="105"/>
      <c r="PDK135" s="105"/>
      <c r="PDL135" s="105"/>
      <c r="PDM135" s="105"/>
      <c r="PDN135" s="105"/>
      <c r="PDO135" s="105"/>
      <c r="PDP135" s="105"/>
      <c r="PDQ135" s="105"/>
      <c r="PDR135" s="105"/>
      <c r="PDS135" s="105"/>
      <c r="PDT135" s="105"/>
      <c r="PDU135" s="105"/>
      <c r="PDV135" s="105"/>
      <c r="PDW135" s="105"/>
      <c r="PDX135" s="105"/>
      <c r="PDY135" s="105"/>
      <c r="PDZ135" s="105"/>
      <c r="PEA135" s="105"/>
      <c r="PEB135" s="105"/>
      <c r="PEC135" s="105"/>
      <c r="PED135" s="105"/>
      <c r="PEE135" s="105"/>
      <c r="PEF135" s="105"/>
      <c r="PEG135" s="105"/>
      <c r="PEH135" s="105"/>
      <c r="PEI135" s="105"/>
      <c r="PEJ135" s="105"/>
      <c r="PEK135" s="105"/>
      <c r="PEL135" s="105"/>
      <c r="PEM135" s="105"/>
      <c r="PEN135" s="105"/>
      <c r="PEO135" s="105"/>
      <c r="PEP135" s="105"/>
      <c r="PEQ135" s="105"/>
      <c r="PER135" s="105"/>
      <c r="PES135" s="105"/>
      <c r="PET135" s="105"/>
      <c r="PEU135" s="105"/>
      <c r="PEV135" s="105"/>
      <c r="PEW135" s="105"/>
      <c r="PEX135" s="105"/>
      <c r="PEY135" s="105"/>
      <c r="PEZ135" s="105"/>
      <c r="PFA135" s="105"/>
      <c r="PFB135" s="105"/>
      <c r="PFC135" s="105"/>
      <c r="PFD135" s="105"/>
      <c r="PFE135" s="105"/>
      <c r="PFF135" s="105"/>
      <c r="PFG135" s="105"/>
      <c r="PFH135" s="105"/>
      <c r="PFI135" s="105"/>
      <c r="PFJ135" s="105"/>
      <c r="PFK135" s="105"/>
      <c r="PFL135" s="105"/>
      <c r="PFM135" s="105"/>
      <c r="PFN135" s="105"/>
      <c r="PFO135" s="105"/>
      <c r="PFP135" s="105"/>
      <c r="PFQ135" s="105"/>
      <c r="PFR135" s="105"/>
      <c r="PFS135" s="105"/>
      <c r="PFT135" s="105"/>
      <c r="PFU135" s="105"/>
      <c r="PFV135" s="105"/>
      <c r="PFW135" s="105"/>
      <c r="PFX135" s="105"/>
      <c r="PFY135" s="105"/>
      <c r="PFZ135" s="105"/>
      <c r="PGA135" s="105"/>
      <c r="PGB135" s="105"/>
      <c r="PGC135" s="105"/>
      <c r="PGD135" s="105"/>
      <c r="PGE135" s="105"/>
      <c r="PGF135" s="105"/>
      <c r="PGG135" s="105"/>
      <c r="PGH135" s="105"/>
      <c r="PGI135" s="105"/>
      <c r="PGJ135" s="105"/>
      <c r="PGK135" s="105"/>
      <c r="PGL135" s="105"/>
      <c r="PGM135" s="105"/>
      <c r="PGN135" s="105"/>
      <c r="PGO135" s="105"/>
      <c r="PGP135" s="105"/>
      <c r="PGQ135" s="105"/>
      <c r="PGR135" s="105"/>
      <c r="PGS135" s="105"/>
      <c r="PGT135" s="105"/>
      <c r="PGU135" s="105"/>
      <c r="PGV135" s="105"/>
      <c r="PGW135" s="105"/>
      <c r="PGX135" s="105"/>
      <c r="PGY135" s="105"/>
      <c r="PGZ135" s="105"/>
      <c r="PHA135" s="105"/>
      <c r="PHB135" s="105"/>
      <c r="PHC135" s="105"/>
      <c r="PHD135" s="105"/>
      <c r="PHE135" s="105"/>
      <c r="PHF135" s="105"/>
      <c r="PHG135" s="105"/>
      <c r="PHH135" s="105"/>
      <c r="PHI135" s="105"/>
      <c r="PHJ135" s="105"/>
      <c r="PHK135" s="105"/>
      <c r="PHL135" s="105"/>
      <c r="PHM135" s="105"/>
      <c r="PHN135" s="105"/>
      <c r="PHO135" s="105"/>
      <c r="PHP135" s="105"/>
      <c r="PHQ135" s="105"/>
      <c r="PHR135" s="105"/>
      <c r="PHS135" s="105"/>
      <c r="PHT135" s="105"/>
      <c r="PHU135" s="105"/>
      <c r="PHV135" s="105"/>
      <c r="PHW135" s="105"/>
      <c r="PHX135" s="105"/>
      <c r="PHY135" s="105"/>
      <c r="PHZ135" s="105"/>
      <c r="PIA135" s="105"/>
      <c r="PIB135" s="105"/>
      <c r="PIC135" s="105"/>
      <c r="PID135" s="105"/>
      <c r="PIE135" s="105"/>
      <c r="PIF135" s="105"/>
      <c r="PIG135" s="105"/>
      <c r="PIH135" s="105"/>
      <c r="PII135" s="105"/>
      <c r="PIJ135" s="105"/>
      <c r="PIK135" s="105"/>
      <c r="PIL135" s="105"/>
      <c r="PIM135" s="105"/>
      <c r="PIN135" s="105"/>
      <c r="PIO135" s="105"/>
      <c r="PIP135" s="105"/>
      <c r="PIQ135" s="105"/>
      <c r="PIR135" s="105"/>
      <c r="PIS135" s="105"/>
      <c r="PIT135" s="105"/>
      <c r="PIU135" s="105"/>
      <c r="PIV135" s="105"/>
      <c r="PIW135" s="105"/>
      <c r="PIX135" s="105"/>
      <c r="PIY135" s="105"/>
      <c r="PIZ135" s="105"/>
      <c r="PJA135" s="105"/>
      <c r="PJB135" s="105"/>
      <c r="PJC135" s="105"/>
      <c r="PJD135" s="105"/>
      <c r="PJE135" s="105"/>
      <c r="PJF135" s="105"/>
      <c r="PJG135" s="105"/>
      <c r="PJH135" s="105"/>
      <c r="PJI135" s="105"/>
      <c r="PJJ135" s="105"/>
      <c r="PJK135" s="105"/>
      <c r="PJL135" s="105"/>
      <c r="PJM135" s="105"/>
      <c r="PJN135" s="105"/>
      <c r="PJO135" s="105"/>
      <c r="PJP135" s="105"/>
      <c r="PJQ135" s="105"/>
      <c r="PJR135" s="105"/>
      <c r="PJS135" s="105"/>
      <c r="PJT135" s="105"/>
      <c r="PJU135" s="105"/>
      <c r="PJV135" s="105"/>
      <c r="PJW135" s="105"/>
      <c r="PJX135" s="105"/>
      <c r="PJY135" s="105"/>
      <c r="PJZ135" s="105"/>
      <c r="PKA135" s="105"/>
      <c r="PKB135" s="105"/>
      <c r="PKC135" s="105"/>
      <c r="PKD135" s="105"/>
      <c r="PKE135" s="105"/>
      <c r="PKF135" s="105"/>
      <c r="PKG135" s="105"/>
      <c r="PKH135" s="105"/>
      <c r="PKI135" s="105"/>
      <c r="PKJ135" s="105"/>
      <c r="PKK135" s="105"/>
      <c r="PKL135" s="105"/>
      <c r="PKM135" s="105"/>
      <c r="PKN135" s="105"/>
      <c r="PKO135" s="105"/>
      <c r="PKP135" s="105"/>
      <c r="PKQ135" s="105"/>
      <c r="PKR135" s="105"/>
      <c r="PKS135" s="105"/>
      <c r="PKT135" s="105"/>
      <c r="PKU135" s="105"/>
      <c r="PKV135" s="105"/>
      <c r="PKW135" s="105"/>
      <c r="PKX135" s="105"/>
      <c r="PKY135" s="105"/>
      <c r="PKZ135" s="105"/>
      <c r="PLA135" s="105"/>
      <c r="PLB135" s="105"/>
      <c r="PLC135" s="105"/>
      <c r="PLD135" s="105"/>
      <c r="PLE135" s="105"/>
      <c r="PLF135" s="105"/>
      <c r="PLG135" s="105"/>
      <c r="PLH135" s="105"/>
      <c r="PLI135" s="105"/>
      <c r="PLJ135" s="105"/>
      <c r="PLK135" s="105"/>
      <c r="PLL135" s="105"/>
      <c r="PLM135" s="105"/>
      <c r="PLN135" s="105"/>
      <c r="PLO135" s="105"/>
      <c r="PLP135" s="105"/>
      <c r="PLQ135" s="105"/>
      <c r="PLR135" s="105"/>
      <c r="PLS135" s="105"/>
      <c r="PLT135" s="105"/>
      <c r="PLU135" s="105"/>
      <c r="PLV135" s="105"/>
      <c r="PLW135" s="105"/>
      <c r="PLX135" s="105"/>
      <c r="PLY135" s="105"/>
      <c r="PLZ135" s="105"/>
      <c r="PMA135" s="105"/>
      <c r="PMB135" s="105"/>
      <c r="PMC135" s="105"/>
      <c r="PMD135" s="105"/>
      <c r="PME135" s="105"/>
      <c r="PMF135" s="105"/>
      <c r="PMG135" s="105"/>
      <c r="PMH135" s="105"/>
      <c r="PMI135" s="105"/>
      <c r="PMJ135" s="105"/>
      <c r="PMK135" s="105"/>
      <c r="PML135" s="105"/>
      <c r="PMM135" s="105"/>
      <c r="PMN135" s="105"/>
      <c r="PMO135" s="105"/>
      <c r="PMP135" s="105"/>
      <c r="PMQ135" s="105"/>
      <c r="PMR135" s="105"/>
      <c r="PMS135" s="105"/>
      <c r="PMT135" s="105"/>
      <c r="PMU135" s="105"/>
      <c r="PMV135" s="105"/>
      <c r="PMW135" s="105"/>
      <c r="PMX135" s="105"/>
      <c r="PMY135" s="105"/>
      <c r="PMZ135" s="105"/>
      <c r="PNA135" s="105"/>
      <c r="PNB135" s="105"/>
      <c r="PNC135" s="105"/>
      <c r="PND135" s="105"/>
      <c r="PNE135" s="105"/>
      <c r="PNF135" s="105"/>
      <c r="PNG135" s="105"/>
      <c r="PNH135" s="105"/>
      <c r="PNI135" s="105"/>
      <c r="PNJ135" s="105"/>
      <c r="PNK135" s="105"/>
      <c r="PNL135" s="105"/>
      <c r="PNM135" s="105"/>
      <c r="PNN135" s="105"/>
      <c r="PNO135" s="105"/>
      <c r="PNP135" s="105"/>
      <c r="PNQ135" s="105"/>
      <c r="PNR135" s="105"/>
      <c r="PNS135" s="105"/>
      <c r="PNT135" s="105"/>
      <c r="PNU135" s="105"/>
      <c r="PNV135" s="105"/>
      <c r="PNW135" s="105"/>
      <c r="PNX135" s="105"/>
      <c r="PNY135" s="105"/>
      <c r="PNZ135" s="105"/>
      <c r="POA135" s="105"/>
      <c r="POB135" s="105"/>
      <c r="POC135" s="105"/>
      <c r="POD135" s="105"/>
      <c r="POE135" s="105"/>
      <c r="POF135" s="105"/>
      <c r="POG135" s="105"/>
      <c r="POH135" s="105"/>
      <c r="POI135" s="105"/>
      <c r="POJ135" s="105"/>
      <c r="POK135" s="105"/>
      <c r="POL135" s="105"/>
      <c r="POM135" s="105"/>
      <c r="PON135" s="105"/>
      <c r="POO135" s="105"/>
      <c r="POP135" s="105"/>
      <c r="POQ135" s="105"/>
      <c r="POR135" s="105"/>
      <c r="POS135" s="105"/>
      <c r="POT135" s="105"/>
      <c r="POU135" s="105"/>
      <c r="POV135" s="105"/>
      <c r="POW135" s="105"/>
      <c r="POX135" s="105"/>
      <c r="POY135" s="105"/>
      <c r="POZ135" s="105"/>
      <c r="PPA135" s="105"/>
      <c r="PPB135" s="105"/>
      <c r="PPC135" s="105"/>
      <c r="PPD135" s="105"/>
      <c r="PPE135" s="105"/>
      <c r="PPF135" s="105"/>
      <c r="PPG135" s="105"/>
      <c r="PPH135" s="105"/>
      <c r="PPI135" s="105"/>
      <c r="PPJ135" s="105"/>
      <c r="PPK135" s="105"/>
      <c r="PPL135" s="105"/>
      <c r="PPM135" s="105"/>
      <c r="PPN135" s="105"/>
      <c r="PPO135" s="105"/>
      <c r="PPP135" s="105"/>
      <c r="PPQ135" s="105"/>
      <c r="PPR135" s="105"/>
      <c r="PPS135" s="105"/>
      <c r="PPT135" s="105"/>
      <c r="PPU135" s="105"/>
      <c r="PPV135" s="105"/>
      <c r="PPW135" s="105"/>
      <c r="PPX135" s="105"/>
      <c r="PPY135" s="105"/>
      <c r="PPZ135" s="105"/>
      <c r="PQA135" s="105"/>
      <c r="PQB135" s="105"/>
      <c r="PQC135" s="105"/>
      <c r="PQD135" s="105"/>
      <c r="PQE135" s="105"/>
      <c r="PQF135" s="105"/>
      <c r="PQG135" s="105"/>
      <c r="PQH135" s="105"/>
      <c r="PQI135" s="105"/>
      <c r="PQJ135" s="105"/>
      <c r="PQK135" s="105"/>
      <c r="PQL135" s="105"/>
      <c r="PQM135" s="105"/>
      <c r="PQN135" s="105"/>
      <c r="PQO135" s="105"/>
      <c r="PQP135" s="105"/>
      <c r="PQQ135" s="105"/>
      <c r="PQR135" s="105"/>
      <c r="PQS135" s="105"/>
      <c r="PQT135" s="105"/>
      <c r="PQU135" s="105"/>
      <c r="PQV135" s="105"/>
      <c r="PQW135" s="105"/>
      <c r="PQX135" s="105"/>
      <c r="PQY135" s="105"/>
      <c r="PQZ135" s="105"/>
      <c r="PRA135" s="105"/>
      <c r="PRB135" s="105"/>
      <c r="PRC135" s="105"/>
      <c r="PRD135" s="105"/>
      <c r="PRE135" s="105"/>
      <c r="PRF135" s="105"/>
      <c r="PRG135" s="105"/>
      <c r="PRH135" s="105"/>
      <c r="PRI135" s="105"/>
      <c r="PRJ135" s="105"/>
      <c r="PRK135" s="105"/>
      <c r="PRL135" s="105"/>
      <c r="PRM135" s="105"/>
      <c r="PRN135" s="105"/>
      <c r="PRO135" s="105"/>
      <c r="PRP135" s="105"/>
      <c r="PRQ135" s="105"/>
      <c r="PRR135" s="105"/>
      <c r="PRS135" s="105"/>
      <c r="PRT135" s="105"/>
      <c r="PRU135" s="105"/>
      <c r="PRV135" s="105"/>
      <c r="PRW135" s="105"/>
      <c r="PRX135" s="105"/>
      <c r="PRY135" s="105"/>
      <c r="PRZ135" s="105"/>
      <c r="PSA135" s="105"/>
      <c r="PSB135" s="105"/>
      <c r="PSC135" s="105"/>
      <c r="PSD135" s="105"/>
      <c r="PSE135" s="105"/>
      <c r="PSF135" s="105"/>
      <c r="PSG135" s="105"/>
      <c r="PSH135" s="105"/>
      <c r="PSI135" s="105"/>
      <c r="PSJ135" s="105"/>
      <c r="PSK135" s="105"/>
      <c r="PSL135" s="105"/>
      <c r="PSM135" s="105"/>
      <c r="PSN135" s="105"/>
      <c r="PSO135" s="105"/>
      <c r="PSP135" s="105"/>
      <c r="PSQ135" s="105"/>
      <c r="PSR135" s="105"/>
      <c r="PSS135" s="105"/>
      <c r="PST135" s="105"/>
      <c r="PSU135" s="105"/>
      <c r="PSV135" s="105"/>
      <c r="PSW135" s="105"/>
      <c r="PSX135" s="105"/>
      <c r="PSY135" s="105"/>
      <c r="PSZ135" s="105"/>
      <c r="PTA135" s="105"/>
      <c r="PTB135" s="105"/>
      <c r="PTC135" s="105"/>
      <c r="PTD135" s="105"/>
      <c r="PTE135" s="105"/>
      <c r="PTF135" s="105"/>
      <c r="PTG135" s="105"/>
      <c r="PTH135" s="105"/>
      <c r="PTI135" s="105"/>
      <c r="PTJ135" s="105"/>
      <c r="PTK135" s="105"/>
      <c r="PTL135" s="105"/>
      <c r="PTM135" s="105"/>
      <c r="PTN135" s="105"/>
      <c r="PTO135" s="105"/>
      <c r="PTP135" s="105"/>
      <c r="PTQ135" s="105"/>
      <c r="PTR135" s="105"/>
      <c r="PTS135" s="105"/>
      <c r="PTT135" s="105"/>
      <c r="PTU135" s="105"/>
      <c r="PTV135" s="105"/>
      <c r="PTW135" s="105"/>
      <c r="PTX135" s="105"/>
      <c r="PTY135" s="105"/>
      <c r="PTZ135" s="105"/>
      <c r="PUA135" s="105"/>
      <c r="PUB135" s="105"/>
      <c r="PUC135" s="105"/>
      <c r="PUD135" s="105"/>
      <c r="PUE135" s="105"/>
      <c r="PUF135" s="105"/>
      <c r="PUG135" s="105"/>
      <c r="PUH135" s="105"/>
      <c r="PUI135" s="105"/>
      <c r="PUJ135" s="105"/>
      <c r="PUK135" s="105"/>
      <c r="PUL135" s="105"/>
      <c r="PUM135" s="105"/>
      <c r="PUN135" s="105"/>
      <c r="PUO135" s="105"/>
      <c r="PUP135" s="105"/>
      <c r="PUQ135" s="105"/>
      <c r="PUR135" s="105"/>
      <c r="PUS135" s="105"/>
      <c r="PUT135" s="105"/>
      <c r="PUU135" s="105"/>
      <c r="PUV135" s="105"/>
      <c r="PUW135" s="105"/>
      <c r="PUX135" s="105"/>
      <c r="PUY135" s="105"/>
      <c r="PUZ135" s="105"/>
      <c r="PVA135" s="105"/>
      <c r="PVB135" s="105"/>
      <c r="PVC135" s="105"/>
      <c r="PVD135" s="105"/>
      <c r="PVE135" s="105"/>
      <c r="PVF135" s="105"/>
      <c r="PVG135" s="105"/>
      <c r="PVH135" s="105"/>
      <c r="PVI135" s="105"/>
      <c r="PVJ135" s="105"/>
      <c r="PVK135" s="105"/>
      <c r="PVL135" s="105"/>
      <c r="PVM135" s="105"/>
      <c r="PVN135" s="105"/>
      <c r="PVO135" s="105"/>
      <c r="PVP135" s="105"/>
      <c r="PVQ135" s="105"/>
      <c r="PVR135" s="105"/>
      <c r="PVS135" s="105"/>
      <c r="PVT135" s="105"/>
      <c r="PVU135" s="105"/>
      <c r="PVV135" s="105"/>
      <c r="PVW135" s="105"/>
      <c r="PVX135" s="105"/>
      <c r="PVY135" s="105"/>
      <c r="PVZ135" s="105"/>
      <c r="PWA135" s="105"/>
      <c r="PWB135" s="105"/>
      <c r="PWC135" s="105"/>
      <c r="PWD135" s="105"/>
      <c r="PWE135" s="105"/>
      <c r="PWF135" s="105"/>
      <c r="PWG135" s="105"/>
      <c r="PWH135" s="105"/>
      <c r="PWI135" s="105"/>
      <c r="PWJ135" s="105"/>
      <c r="PWK135" s="105"/>
      <c r="PWL135" s="105"/>
      <c r="PWM135" s="105"/>
      <c r="PWN135" s="105"/>
      <c r="PWO135" s="105"/>
      <c r="PWP135" s="105"/>
      <c r="PWQ135" s="105"/>
      <c r="PWR135" s="105"/>
      <c r="PWS135" s="105"/>
      <c r="PWT135" s="105"/>
      <c r="PWU135" s="105"/>
      <c r="PWV135" s="105"/>
      <c r="PWW135" s="105"/>
      <c r="PWX135" s="105"/>
      <c r="PWY135" s="105"/>
      <c r="PWZ135" s="105"/>
      <c r="PXA135" s="105"/>
      <c r="PXB135" s="105"/>
      <c r="PXC135" s="105"/>
      <c r="PXD135" s="105"/>
      <c r="PXE135" s="105"/>
      <c r="PXF135" s="105"/>
      <c r="PXG135" s="105"/>
      <c r="PXH135" s="105"/>
      <c r="PXI135" s="105"/>
      <c r="PXJ135" s="105"/>
      <c r="PXK135" s="105"/>
      <c r="PXL135" s="105"/>
      <c r="PXM135" s="105"/>
      <c r="PXN135" s="105"/>
      <c r="PXO135" s="105"/>
      <c r="PXP135" s="105"/>
      <c r="PXQ135" s="105"/>
      <c r="PXR135" s="105"/>
      <c r="PXS135" s="105"/>
      <c r="PXT135" s="105"/>
      <c r="PXU135" s="105"/>
      <c r="PXV135" s="105"/>
      <c r="PXW135" s="105"/>
      <c r="PXX135" s="105"/>
      <c r="PXY135" s="105"/>
      <c r="PXZ135" s="105"/>
      <c r="PYA135" s="105"/>
      <c r="PYB135" s="105"/>
      <c r="PYC135" s="105"/>
      <c r="PYD135" s="105"/>
      <c r="PYE135" s="105"/>
      <c r="PYF135" s="105"/>
      <c r="PYG135" s="105"/>
      <c r="PYH135" s="105"/>
      <c r="PYI135" s="105"/>
      <c r="PYJ135" s="105"/>
      <c r="PYK135" s="105"/>
      <c r="PYL135" s="105"/>
      <c r="PYM135" s="105"/>
      <c r="PYN135" s="105"/>
      <c r="PYO135" s="105"/>
      <c r="PYP135" s="105"/>
      <c r="PYQ135" s="105"/>
      <c r="PYR135" s="105"/>
      <c r="PYS135" s="105"/>
      <c r="PYT135" s="105"/>
      <c r="PYU135" s="105"/>
      <c r="PYV135" s="105"/>
      <c r="PYW135" s="105"/>
      <c r="PYX135" s="105"/>
      <c r="PYY135" s="105"/>
      <c r="PYZ135" s="105"/>
      <c r="PZA135" s="105"/>
      <c r="PZB135" s="105"/>
      <c r="PZC135" s="105"/>
      <c r="PZD135" s="105"/>
      <c r="PZE135" s="105"/>
      <c r="PZF135" s="105"/>
      <c r="PZG135" s="105"/>
      <c r="PZH135" s="105"/>
      <c r="PZI135" s="105"/>
      <c r="PZJ135" s="105"/>
      <c r="PZK135" s="105"/>
      <c r="PZL135" s="105"/>
      <c r="PZM135" s="105"/>
      <c r="PZN135" s="105"/>
      <c r="PZO135" s="105"/>
      <c r="PZP135" s="105"/>
      <c r="PZQ135" s="105"/>
      <c r="PZR135" s="105"/>
      <c r="PZS135" s="105"/>
      <c r="PZT135" s="105"/>
      <c r="PZU135" s="105"/>
      <c r="PZV135" s="105"/>
      <c r="PZW135" s="105"/>
      <c r="PZX135" s="105"/>
      <c r="PZY135" s="105"/>
      <c r="PZZ135" s="105"/>
      <c r="QAA135" s="105"/>
      <c r="QAB135" s="105"/>
      <c r="QAC135" s="105"/>
      <c r="QAD135" s="105"/>
      <c r="QAE135" s="105"/>
      <c r="QAF135" s="105"/>
      <c r="QAG135" s="105"/>
      <c r="QAH135" s="105"/>
      <c r="QAI135" s="105"/>
      <c r="QAJ135" s="105"/>
      <c r="QAK135" s="105"/>
      <c r="QAL135" s="105"/>
      <c r="QAM135" s="105"/>
      <c r="QAN135" s="105"/>
      <c r="QAO135" s="105"/>
      <c r="QAP135" s="105"/>
      <c r="QAQ135" s="105"/>
      <c r="QAR135" s="105"/>
      <c r="QAS135" s="105"/>
      <c r="QAT135" s="105"/>
      <c r="QAU135" s="105"/>
      <c r="QAV135" s="105"/>
      <c r="QAW135" s="105"/>
      <c r="QAX135" s="105"/>
      <c r="QAY135" s="105"/>
      <c r="QAZ135" s="105"/>
      <c r="QBA135" s="105"/>
      <c r="QBB135" s="105"/>
      <c r="QBC135" s="105"/>
      <c r="QBD135" s="105"/>
      <c r="QBE135" s="105"/>
      <c r="QBF135" s="105"/>
      <c r="QBG135" s="105"/>
      <c r="QBH135" s="105"/>
      <c r="QBI135" s="105"/>
      <c r="QBJ135" s="105"/>
      <c r="QBK135" s="105"/>
      <c r="QBL135" s="105"/>
      <c r="QBM135" s="105"/>
      <c r="QBN135" s="105"/>
      <c r="QBO135" s="105"/>
      <c r="QBP135" s="105"/>
      <c r="QBQ135" s="105"/>
      <c r="QBR135" s="105"/>
      <c r="QBS135" s="105"/>
      <c r="QBT135" s="105"/>
      <c r="QBU135" s="105"/>
      <c r="QBV135" s="105"/>
      <c r="QBW135" s="105"/>
      <c r="QBX135" s="105"/>
      <c r="QBY135" s="105"/>
      <c r="QBZ135" s="105"/>
      <c r="QCA135" s="105"/>
      <c r="QCB135" s="105"/>
      <c r="QCC135" s="105"/>
      <c r="QCD135" s="105"/>
      <c r="QCE135" s="105"/>
      <c r="QCF135" s="105"/>
      <c r="QCG135" s="105"/>
      <c r="QCH135" s="105"/>
      <c r="QCI135" s="105"/>
      <c r="QCJ135" s="105"/>
      <c r="QCK135" s="105"/>
      <c r="QCL135" s="105"/>
      <c r="QCM135" s="105"/>
      <c r="QCN135" s="105"/>
      <c r="QCO135" s="105"/>
      <c r="QCP135" s="105"/>
      <c r="QCQ135" s="105"/>
      <c r="QCR135" s="105"/>
      <c r="QCS135" s="105"/>
      <c r="QCT135" s="105"/>
      <c r="QCU135" s="105"/>
      <c r="QCV135" s="105"/>
      <c r="QCW135" s="105"/>
      <c r="QCX135" s="105"/>
      <c r="QCY135" s="105"/>
      <c r="QCZ135" s="105"/>
      <c r="QDA135" s="105"/>
      <c r="QDB135" s="105"/>
      <c r="QDC135" s="105"/>
      <c r="QDD135" s="105"/>
      <c r="QDE135" s="105"/>
      <c r="QDF135" s="105"/>
      <c r="QDG135" s="105"/>
      <c r="QDH135" s="105"/>
      <c r="QDI135" s="105"/>
      <c r="QDJ135" s="105"/>
      <c r="QDK135" s="105"/>
      <c r="QDL135" s="105"/>
      <c r="QDM135" s="105"/>
      <c r="QDN135" s="105"/>
      <c r="QDO135" s="105"/>
      <c r="QDP135" s="105"/>
      <c r="QDQ135" s="105"/>
      <c r="QDR135" s="105"/>
      <c r="QDS135" s="105"/>
      <c r="QDT135" s="105"/>
      <c r="QDU135" s="105"/>
      <c r="QDV135" s="105"/>
      <c r="QDW135" s="105"/>
      <c r="QDX135" s="105"/>
      <c r="QDY135" s="105"/>
      <c r="QDZ135" s="105"/>
      <c r="QEA135" s="105"/>
      <c r="QEB135" s="105"/>
      <c r="QEC135" s="105"/>
      <c r="QED135" s="105"/>
      <c r="QEE135" s="105"/>
      <c r="QEF135" s="105"/>
      <c r="QEG135" s="105"/>
      <c r="QEH135" s="105"/>
      <c r="QEI135" s="105"/>
      <c r="QEJ135" s="105"/>
      <c r="QEK135" s="105"/>
      <c r="QEL135" s="105"/>
      <c r="QEM135" s="105"/>
      <c r="QEN135" s="105"/>
      <c r="QEO135" s="105"/>
      <c r="QEP135" s="105"/>
      <c r="QEQ135" s="105"/>
      <c r="QER135" s="105"/>
      <c r="QES135" s="105"/>
      <c r="QET135" s="105"/>
      <c r="QEU135" s="105"/>
      <c r="QEV135" s="105"/>
      <c r="QEW135" s="105"/>
      <c r="QEX135" s="105"/>
      <c r="QEY135" s="105"/>
      <c r="QEZ135" s="105"/>
      <c r="QFA135" s="105"/>
      <c r="QFB135" s="105"/>
      <c r="QFC135" s="105"/>
      <c r="QFD135" s="105"/>
      <c r="QFE135" s="105"/>
      <c r="QFF135" s="105"/>
      <c r="QFG135" s="105"/>
      <c r="QFH135" s="105"/>
      <c r="QFI135" s="105"/>
      <c r="QFJ135" s="105"/>
      <c r="QFK135" s="105"/>
      <c r="QFL135" s="105"/>
      <c r="QFM135" s="105"/>
      <c r="QFN135" s="105"/>
      <c r="QFO135" s="105"/>
      <c r="QFP135" s="105"/>
      <c r="QFQ135" s="105"/>
      <c r="QFR135" s="105"/>
      <c r="QFS135" s="105"/>
      <c r="QFT135" s="105"/>
      <c r="QFU135" s="105"/>
      <c r="QFV135" s="105"/>
      <c r="QFW135" s="105"/>
      <c r="QFX135" s="105"/>
      <c r="QFY135" s="105"/>
      <c r="QFZ135" s="105"/>
      <c r="QGA135" s="105"/>
      <c r="QGB135" s="105"/>
      <c r="QGC135" s="105"/>
      <c r="QGD135" s="105"/>
      <c r="QGE135" s="105"/>
      <c r="QGF135" s="105"/>
      <c r="QGG135" s="105"/>
      <c r="QGH135" s="105"/>
      <c r="QGI135" s="105"/>
      <c r="QGJ135" s="105"/>
      <c r="QGK135" s="105"/>
      <c r="QGL135" s="105"/>
      <c r="QGM135" s="105"/>
      <c r="QGN135" s="105"/>
      <c r="QGO135" s="105"/>
      <c r="QGP135" s="105"/>
      <c r="QGQ135" s="105"/>
      <c r="QGR135" s="105"/>
      <c r="QGS135" s="105"/>
      <c r="QGT135" s="105"/>
      <c r="QGU135" s="105"/>
      <c r="QGV135" s="105"/>
      <c r="QGW135" s="105"/>
      <c r="QGX135" s="105"/>
      <c r="QGY135" s="105"/>
      <c r="QGZ135" s="105"/>
      <c r="QHA135" s="105"/>
      <c r="QHB135" s="105"/>
      <c r="QHC135" s="105"/>
      <c r="QHD135" s="105"/>
      <c r="QHE135" s="105"/>
      <c r="QHF135" s="105"/>
      <c r="QHG135" s="105"/>
      <c r="QHH135" s="105"/>
      <c r="QHI135" s="105"/>
      <c r="QHJ135" s="105"/>
      <c r="QHK135" s="105"/>
      <c r="QHL135" s="105"/>
      <c r="QHM135" s="105"/>
      <c r="QHN135" s="105"/>
      <c r="QHO135" s="105"/>
      <c r="QHP135" s="105"/>
      <c r="QHQ135" s="105"/>
      <c r="QHR135" s="105"/>
      <c r="QHS135" s="105"/>
      <c r="QHT135" s="105"/>
      <c r="QHU135" s="105"/>
      <c r="QHV135" s="105"/>
      <c r="QHW135" s="105"/>
      <c r="QHX135" s="105"/>
      <c r="QHY135" s="105"/>
      <c r="QHZ135" s="105"/>
      <c r="QIA135" s="105"/>
      <c r="QIB135" s="105"/>
      <c r="QIC135" s="105"/>
      <c r="QID135" s="105"/>
      <c r="QIE135" s="105"/>
      <c r="QIF135" s="105"/>
      <c r="QIG135" s="105"/>
      <c r="QIH135" s="105"/>
      <c r="QII135" s="105"/>
      <c r="QIJ135" s="105"/>
      <c r="QIK135" s="105"/>
      <c r="QIL135" s="105"/>
      <c r="QIM135" s="105"/>
      <c r="QIN135" s="105"/>
      <c r="QIO135" s="105"/>
      <c r="QIP135" s="105"/>
      <c r="QIQ135" s="105"/>
      <c r="QIR135" s="105"/>
      <c r="QIS135" s="105"/>
      <c r="QIT135" s="105"/>
      <c r="QIU135" s="105"/>
      <c r="QIV135" s="105"/>
      <c r="QIW135" s="105"/>
      <c r="QIX135" s="105"/>
      <c r="QIY135" s="105"/>
      <c r="QIZ135" s="105"/>
      <c r="QJA135" s="105"/>
      <c r="QJB135" s="105"/>
      <c r="QJC135" s="105"/>
      <c r="QJD135" s="105"/>
      <c r="QJE135" s="105"/>
      <c r="QJF135" s="105"/>
      <c r="QJG135" s="105"/>
      <c r="QJH135" s="105"/>
      <c r="QJI135" s="105"/>
      <c r="QJJ135" s="105"/>
      <c r="QJK135" s="105"/>
      <c r="QJL135" s="105"/>
      <c r="QJM135" s="105"/>
      <c r="QJN135" s="105"/>
      <c r="QJO135" s="105"/>
      <c r="QJP135" s="105"/>
      <c r="QJQ135" s="105"/>
      <c r="QJR135" s="105"/>
      <c r="QJS135" s="105"/>
      <c r="QJT135" s="105"/>
      <c r="QJU135" s="105"/>
      <c r="QJV135" s="105"/>
      <c r="QJW135" s="105"/>
      <c r="QJX135" s="105"/>
      <c r="QJY135" s="105"/>
      <c r="QJZ135" s="105"/>
      <c r="QKA135" s="105"/>
      <c r="QKB135" s="105"/>
      <c r="QKC135" s="105"/>
      <c r="QKD135" s="105"/>
      <c r="QKE135" s="105"/>
      <c r="QKF135" s="105"/>
      <c r="QKG135" s="105"/>
      <c r="QKH135" s="105"/>
      <c r="QKI135" s="105"/>
      <c r="QKJ135" s="105"/>
      <c r="QKK135" s="105"/>
      <c r="QKL135" s="105"/>
      <c r="QKM135" s="105"/>
      <c r="QKN135" s="105"/>
      <c r="QKO135" s="105"/>
      <c r="QKP135" s="105"/>
      <c r="QKQ135" s="105"/>
      <c r="QKR135" s="105"/>
      <c r="QKS135" s="105"/>
      <c r="QKT135" s="105"/>
      <c r="QKU135" s="105"/>
      <c r="QKV135" s="105"/>
      <c r="QKW135" s="105"/>
      <c r="QKX135" s="105"/>
      <c r="QKY135" s="105"/>
      <c r="QKZ135" s="105"/>
      <c r="QLA135" s="105"/>
      <c r="QLB135" s="105"/>
      <c r="QLC135" s="105"/>
      <c r="QLD135" s="105"/>
      <c r="QLE135" s="105"/>
      <c r="QLF135" s="105"/>
      <c r="QLG135" s="105"/>
      <c r="QLH135" s="105"/>
      <c r="QLI135" s="105"/>
      <c r="QLJ135" s="105"/>
      <c r="QLK135" s="105"/>
      <c r="QLL135" s="105"/>
      <c r="QLM135" s="105"/>
      <c r="QLN135" s="105"/>
      <c r="QLO135" s="105"/>
      <c r="QLP135" s="105"/>
      <c r="QLQ135" s="105"/>
      <c r="QLR135" s="105"/>
      <c r="QLS135" s="105"/>
      <c r="QLT135" s="105"/>
      <c r="QLU135" s="105"/>
      <c r="QLV135" s="105"/>
      <c r="QLW135" s="105"/>
      <c r="QLX135" s="105"/>
      <c r="QLY135" s="105"/>
      <c r="QLZ135" s="105"/>
      <c r="QMA135" s="105"/>
      <c r="QMB135" s="105"/>
      <c r="QMC135" s="105"/>
      <c r="QMD135" s="105"/>
      <c r="QME135" s="105"/>
      <c r="QMF135" s="105"/>
      <c r="QMG135" s="105"/>
      <c r="QMH135" s="105"/>
      <c r="QMI135" s="105"/>
      <c r="QMJ135" s="105"/>
      <c r="QMK135" s="105"/>
      <c r="QML135" s="105"/>
      <c r="QMM135" s="105"/>
      <c r="QMN135" s="105"/>
      <c r="QMO135" s="105"/>
      <c r="QMP135" s="105"/>
      <c r="QMQ135" s="105"/>
      <c r="QMR135" s="105"/>
      <c r="QMS135" s="105"/>
      <c r="QMT135" s="105"/>
      <c r="QMU135" s="105"/>
      <c r="QMV135" s="105"/>
      <c r="QMW135" s="105"/>
      <c r="QMX135" s="105"/>
      <c r="QMY135" s="105"/>
      <c r="QMZ135" s="105"/>
      <c r="QNA135" s="105"/>
      <c r="QNB135" s="105"/>
      <c r="QNC135" s="105"/>
      <c r="QND135" s="105"/>
      <c r="QNE135" s="105"/>
      <c r="QNF135" s="105"/>
      <c r="QNG135" s="105"/>
      <c r="QNH135" s="105"/>
      <c r="QNI135" s="105"/>
      <c r="QNJ135" s="105"/>
      <c r="QNK135" s="105"/>
      <c r="QNL135" s="105"/>
      <c r="QNM135" s="105"/>
      <c r="QNN135" s="105"/>
      <c r="QNO135" s="105"/>
      <c r="QNP135" s="105"/>
      <c r="QNQ135" s="105"/>
      <c r="QNR135" s="105"/>
      <c r="QNS135" s="105"/>
      <c r="QNT135" s="105"/>
      <c r="QNU135" s="105"/>
      <c r="QNV135" s="105"/>
      <c r="QNW135" s="105"/>
      <c r="QNX135" s="105"/>
      <c r="QNY135" s="105"/>
      <c r="QNZ135" s="105"/>
      <c r="QOA135" s="105"/>
      <c r="QOB135" s="105"/>
      <c r="QOC135" s="105"/>
      <c r="QOD135" s="105"/>
      <c r="QOE135" s="105"/>
      <c r="QOF135" s="105"/>
      <c r="QOG135" s="105"/>
      <c r="QOH135" s="105"/>
      <c r="QOI135" s="105"/>
      <c r="QOJ135" s="105"/>
      <c r="QOK135" s="105"/>
      <c r="QOL135" s="105"/>
      <c r="QOM135" s="105"/>
      <c r="QON135" s="105"/>
      <c r="QOO135" s="105"/>
      <c r="QOP135" s="105"/>
      <c r="QOQ135" s="105"/>
      <c r="QOR135" s="105"/>
      <c r="QOS135" s="105"/>
      <c r="QOT135" s="105"/>
      <c r="QOU135" s="105"/>
      <c r="QOV135" s="105"/>
      <c r="QOW135" s="105"/>
      <c r="QOX135" s="105"/>
      <c r="QOY135" s="105"/>
      <c r="QOZ135" s="105"/>
      <c r="QPA135" s="105"/>
      <c r="QPB135" s="105"/>
      <c r="QPC135" s="105"/>
      <c r="QPD135" s="105"/>
      <c r="QPE135" s="105"/>
      <c r="QPF135" s="105"/>
      <c r="QPG135" s="105"/>
      <c r="QPH135" s="105"/>
      <c r="QPI135" s="105"/>
      <c r="QPJ135" s="105"/>
      <c r="QPK135" s="105"/>
      <c r="QPL135" s="105"/>
      <c r="QPM135" s="105"/>
      <c r="QPN135" s="105"/>
      <c r="QPO135" s="105"/>
      <c r="QPP135" s="105"/>
      <c r="QPQ135" s="105"/>
      <c r="QPR135" s="105"/>
      <c r="QPS135" s="105"/>
      <c r="QPT135" s="105"/>
      <c r="QPU135" s="105"/>
      <c r="QPV135" s="105"/>
      <c r="QPW135" s="105"/>
      <c r="QPX135" s="105"/>
      <c r="QPY135" s="105"/>
      <c r="QPZ135" s="105"/>
      <c r="QQA135" s="105"/>
      <c r="QQB135" s="105"/>
      <c r="QQC135" s="105"/>
      <c r="QQD135" s="105"/>
      <c r="QQE135" s="105"/>
      <c r="QQF135" s="105"/>
      <c r="QQG135" s="105"/>
      <c r="QQH135" s="105"/>
      <c r="QQI135" s="105"/>
      <c r="QQJ135" s="105"/>
      <c r="QQK135" s="105"/>
      <c r="QQL135" s="105"/>
      <c r="QQM135" s="105"/>
      <c r="QQN135" s="105"/>
      <c r="QQO135" s="105"/>
      <c r="QQP135" s="105"/>
      <c r="QQQ135" s="105"/>
      <c r="QQR135" s="105"/>
      <c r="QQS135" s="105"/>
      <c r="QQT135" s="105"/>
      <c r="QQU135" s="105"/>
      <c r="QQV135" s="105"/>
      <c r="QQW135" s="105"/>
      <c r="QQX135" s="105"/>
      <c r="QQY135" s="105"/>
      <c r="QQZ135" s="105"/>
      <c r="QRA135" s="105"/>
      <c r="QRB135" s="105"/>
      <c r="QRC135" s="105"/>
      <c r="QRD135" s="105"/>
      <c r="QRE135" s="105"/>
      <c r="QRF135" s="105"/>
      <c r="QRG135" s="105"/>
      <c r="QRH135" s="105"/>
      <c r="QRI135" s="105"/>
      <c r="QRJ135" s="105"/>
      <c r="QRK135" s="105"/>
      <c r="QRL135" s="105"/>
      <c r="QRM135" s="105"/>
      <c r="QRN135" s="105"/>
      <c r="QRO135" s="105"/>
      <c r="QRP135" s="105"/>
      <c r="QRQ135" s="105"/>
      <c r="QRR135" s="105"/>
      <c r="QRS135" s="105"/>
      <c r="QRT135" s="105"/>
      <c r="QRU135" s="105"/>
      <c r="QRV135" s="105"/>
      <c r="QRW135" s="105"/>
      <c r="QRX135" s="105"/>
      <c r="QRY135" s="105"/>
      <c r="QRZ135" s="105"/>
      <c r="QSA135" s="105"/>
      <c r="QSB135" s="105"/>
      <c r="QSC135" s="105"/>
      <c r="QSD135" s="105"/>
      <c r="QSE135" s="105"/>
      <c r="QSF135" s="105"/>
      <c r="QSG135" s="105"/>
      <c r="QSH135" s="105"/>
      <c r="QSI135" s="105"/>
      <c r="QSJ135" s="105"/>
      <c r="QSK135" s="105"/>
      <c r="QSL135" s="105"/>
      <c r="QSM135" s="105"/>
      <c r="QSN135" s="105"/>
      <c r="QSO135" s="105"/>
      <c r="QSP135" s="105"/>
      <c r="QSQ135" s="105"/>
      <c r="QSR135" s="105"/>
      <c r="QSS135" s="105"/>
      <c r="QST135" s="105"/>
      <c r="QSU135" s="105"/>
      <c r="QSV135" s="105"/>
      <c r="QSW135" s="105"/>
      <c r="QSX135" s="105"/>
      <c r="QSY135" s="105"/>
      <c r="QSZ135" s="105"/>
      <c r="QTA135" s="105"/>
      <c r="QTB135" s="105"/>
      <c r="QTC135" s="105"/>
      <c r="QTD135" s="105"/>
      <c r="QTE135" s="105"/>
      <c r="QTF135" s="105"/>
      <c r="QTG135" s="105"/>
      <c r="QTH135" s="105"/>
      <c r="QTI135" s="105"/>
      <c r="QTJ135" s="105"/>
      <c r="QTK135" s="105"/>
      <c r="QTL135" s="105"/>
      <c r="QTM135" s="105"/>
      <c r="QTN135" s="105"/>
      <c r="QTO135" s="105"/>
      <c r="QTP135" s="105"/>
      <c r="QTQ135" s="105"/>
      <c r="QTR135" s="105"/>
      <c r="QTS135" s="105"/>
      <c r="QTT135" s="105"/>
      <c r="QTU135" s="105"/>
      <c r="QTV135" s="105"/>
      <c r="QTW135" s="105"/>
      <c r="QTX135" s="105"/>
      <c r="QTY135" s="105"/>
      <c r="QTZ135" s="105"/>
      <c r="QUA135" s="105"/>
      <c r="QUB135" s="105"/>
      <c r="QUC135" s="105"/>
      <c r="QUD135" s="105"/>
      <c r="QUE135" s="105"/>
      <c r="QUF135" s="105"/>
      <c r="QUG135" s="105"/>
      <c r="QUH135" s="105"/>
      <c r="QUI135" s="105"/>
      <c r="QUJ135" s="105"/>
      <c r="QUK135" s="105"/>
      <c r="QUL135" s="105"/>
      <c r="QUM135" s="105"/>
      <c r="QUN135" s="105"/>
      <c r="QUO135" s="105"/>
      <c r="QUP135" s="105"/>
      <c r="QUQ135" s="105"/>
      <c r="QUR135" s="105"/>
      <c r="QUS135" s="105"/>
      <c r="QUT135" s="105"/>
      <c r="QUU135" s="105"/>
      <c r="QUV135" s="105"/>
      <c r="QUW135" s="105"/>
      <c r="QUX135" s="105"/>
      <c r="QUY135" s="105"/>
      <c r="QUZ135" s="105"/>
      <c r="QVA135" s="105"/>
      <c r="QVB135" s="105"/>
      <c r="QVC135" s="105"/>
      <c r="QVD135" s="105"/>
      <c r="QVE135" s="105"/>
      <c r="QVF135" s="105"/>
      <c r="QVG135" s="105"/>
      <c r="QVH135" s="105"/>
      <c r="QVI135" s="105"/>
      <c r="QVJ135" s="105"/>
      <c r="QVK135" s="105"/>
      <c r="QVL135" s="105"/>
      <c r="QVM135" s="105"/>
      <c r="QVN135" s="105"/>
      <c r="QVO135" s="105"/>
      <c r="QVP135" s="105"/>
      <c r="QVQ135" s="105"/>
      <c r="QVR135" s="105"/>
      <c r="QVS135" s="105"/>
      <c r="QVT135" s="105"/>
      <c r="QVU135" s="105"/>
      <c r="QVV135" s="105"/>
      <c r="QVW135" s="105"/>
      <c r="QVX135" s="105"/>
      <c r="QVY135" s="105"/>
      <c r="QVZ135" s="105"/>
      <c r="QWA135" s="105"/>
      <c r="QWB135" s="105"/>
      <c r="QWC135" s="105"/>
      <c r="QWD135" s="105"/>
      <c r="QWE135" s="105"/>
      <c r="QWF135" s="105"/>
      <c r="QWG135" s="105"/>
      <c r="QWH135" s="105"/>
      <c r="QWI135" s="105"/>
      <c r="QWJ135" s="105"/>
      <c r="QWK135" s="105"/>
      <c r="QWL135" s="105"/>
      <c r="QWM135" s="105"/>
      <c r="QWN135" s="105"/>
      <c r="QWO135" s="105"/>
      <c r="QWP135" s="105"/>
      <c r="QWQ135" s="105"/>
      <c r="QWR135" s="105"/>
      <c r="QWS135" s="105"/>
      <c r="QWT135" s="105"/>
      <c r="QWU135" s="105"/>
      <c r="QWV135" s="105"/>
      <c r="QWW135" s="105"/>
      <c r="QWX135" s="105"/>
      <c r="QWY135" s="105"/>
      <c r="QWZ135" s="105"/>
      <c r="QXA135" s="105"/>
      <c r="QXB135" s="105"/>
      <c r="QXC135" s="105"/>
      <c r="QXD135" s="105"/>
      <c r="QXE135" s="105"/>
      <c r="QXF135" s="105"/>
      <c r="QXG135" s="105"/>
      <c r="QXH135" s="105"/>
      <c r="QXI135" s="105"/>
      <c r="QXJ135" s="105"/>
      <c r="QXK135" s="105"/>
      <c r="QXL135" s="105"/>
      <c r="QXM135" s="105"/>
      <c r="QXN135" s="105"/>
      <c r="QXO135" s="105"/>
      <c r="QXP135" s="105"/>
      <c r="QXQ135" s="105"/>
      <c r="QXR135" s="105"/>
      <c r="QXS135" s="105"/>
      <c r="QXT135" s="105"/>
      <c r="QXU135" s="105"/>
      <c r="QXV135" s="105"/>
      <c r="QXW135" s="105"/>
      <c r="QXX135" s="105"/>
      <c r="QXY135" s="105"/>
      <c r="QXZ135" s="105"/>
      <c r="QYA135" s="105"/>
      <c r="QYB135" s="105"/>
      <c r="QYC135" s="105"/>
      <c r="QYD135" s="105"/>
      <c r="QYE135" s="105"/>
      <c r="QYF135" s="105"/>
      <c r="QYG135" s="105"/>
      <c r="QYH135" s="105"/>
      <c r="QYI135" s="105"/>
      <c r="QYJ135" s="105"/>
      <c r="QYK135" s="105"/>
      <c r="QYL135" s="105"/>
      <c r="QYM135" s="105"/>
      <c r="QYN135" s="105"/>
      <c r="QYO135" s="105"/>
      <c r="QYP135" s="105"/>
      <c r="QYQ135" s="105"/>
      <c r="QYR135" s="105"/>
      <c r="QYS135" s="105"/>
      <c r="QYT135" s="105"/>
      <c r="QYU135" s="105"/>
      <c r="QYV135" s="105"/>
      <c r="QYW135" s="105"/>
      <c r="QYX135" s="105"/>
      <c r="QYY135" s="105"/>
      <c r="QYZ135" s="105"/>
      <c r="QZA135" s="105"/>
      <c r="QZB135" s="105"/>
      <c r="QZC135" s="105"/>
      <c r="QZD135" s="105"/>
      <c r="QZE135" s="105"/>
      <c r="QZF135" s="105"/>
      <c r="QZG135" s="105"/>
      <c r="QZH135" s="105"/>
      <c r="QZI135" s="105"/>
      <c r="QZJ135" s="105"/>
      <c r="QZK135" s="105"/>
      <c r="QZL135" s="105"/>
      <c r="QZM135" s="105"/>
      <c r="QZN135" s="105"/>
      <c r="QZO135" s="105"/>
      <c r="QZP135" s="105"/>
      <c r="QZQ135" s="105"/>
      <c r="QZR135" s="105"/>
      <c r="QZS135" s="105"/>
      <c r="QZT135" s="105"/>
      <c r="QZU135" s="105"/>
      <c r="QZV135" s="105"/>
      <c r="QZW135" s="105"/>
      <c r="QZX135" s="105"/>
      <c r="QZY135" s="105"/>
      <c r="QZZ135" s="105"/>
      <c r="RAA135" s="105"/>
      <c r="RAB135" s="105"/>
      <c r="RAC135" s="105"/>
      <c r="RAD135" s="105"/>
      <c r="RAE135" s="105"/>
      <c r="RAF135" s="105"/>
      <c r="RAG135" s="105"/>
      <c r="RAH135" s="105"/>
      <c r="RAI135" s="105"/>
      <c r="RAJ135" s="105"/>
      <c r="RAK135" s="105"/>
      <c r="RAL135" s="105"/>
      <c r="RAM135" s="105"/>
      <c r="RAN135" s="105"/>
      <c r="RAO135" s="105"/>
      <c r="RAP135" s="105"/>
      <c r="RAQ135" s="105"/>
      <c r="RAR135" s="105"/>
      <c r="RAS135" s="105"/>
      <c r="RAT135" s="105"/>
      <c r="RAU135" s="105"/>
      <c r="RAV135" s="105"/>
      <c r="RAW135" s="105"/>
      <c r="RAX135" s="105"/>
      <c r="RAY135" s="105"/>
      <c r="RAZ135" s="105"/>
      <c r="RBA135" s="105"/>
      <c r="RBB135" s="105"/>
      <c r="RBC135" s="105"/>
      <c r="RBD135" s="105"/>
      <c r="RBE135" s="105"/>
      <c r="RBF135" s="105"/>
      <c r="RBG135" s="105"/>
      <c r="RBH135" s="105"/>
      <c r="RBI135" s="105"/>
      <c r="RBJ135" s="105"/>
      <c r="RBK135" s="105"/>
      <c r="RBL135" s="105"/>
      <c r="RBM135" s="105"/>
      <c r="RBN135" s="105"/>
      <c r="RBO135" s="105"/>
      <c r="RBP135" s="105"/>
      <c r="RBQ135" s="105"/>
      <c r="RBR135" s="105"/>
      <c r="RBS135" s="105"/>
      <c r="RBT135" s="105"/>
      <c r="RBU135" s="105"/>
      <c r="RBV135" s="105"/>
      <c r="RBW135" s="105"/>
      <c r="RBX135" s="105"/>
      <c r="RBY135" s="105"/>
      <c r="RBZ135" s="105"/>
      <c r="RCA135" s="105"/>
      <c r="RCB135" s="105"/>
      <c r="RCC135" s="105"/>
      <c r="RCD135" s="105"/>
      <c r="RCE135" s="105"/>
      <c r="RCF135" s="105"/>
      <c r="RCG135" s="105"/>
      <c r="RCH135" s="105"/>
      <c r="RCI135" s="105"/>
      <c r="RCJ135" s="105"/>
      <c r="RCK135" s="105"/>
      <c r="RCL135" s="105"/>
      <c r="RCM135" s="105"/>
      <c r="RCN135" s="105"/>
      <c r="RCO135" s="105"/>
      <c r="RCP135" s="105"/>
      <c r="RCQ135" s="105"/>
      <c r="RCR135" s="105"/>
      <c r="RCS135" s="105"/>
      <c r="RCT135" s="105"/>
      <c r="RCU135" s="105"/>
      <c r="RCV135" s="105"/>
      <c r="RCW135" s="105"/>
      <c r="RCX135" s="105"/>
      <c r="RCY135" s="105"/>
      <c r="RCZ135" s="105"/>
      <c r="RDA135" s="105"/>
      <c r="RDB135" s="105"/>
      <c r="RDC135" s="105"/>
      <c r="RDD135" s="105"/>
      <c r="RDE135" s="105"/>
      <c r="RDF135" s="105"/>
      <c r="RDG135" s="105"/>
      <c r="RDH135" s="105"/>
      <c r="RDI135" s="105"/>
      <c r="RDJ135" s="105"/>
      <c r="RDK135" s="105"/>
      <c r="RDL135" s="105"/>
      <c r="RDM135" s="105"/>
      <c r="RDN135" s="105"/>
      <c r="RDO135" s="105"/>
      <c r="RDP135" s="105"/>
      <c r="RDQ135" s="105"/>
      <c r="RDR135" s="105"/>
      <c r="RDS135" s="105"/>
      <c r="RDT135" s="105"/>
      <c r="RDU135" s="105"/>
      <c r="RDV135" s="105"/>
      <c r="RDW135" s="105"/>
      <c r="RDX135" s="105"/>
      <c r="RDY135" s="105"/>
      <c r="RDZ135" s="105"/>
      <c r="REA135" s="105"/>
      <c r="REB135" s="105"/>
      <c r="REC135" s="105"/>
      <c r="RED135" s="105"/>
      <c r="REE135" s="105"/>
      <c r="REF135" s="105"/>
      <c r="REG135" s="105"/>
      <c r="REH135" s="105"/>
      <c r="REI135" s="105"/>
      <c r="REJ135" s="105"/>
      <c r="REK135" s="105"/>
      <c r="REL135" s="105"/>
      <c r="REM135" s="105"/>
      <c r="REN135" s="105"/>
      <c r="REO135" s="105"/>
      <c r="REP135" s="105"/>
      <c r="REQ135" s="105"/>
      <c r="RER135" s="105"/>
      <c r="RES135" s="105"/>
      <c r="RET135" s="105"/>
      <c r="REU135" s="105"/>
      <c r="REV135" s="105"/>
      <c r="REW135" s="105"/>
      <c r="REX135" s="105"/>
      <c r="REY135" s="105"/>
      <c r="REZ135" s="105"/>
      <c r="RFA135" s="105"/>
      <c r="RFB135" s="105"/>
      <c r="RFC135" s="105"/>
      <c r="RFD135" s="105"/>
      <c r="RFE135" s="105"/>
      <c r="RFF135" s="105"/>
      <c r="RFG135" s="105"/>
      <c r="RFH135" s="105"/>
      <c r="RFI135" s="105"/>
      <c r="RFJ135" s="105"/>
      <c r="RFK135" s="105"/>
      <c r="RFL135" s="105"/>
      <c r="RFM135" s="105"/>
      <c r="RFN135" s="105"/>
      <c r="RFO135" s="105"/>
      <c r="RFP135" s="105"/>
      <c r="RFQ135" s="105"/>
      <c r="RFR135" s="105"/>
      <c r="RFS135" s="105"/>
      <c r="RFT135" s="105"/>
      <c r="RFU135" s="105"/>
      <c r="RFV135" s="105"/>
      <c r="RFW135" s="105"/>
      <c r="RFX135" s="105"/>
      <c r="RFY135" s="105"/>
      <c r="RFZ135" s="105"/>
      <c r="RGA135" s="105"/>
      <c r="RGB135" s="105"/>
      <c r="RGC135" s="105"/>
      <c r="RGD135" s="105"/>
      <c r="RGE135" s="105"/>
      <c r="RGF135" s="105"/>
      <c r="RGG135" s="105"/>
      <c r="RGH135" s="105"/>
      <c r="RGI135" s="105"/>
      <c r="RGJ135" s="105"/>
      <c r="RGK135" s="105"/>
      <c r="RGL135" s="105"/>
      <c r="RGM135" s="105"/>
      <c r="RGN135" s="105"/>
      <c r="RGO135" s="105"/>
      <c r="RGP135" s="105"/>
      <c r="RGQ135" s="105"/>
      <c r="RGR135" s="105"/>
      <c r="RGS135" s="105"/>
      <c r="RGT135" s="105"/>
      <c r="RGU135" s="105"/>
      <c r="RGV135" s="105"/>
      <c r="RGW135" s="105"/>
      <c r="RGX135" s="105"/>
      <c r="RGY135" s="105"/>
      <c r="RGZ135" s="105"/>
      <c r="RHA135" s="105"/>
      <c r="RHB135" s="105"/>
      <c r="RHC135" s="105"/>
      <c r="RHD135" s="105"/>
      <c r="RHE135" s="105"/>
      <c r="RHF135" s="105"/>
      <c r="RHG135" s="105"/>
      <c r="RHH135" s="105"/>
      <c r="RHI135" s="105"/>
      <c r="RHJ135" s="105"/>
      <c r="RHK135" s="105"/>
      <c r="RHL135" s="105"/>
      <c r="RHM135" s="105"/>
      <c r="RHN135" s="105"/>
      <c r="RHO135" s="105"/>
      <c r="RHP135" s="105"/>
      <c r="RHQ135" s="105"/>
      <c r="RHR135" s="105"/>
      <c r="RHS135" s="105"/>
      <c r="RHT135" s="105"/>
      <c r="RHU135" s="105"/>
      <c r="RHV135" s="105"/>
      <c r="RHW135" s="105"/>
      <c r="RHX135" s="105"/>
      <c r="RHY135" s="105"/>
      <c r="RHZ135" s="105"/>
      <c r="RIA135" s="105"/>
      <c r="RIB135" s="105"/>
      <c r="RIC135" s="105"/>
      <c r="RID135" s="105"/>
      <c r="RIE135" s="105"/>
      <c r="RIF135" s="105"/>
      <c r="RIG135" s="105"/>
      <c r="RIH135" s="105"/>
      <c r="RII135" s="105"/>
      <c r="RIJ135" s="105"/>
      <c r="RIK135" s="105"/>
      <c r="RIL135" s="105"/>
      <c r="RIM135" s="105"/>
      <c r="RIN135" s="105"/>
      <c r="RIO135" s="105"/>
      <c r="RIP135" s="105"/>
      <c r="RIQ135" s="105"/>
      <c r="RIR135" s="105"/>
      <c r="RIS135" s="105"/>
      <c r="RIT135" s="105"/>
      <c r="RIU135" s="105"/>
      <c r="RIV135" s="105"/>
      <c r="RIW135" s="105"/>
      <c r="RIX135" s="105"/>
      <c r="RIY135" s="105"/>
      <c r="RIZ135" s="105"/>
      <c r="RJA135" s="105"/>
      <c r="RJB135" s="105"/>
      <c r="RJC135" s="105"/>
      <c r="RJD135" s="105"/>
      <c r="RJE135" s="105"/>
      <c r="RJF135" s="105"/>
      <c r="RJG135" s="105"/>
      <c r="RJH135" s="105"/>
      <c r="RJI135" s="105"/>
      <c r="RJJ135" s="105"/>
      <c r="RJK135" s="105"/>
      <c r="RJL135" s="105"/>
      <c r="RJM135" s="105"/>
      <c r="RJN135" s="105"/>
      <c r="RJO135" s="105"/>
      <c r="RJP135" s="105"/>
      <c r="RJQ135" s="105"/>
      <c r="RJR135" s="105"/>
      <c r="RJS135" s="105"/>
      <c r="RJT135" s="105"/>
      <c r="RJU135" s="105"/>
      <c r="RJV135" s="105"/>
      <c r="RJW135" s="105"/>
      <c r="RJX135" s="105"/>
      <c r="RJY135" s="105"/>
      <c r="RJZ135" s="105"/>
      <c r="RKA135" s="105"/>
      <c r="RKB135" s="105"/>
      <c r="RKC135" s="105"/>
      <c r="RKD135" s="105"/>
      <c r="RKE135" s="105"/>
      <c r="RKF135" s="105"/>
      <c r="RKG135" s="105"/>
      <c r="RKH135" s="105"/>
      <c r="RKI135" s="105"/>
      <c r="RKJ135" s="105"/>
      <c r="RKK135" s="105"/>
      <c r="RKL135" s="105"/>
      <c r="RKM135" s="105"/>
      <c r="RKN135" s="105"/>
      <c r="RKO135" s="105"/>
      <c r="RKP135" s="105"/>
      <c r="RKQ135" s="105"/>
      <c r="RKR135" s="105"/>
      <c r="RKS135" s="105"/>
      <c r="RKT135" s="105"/>
      <c r="RKU135" s="105"/>
      <c r="RKV135" s="105"/>
      <c r="RKW135" s="105"/>
      <c r="RKX135" s="105"/>
      <c r="RKY135" s="105"/>
      <c r="RKZ135" s="105"/>
      <c r="RLA135" s="105"/>
      <c r="RLB135" s="105"/>
      <c r="RLC135" s="105"/>
      <c r="RLD135" s="105"/>
      <c r="RLE135" s="105"/>
      <c r="RLF135" s="105"/>
      <c r="RLG135" s="105"/>
      <c r="RLH135" s="105"/>
      <c r="RLI135" s="105"/>
      <c r="RLJ135" s="105"/>
      <c r="RLK135" s="105"/>
      <c r="RLL135" s="105"/>
      <c r="RLM135" s="105"/>
      <c r="RLN135" s="105"/>
      <c r="RLO135" s="105"/>
      <c r="RLP135" s="105"/>
      <c r="RLQ135" s="105"/>
      <c r="RLR135" s="105"/>
      <c r="RLS135" s="105"/>
      <c r="RLT135" s="105"/>
      <c r="RLU135" s="105"/>
      <c r="RLV135" s="105"/>
      <c r="RLW135" s="105"/>
      <c r="RLX135" s="105"/>
      <c r="RLY135" s="105"/>
      <c r="RLZ135" s="105"/>
      <c r="RMA135" s="105"/>
      <c r="RMB135" s="105"/>
      <c r="RMC135" s="105"/>
      <c r="RMD135" s="105"/>
      <c r="RME135" s="105"/>
      <c r="RMF135" s="105"/>
      <c r="RMG135" s="105"/>
      <c r="RMH135" s="105"/>
      <c r="RMI135" s="105"/>
      <c r="RMJ135" s="105"/>
      <c r="RMK135" s="105"/>
      <c r="RML135" s="105"/>
      <c r="RMM135" s="105"/>
      <c r="RMN135" s="105"/>
      <c r="RMO135" s="105"/>
      <c r="RMP135" s="105"/>
      <c r="RMQ135" s="105"/>
      <c r="RMR135" s="105"/>
      <c r="RMS135" s="105"/>
      <c r="RMT135" s="105"/>
      <c r="RMU135" s="105"/>
      <c r="RMV135" s="105"/>
      <c r="RMW135" s="105"/>
      <c r="RMX135" s="105"/>
      <c r="RMY135" s="105"/>
      <c r="RMZ135" s="105"/>
      <c r="RNA135" s="105"/>
      <c r="RNB135" s="105"/>
      <c r="RNC135" s="105"/>
      <c r="RND135" s="105"/>
      <c r="RNE135" s="105"/>
      <c r="RNF135" s="105"/>
      <c r="RNG135" s="105"/>
      <c r="RNH135" s="105"/>
      <c r="RNI135" s="105"/>
      <c r="RNJ135" s="105"/>
      <c r="RNK135" s="105"/>
      <c r="RNL135" s="105"/>
      <c r="RNM135" s="105"/>
      <c r="RNN135" s="105"/>
      <c r="RNO135" s="105"/>
      <c r="RNP135" s="105"/>
      <c r="RNQ135" s="105"/>
      <c r="RNR135" s="105"/>
      <c r="RNS135" s="105"/>
      <c r="RNT135" s="105"/>
      <c r="RNU135" s="105"/>
      <c r="RNV135" s="105"/>
      <c r="RNW135" s="105"/>
      <c r="RNX135" s="105"/>
      <c r="RNY135" s="105"/>
      <c r="RNZ135" s="105"/>
      <c r="ROA135" s="105"/>
      <c r="ROB135" s="105"/>
      <c r="ROC135" s="105"/>
      <c r="ROD135" s="105"/>
      <c r="ROE135" s="105"/>
      <c r="ROF135" s="105"/>
      <c r="ROG135" s="105"/>
      <c r="ROH135" s="105"/>
      <c r="ROI135" s="105"/>
      <c r="ROJ135" s="105"/>
      <c r="ROK135" s="105"/>
      <c r="ROL135" s="105"/>
      <c r="ROM135" s="105"/>
      <c r="RON135" s="105"/>
      <c r="ROO135" s="105"/>
      <c r="ROP135" s="105"/>
      <c r="ROQ135" s="105"/>
      <c r="ROR135" s="105"/>
      <c r="ROS135" s="105"/>
      <c r="ROT135" s="105"/>
      <c r="ROU135" s="105"/>
      <c r="ROV135" s="105"/>
      <c r="ROW135" s="105"/>
      <c r="ROX135" s="105"/>
      <c r="ROY135" s="105"/>
      <c r="ROZ135" s="105"/>
      <c r="RPA135" s="105"/>
      <c r="RPB135" s="105"/>
      <c r="RPC135" s="105"/>
      <c r="RPD135" s="105"/>
      <c r="RPE135" s="105"/>
      <c r="RPF135" s="105"/>
      <c r="RPG135" s="105"/>
      <c r="RPH135" s="105"/>
      <c r="RPI135" s="105"/>
      <c r="RPJ135" s="105"/>
      <c r="RPK135" s="105"/>
      <c r="RPL135" s="105"/>
      <c r="RPM135" s="105"/>
      <c r="RPN135" s="105"/>
      <c r="RPO135" s="105"/>
      <c r="RPP135" s="105"/>
      <c r="RPQ135" s="105"/>
      <c r="RPR135" s="105"/>
      <c r="RPS135" s="105"/>
      <c r="RPT135" s="105"/>
      <c r="RPU135" s="105"/>
      <c r="RPV135" s="105"/>
      <c r="RPW135" s="105"/>
      <c r="RPX135" s="105"/>
      <c r="RPY135" s="105"/>
      <c r="RPZ135" s="105"/>
      <c r="RQA135" s="105"/>
      <c r="RQB135" s="105"/>
      <c r="RQC135" s="105"/>
      <c r="RQD135" s="105"/>
      <c r="RQE135" s="105"/>
      <c r="RQF135" s="105"/>
      <c r="RQG135" s="105"/>
      <c r="RQH135" s="105"/>
      <c r="RQI135" s="105"/>
      <c r="RQJ135" s="105"/>
      <c r="RQK135" s="105"/>
      <c r="RQL135" s="105"/>
      <c r="RQM135" s="105"/>
      <c r="RQN135" s="105"/>
      <c r="RQO135" s="105"/>
      <c r="RQP135" s="105"/>
      <c r="RQQ135" s="105"/>
      <c r="RQR135" s="105"/>
      <c r="RQS135" s="105"/>
      <c r="RQT135" s="105"/>
      <c r="RQU135" s="105"/>
      <c r="RQV135" s="105"/>
      <c r="RQW135" s="105"/>
      <c r="RQX135" s="105"/>
      <c r="RQY135" s="105"/>
      <c r="RQZ135" s="105"/>
      <c r="RRA135" s="105"/>
      <c r="RRB135" s="105"/>
      <c r="RRC135" s="105"/>
      <c r="RRD135" s="105"/>
      <c r="RRE135" s="105"/>
      <c r="RRF135" s="105"/>
      <c r="RRG135" s="105"/>
      <c r="RRH135" s="105"/>
      <c r="RRI135" s="105"/>
      <c r="RRJ135" s="105"/>
      <c r="RRK135" s="105"/>
      <c r="RRL135" s="105"/>
      <c r="RRM135" s="105"/>
      <c r="RRN135" s="105"/>
      <c r="RRO135" s="105"/>
      <c r="RRP135" s="105"/>
      <c r="RRQ135" s="105"/>
      <c r="RRR135" s="105"/>
      <c r="RRS135" s="105"/>
      <c r="RRT135" s="105"/>
      <c r="RRU135" s="105"/>
      <c r="RRV135" s="105"/>
      <c r="RRW135" s="105"/>
      <c r="RRX135" s="105"/>
      <c r="RRY135" s="105"/>
      <c r="RRZ135" s="105"/>
      <c r="RSA135" s="105"/>
      <c r="RSB135" s="105"/>
      <c r="RSC135" s="105"/>
      <c r="RSD135" s="105"/>
      <c r="RSE135" s="105"/>
      <c r="RSF135" s="105"/>
      <c r="RSG135" s="105"/>
      <c r="RSH135" s="105"/>
      <c r="RSI135" s="105"/>
      <c r="RSJ135" s="105"/>
      <c r="RSK135" s="105"/>
      <c r="RSL135" s="105"/>
      <c r="RSM135" s="105"/>
      <c r="RSN135" s="105"/>
      <c r="RSO135" s="105"/>
      <c r="RSP135" s="105"/>
      <c r="RSQ135" s="105"/>
      <c r="RSR135" s="105"/>
      <c r="RSS135" s="105"/>
      <c r="RST135" s="105"/>
      <c r="RSU135" s="105"/>
      <c r="RSV135" s="105"/>
      <c r="RSW135" s="105"/>
      <c r="RSX135" s="105"/>
      <c r="RSY135" s="105"/>
      <c r="RSZ135" s="105"/>
      <c r="RTA135" s="105"/>
      <c r="RTB135" s="105"/>
      <c r="RTC135" s="105"/>
      <c r="RTD135" s="105"/>
      <c r="RTE135" s="105"/>
      <c r="RTF135" s="105"/>
      <c r="RTG135" s="105"/>
      <c r="RTH135" s="105"/>
      <c r="RTI135" s="105"/>
      <c r="RTJ135" s="105"/>
      <c r="RTK135" s="105"/>
      <c r="RTL135" s="105"/>
      <c r="RTM135" s="105"/>
      <c r="RTN135" s="105"/>
      <c r="RTO135" s="105"/>
      <c r="RTP135" s="105"/>
      <c r="RTQ135" s="105"/>
      <c r="RTR135" s="105"/>
      <c r="RTS135" s="105"/>
      <c r="RTT135" s="105"/>
      <c r="RTU135" s="105"/>
      <c r="RTV135" s="105"/>
      <c r="RTW135" s="105"/>
      <c r="RTX135" s="105"/>
      <c r="RTY135" s="105"/>
      <c r="RTZ135" s="105"/>
      <c r="RUA135" s="105"/>
      <c r="RUB135" s="105"/>
      <c r="RUC135" s="105"/>
      <c r="RUD135" s="105"/>
      <c r="RUE135" s="105"/>
      <c r="RUF135" s="105"/>
      <c r="RUG135" s="105"/>
      <c r="RUH135" s="105"/>
      <c r="RUI135" s="105"/>
      <c r="RUJ135" s="105"/>
      <c r="RUK135" s="105"/>
      <c r="RUL135" s="105"/>
      <c r="RUM135" s="105"/>
      <c r="RUN135" s="105"/>
      <c r="RUO135" s="105"/>
      <c r="RUP135" s="105"/>
      <c r="RUQ135" s="105"/>
      <c r="RUR135" s="105"/>
      <c r="RUS135" s="105"/>
      <c r="RUT135" s="105"/>
      <c r="RUU135" s="105"/>
      <c r="RUV135" s="105"/>
      <c r="RUW135" s="105"/>
      <c r="RUX135" s="105"/>
      <c r="RUY135" s="105"/>
      <c r="RUZ135" s="105"/>
      <c r="RVA135" s="105"/>
      <c r="RVB135" s="105"/>
      <c r="RVC135" s="105"/>
      <c r="RVD135" s="105"/>
      <c r="RVE135" s="105"/>
      <c r="RVF135" s="105"/>
      <c r="RVG135" s="105"/>
      <c r="RVH135" s="105"/>
      <c r="RVI135" s="105"/>
      <c r="RVJ135" s="105"/>
      <c r="RVK135" s="105"/>
      <c r="RVL135" s="105"/>
      <c r="RVM135" s="105"/>
      <c r="RVN135" s="105"/>
      <c r="RVO135" s="105"/>
      <c r="RVP135" s="105"/>
      <c r="RVQ135" s="105"/>
      <c r="RVR135" s="105"/>
      <c r="RVS135" s="105"/>
      <c r="RVT135" s="105"/>
      <c r="RVU135" s="105"/>
      <c r="RVV135" s="105"/>
      <c r="RVW135" s="105"/>
      <c r="RVX135" s="105"/>
      <c r="RVY135" s="105"/>
      <c r="RVZ135" s="105"/>
      <c r="RWA135" s="105"/>
      <c r="RWB135" s="105"/>
      <c r="RWC135" s="105"/>
      <c r="RWD135" s="105"/>
      <c r="RWE135" s="105"/>
      <c r="RWF135" s="105"/>
      <c r="RWG135" s="105"/>
      <c r="RWH135" s="105"/>
      <c r="RWI135" s="105"/>
      <c r="RWJ135" s="105"/>
      <c r="RWK135" s="105"/>
      <c r="RWL135" s="105"/>
      <c r="RWM135" s="105"/>
      <c r="RWN135" s="105"/>
      <c r="RWO135" s="105"/>
      <c r="RWP135" s="105"/>
      <c r="RWQ135" s="105"/>
      <c r="RWR135" s="105"/>
      <c r="RWS135" s="105"/>
      <c r="RWT135" s="105"/>
      <c r="RWU135" s="105"/>
      <c r="RWV135" s="105"/>
      <c r="RWW135" s="105"/>
      <c r="RWX135" s="105"/>
      <c r="RWY135" s="105"/>
      <c r="RWZ135" s="105"/>
      <c r="RXA135" s="105"/>
      <c r="RXB135" s="105"/>
      <c r="RXC135" s="105"/>
      <c r="RXD135" s="105"/>
      <c r="RXE135" s="105"/>
      <c r="RXF135" s="105"/>
      <c r="RXG135" s="105"/>
      <c r="RXH135" s="105"/>
      <c r="RXI135" s="105"/>
      <c r="RXJ135" s="105"/>
      <c r="RXK135" s="105"/>
      <c r="RXL135" s="105"/>
      <c r="RXM135" s="105"/>
      <c r="RXN135" s="105"/>
      <c r="RXO135" s="105"/>
      <c r="RXP135" s="105"/>
      <c r="RXQ135" s="105"/>
      <c r="RXR135" s="105"/>
      <c r="RXS135" s="105"/>
      <c r="RXT135" s="105"/>
      <c r="RXU135" s="105"/>
      <c r="RXV135" s="105"/>
      <c r="RXW135" s="105"/>
      <c r="RXX135" s="105"/>
      <c r="RXY135" s="105"/>
      <c r="RXZ135" s="105"/>
      <c r="RYA135" s="105"/>
      <c r="RYB135" s="105"/>
      <c r="RYC135" s="105"/>
      <c r="RYD135" s="105"/>
      <c r="RYE135" s="105"/>
      <c r="RYF135" s="105"/>
      <c r="RYG135" s="105"/>
      <c r="RYH135" s="105"/>
      <c r="RYI135" s="105"/>
      <c r="RYJ135" s="105"/>
      <c r="RYK135" s="105"/>
      <c r="RYL135" s="105"/>
      <c r="RYM135" s="105"/>
      <c r="RYN135" s="105"/>
      <c r="RYO135" s="105"/>
      <c r="RYP135" s="105"/>
      <c r="RYQ135" s="105"/>
      <c r="RYR135" s="105"/>
      <c r="RYS135" s="105"/>
      <c r="RYT135" s="105"/>
      <c r="RYU135" s="105"/>
      <c r="RYV135" s="105"/>
      <c r="RYW135" s="105"/>
      <c r="RYX135" s="105"/>
      <c r="RYY135" s="105"/>
      <c r="RYZ135" s="105"/>
      <c r="RZA135" s="105"/>
      <c r="RZB135" s="105"/>
      <c r="RZC135" s="105"/>
      <c r="RZD135" s="105"/>
      <c r="RZE135" s="105"/>
      <c r="RZF135" s="105"/>
      <c r="RZG135" s="105"/>
      <c r="RZH135" s="105"/>
      <c r="RZI135" s="105"/>
      <c r="RZJ135" s="105"/>
      <c r="RZK135" s="105"/>
      <c r="RZL135" s="105"/>
      <c r="RZM135" s="105"/>
      <c r="RZN135" s="105"/>
      <c r="RZO135" s="105"/>
      <c r="RZP135" s="105"/>
      <c r="RZQ135" s="105"/>
      <c r="RZR135" s="105"/>
      <c r="RZS135" s="105"/>
      <c r="RZT135" s="105"/>
      <c r="RZU135" s="105"/>
      <c r="RZV135" s="105"/>
      <c r="RZW135" s="105"/>
      <c r="RZX135" s="105"/>
      <c r="RZY135" s="105"/>
      <c r="RZZ135" s="105"/>
      <c r="SAA135" s="105"/>
      <c r="SAB135" s="105"/>
      <c r="SAC135" s="105"/>
      <c r="SAD135" s="105"/>
      <c r="SAE135" s="105"/>
      <c r="SAF135" s="105"/>
      <c r="SAG135" s="105"/>
      <c r="SAH135" s="105"/>
      <c r="SAI135" s="105"/>
      <c r="SAJ135" s="105"/>
      <c r="SAK135" s="105"/>
      <c r="SAL135" s="105"/>
      <c r="SAM135" s="105"/>
      <c r="SAN135" s="105"/>
      <c r="SAO135" s="105"/>
      <c r="SAP135" s="105"/>
      <c r="SAQ135" s="105"/>
      <c r="SAR135" s="105"/>
      <c r="SAS135" s="105"/>
      <c r="SAT135" s="105"/>
      <c r="SAU135" s="105"/>
      <c r="SAV135" s="105"/>
      <c r="SAW135" s="105"/>
      <c r="SAX135" s="105"/>
      <c r="SAY135" s="105"/>
      <c r="SAZ135" s="105"/>
      <c r="SBA135" s="105"/>
      <c r="SBB135" s="105"/>
      <c r="SBC135" s="105"/>
      <c r="SBD135" s="105"/>
      <c r="SBE135" s="105"/>
      <c r="SBF135" s="105"/>
      <c r="SBG135" s="105"/>
      <c r="SBH135" s="105"/>
      <c r="SBI135" s="105"/>
      <c r="SBJ135" s="105"/>
      <c r="SBK135" s="105"/>
      <c r="SBL135" s="105"/>
      <c r="SBM135" s="105"/>
      <c r="SBN135" s="105"/>
      <c r="SBO135" s="105"/>
      <c r="SBP135" s="105"/>
      <c r="SBQ135" s="105"/>
      <c r="SBR135" s="105"/>
      <c r="SBS135" s="105"/>
      <c r="SBT135" s="105"/>
      <c r="SBU135" s="105"/>
      <c r="SBV135" s="105"/>
      <c r="SBW135" s="105"/>
      <c r="SBX135" s="105"/>
      <c r="SBY135" s="105"/>
      <c r="SBZ135" s="105"/>
      <c r="SCA135" s="105"/>
      <c r="SCB135" s="105"/>
      <c r="SCC135" s="105"/>
      <c r="SCD135" s="105"/>
      <c r="SCE135" s="105"/>
      <c r="SCF135" s="105"/>
      <c r="SCG135" s="105"/>
      <c r="SCH135" s="105"/>
      <c r="SCI135" s="105"/>
      <c r="SCJ135" s="105"/>
      <c r="SCK135" s="105"/>
      <c r="SCL135" s="105"/>
      <c r="SCM135" s="105"/>
      <c r="SCN135" s="105"/>
      <c r="SCO135" s="105"/>
      <c r="SCP135" s="105"/>
      <c r="SCQ135" s="105"/>
      <c r="SCR135" s="105"/>
      <c r="SCS135" s="105"/>
      <c r="SCT135" s="105"/>
      <c r="SCU135" s="105"/>
      <c r="SCV135" s="105"/>
      <c r="SCW135" s="105"/>
      <c r="SCX135" s="105"/>
      <c r="SCY135" s="105"/>
      <c r="SCZ135" s="105"/>
      <c r="SDA135" s="105"/>
      <c r="SDB135" s="105"/>
      <c r="SDC135" s="105"/>
      <c r="SDD135" s="105"/>
      <c r="SDE135" s="105"/>
      <c r="SDF135" s="105"/>
      <c r="SDG135" s="105"/>
      <c r="SDH135" s="105"/>
      <c r="SDI135" s="105"/>
      <c r="SDJ135" s="105"/>
      <c r="SDK135" s="105"/>
      <c r="SDL135" s="105"/>
      <c r="SDM135" s="105"/>
      <c r="SDN135" s="105"/>
      <c r="SDO135" s="105"/>
      <c r="SDP135" s="105"/>
      <c r="SDQ135" s="105"/>
      <c r="SDR135" s="105"/>
      <c r="SDS135" s="105"/>
      <c r="SDT135" s="105"/>
      <c r="SDU135" s="105"/>
      <c r="SDV135" s="105"/>
      <c r="SDW135" s="105"/>
      <c r="SDX135" s="105"/>
      <c r="SDY135" s="105"/>
      <c r="SDZ135" s="105"/>
      <c r="SEA135" s="105"/>
      <c r="SEB135" s="105"/>
      <c r="SEC135" s="105"/>
      <c r="SED135" s="105"/>
      <c r="SEE135" s="105"/>
      <c r="SEF135" s="105"/>
      <c r="SEG135" s="105"/>
      <c r="SEH135" s="105"/>
      <c r="SEI135" s="105"/>
      <c r="SEJ135" s="105"/>
      <c r="SEK135" s="105"/>
      <c r="SEL135" s="105"/>
      <c r="SEM135" s="105"/>
      <c r="SEN135" s="105"/>
      <c r="SEO135" s="105"/>
      <c r="SEP135" s="105"/>
      <c r="SEQ135" s="105"/>
      <c r="SER135" s="105"/>
      <c r="SES135" s="105"/>
      <c r="SET135" s="105"/>
      <c r="SEU135" s="105"/>
      <c r="SEV135" s="105"/>
      <c r="SEW135" s="105"/>
      <c r="SEX135" s="105"/>
      <c r="SEY135" s="105"/>
      <c r="SEZ135" s="105"/>
      <c r="SFA135" s="105"/>
      <c r="SFB135" s="105"/>
      <c r="SFC135" s="105"/>
      <c r="SFD135" s="105"/>
      <c r="SFE135" s="105"/>
      <c r="SFF135" s="105"/>
      <c r="SFG135" s="105"/>
      <c r="SFH135" s="105"/>
      <c r="SFI135" s="105"/>
      <c r="SFJ135" s="105"/>
      <c r="SFK135" s="105"/>
      <c r="SFL135" s="105"/>
      <c r="SFM135" s="105"/>
      <c r="SFN135" s="105"/>
      <c r="SFO135" s="105"/>
      <c r="SFP135" s="105"/>
      <c r="SFQ135" s="105"/>
      <c r="SFR135" s="105"/>
      <c r="SFS135" s="105"/>
      <c r="SFT135" s="105"/>
      <c r="SFU135" s="105"/>
      <c r="SFV135" s="105"/>
      <c r="SFW135" s="105"/>
      <c r="SFX135" s="105"/>
      <c r="SFY135" s="105"/>
      <c r="SFZ135" s="105"/>
      <c r="SGA135" s="105"/>
      <c r="SGB135" s="105"/>
      <c r="SGC135" s="105"/>
      <c r="SGD135" s="105"/>
      <c r="SGE135" s="105"/>
      <c r="SGF135" s="105"/>
      <c r="SGG135" s="105"/>
      <c r="SGH135" s="105"/>
      <c r="SGI135" s="105"/>
      <c r="SGJ135" s="105"/>
      <c r="SGK135" s="105"/>
      <c r="SGL135" s="105"/>
      <c r="SGM135" s="105"/>
      <c r="SGN135" s="105"/>
      <c r="SGO135" s="105"/>
      <c r="SGP135" s="105"/>
      <c r="SGQ135" s="105"/>
      <c r="SGR135" s="105"/>
      <c r="SGS135" s="105"/>
      <c r="SGT135" s="105"/>
      <c r="SGU135" s="105"/>
      <c r="SGV135" s="105"/>
      <c r="SGW135" s="105"/>
      <c r="SGX135" s="105"/>
      <c r="SGY135" s="105"/>
      <c r="SGZ135" s="105"/>
      <c r="SHA135" s="105"/>
      <c r="SHB135" s="105"/>
      <c r="SHC135" s="105"/>
      <c r="SHD135" s="105"/>
      <c r="SHE135" s="105"/>
      <c r="SHF135" s="105"/>
      <c r="SHG135" s="105"/>
      <c r="SHH135" s="105"/>
      <c r="SHI135" s="105"/>
      <c r="SHJ135" s="105"/>
      <c r="SHK135" s="105"/>
      <c r="SHL135" s="105"/>
      <c r="SHM135" s="105"/>
      <c r="SHN135" s="105"/>
      <c r="SHO135" s="105"/>
      <c r="SHP135" s="105"/>
      <c r="SHQ135" s="105"/>
      <c r="SHR135" s="105"/>
      <c r="SHS135" s="105"/>
      <c r="SHT135" s="105"/>
      <c r="SHU135" s="105"/>
      <c r="SHV135" s="105"/>
      <c r="SHW135" s="105"/>
      <c r="SHX135" s="105"/>
      <c r="SHY135" s="105"/>
      <c r="SHZ135" s="105"/>
      <c r="SIA135" s="105"/>
      <c r="SIB135" s="105"/>
      <c r="SIC135" s="105"/>
      <c r="SID135" s="105"/>
      <c r="SIE135" s="105"/>
      <c r="SIF135" s="105"/>
      <c r="SIG135" s="105"/>
      <c r="SIH135" s="105"/>
      <c r="SII135" s="105"/>
      <c r="SIJ135" s="105"/>
      <c r="SIK135" s="105"/>
      <c r="SIL135" s="105"/>
      <c r="SIM135" s="105"/>
      <c r="SIN135" s="105"/>
      <c r="SIO135" s="105"/>
      <c r="SIP135" s="105"/>
      <c r="SIQ135" s="105"/>
      <c r="SIR135" s="105"/>
      <c r="SIS135" s="105"/>
      <c r="SIT135" s="105"/>
      <c r="SIU135" s="105"/>
      <c r="SIV135" s="105"/>
      <c r="SIW135" s="105"/>
      <c r="SIX135" s="105"/>
      <c r="SIY135" s="105"/>
      <c r="SIZ135" s="105"/>
      <c r="SJA135" s="105"/>
      <c r="SJB135" s="105"/>
      <c r="SJC135" s="105"/>
      <c r="SJD135" s="105"/>
      <c r="SJE135" s="105"/>
      <c r="SJF135" s="105"/>
      <c r="SJG135" s="105"/>
      <c r="SJH135" s="105"/>
      <c r="SJI135" s="105"/>
      <c r="SJJ135" s="105"/>
      <c r="SJK135" s="105"/>
      <c r="SJL135" s="105"/>
      <c r="SJM135" s="105"/>
      <c r="SJN135" s="105"/>
      <c r="SJO135" s="105"/>
      <c r="SJP135" s="105"/>
      <c r="SJQ135" s="105"/>
      <c r="SJR135" s="105"/>
      <c r="SJS135" s="105"/>
      <c r="SJT135" s="105"/>
      <c r="SJU135" s="105"/>
      <c r="SJV135" s="105"/>
      <c r="SJW135" s="105"/>
      <c r="SJX135" s="105"/>
      <c r="SJY135" s="105"/>
      <c r="SJZ135" s="105"/>
      <c r="SKA135" s="105"/>
      <c r="SKB135" s="105"/>
      <c r="SKC135" s="105"/>
      <c r="SKD135" s="105"/>
      <c r="SKE135" s="105"/>
      <c r="SKF135" s="105"/>
      <c r="SKG135" s="105"/>
      <c r="SKH135" s="105"/>
      <c r="SKI135" s="105"/>
      <c r="SKJ135" s="105"/>
      <c r="SKK135" s="105"/>
      <c r="SKL135" s="105"/>
      <c r="SKM135" s="105"/>
      <c r="SKN135" s="105"/>
      <c r="SKO135" s="105"/>
      <c r="SKP135" s="105"/>
      <c r="SKQ135" s="105"/>
      <c r="SKR135" s="105"/>
      <c r="SKS135" s="105"/>
      <c r="SKT135" s="105"/>
      <c r="SKU135" s="105"/>
      <c r="SKV135" s="105"/>
      <c r="SKW135" s="105"/>
      <c r="SKX135" s="105"/>
      <c r="SKY135" s="105"/>
      <c r="SKZ135" s="105"/>
      <c r="SLA135" s="105"/>
      <c r="SLB135" s="105"/>
      <c r="SLC135" s="105"/>
      <c r="SLD135" s="105"/>
      <c r="SLE135" s="105"/>
      <c r="SLF135" s="105"/>
      <c r="SLG135" s="105"/>
      <c r="SLH135" s="105"/>
      <c r="SLI135" s="105"/>
      <c r="SLJ135" s="105"/>
      <c r="SLK135" s="105"/>
      <c r="SLL135" s="105"/>
      <c r="SLM135" s="105"/>
      <c r="SLN135" s="105"/>
      <c r="SLO135" s="105"/>
      <c r="SLP135" s="105"/>
      <c r="SLQ135" s="105"/>
      <c r="SLR135" s="105"/>
      <c r="SLS135" s="105"/>
      <c r="SLT135" s="105"/>
      <c r="SLU135" s="105"/>
      <c r="SLV135" s="105"/>
      <c r="SLW135" s="105"/>
      <c r="SLX135" s="105"/>
      <c r="SLY135" s="105"/>
      <c r="SLZ135" s="105"/>
      <c r="SMA135" s="105"/>
      <c r="SMB135" s="105"/>
      <c r="SMC135" s="105"/>
      <c r="SMD135" s="105"/>
      <c r="SME135" s="105"/>
      <c r="SMF135" s="105"/>
      <c r="SMG135" s="105"/>
      <c r="SMH135" s="105"/>
      <c r="SMI135" s="105"/>
      <c r="SMJ135" s="105"/>
      <c r="SMK135" s="105"/>
      <c r="SML135" s="105"/>
      <c r="SMM135" s="105"/>
      <c r="SMN135" s="105"/>
      <c r="SMO135" s="105"/>
      <c r="SMP135" s="105"/>
      <c r="SMQ135" s="105"/>
      <c r="SMR135" s="105"/>
      <c r="SMS135" s="105"/>
      <c r="SMT135" s="105"/>
      <c r="SMU135" s="105"/>
      <c r="SMV135" s="105"/>
      <c r="SMW135" s="105"/>
      <c r="SMX135" s="105"/>
      <c r="SMY135" s="105"/>
      <c r="SMZ135" s="105"/>
      <c r="SNA135" s="105"/>
      <c r="SNB135" s="105"/>
      <c r="SNC135" s="105"/>
      <c r="SND135" s="105"/>
      <c r="SNE135" s="105"/>
      <c r="SNF135" s="105"/>
      <c r="SNG135" s="105"/>
      <c r="SNH135" s="105"/>
      <c r="SNI135" s="105"/>
      <c r="SNJ135" s="105"/>
      <c r="SNK135" s="105"/>
      <c r="SNL135" s="105"/>
      <c r="SNM135" s="105"/>
      <c r="SNN135" s="105"/>
      <c r="SNO135" s="105"/>
      <c r="SNP135" s="105"/>
      <c r="SNQ135" s="105"/>
      <c r="SNR135" s="105"/>
      <c r="SNS135" s="105"/>
      <c r="SNT135" s="105"/>
      <c r="SNU135" s="105"/>
      <c r="SNV135" s="105"/>
      <c r="SNW135" s="105"/>
      <c r="SNX135" s="105"/>
      <c r="SNY135" s="105"/>
      <c r="SNZ135" s="105"/>
      <c r="SOA135" s="105"/>
      <c r="SOB135" s="105"/>
      <c r="SOC135" s="105"/>
      <c r="SOD135" s="105"/>
      <c r="SOE135" s="105"/>
      <c r="SOF135" s="105"/>
      <c r="SOG135" s="105"/>
      <c r="SOH135" s="105"/>
      <c r="SOI135" s="105"/>
      <c r="SOJ135" s="105"/>
      <c r="SOK135" s="105"/>
      <c r="SOL135" s="105"/>
      <c r="SOM135" s="105"/>
      <c r="SON135" s="105"/>
      <c r="SOO135" s="105"/>
      <c r="SOP135" s="105"/>
      <c r="SOQ135" s="105"/>
      <c r="SOR135" s="105"/>
      <c r="SOS135" s="105"/>
      <c r="SOT135" s="105"/>
      <c r="SOU135" s="105"/>
      <c r="SOV135" s="105"/>
      <c r="SOW135" s="105"/>
      <c r="SOX135" s="105"/>
      <c r="SOY135" s="105"/>
      <c r="SOZ135" s="105"/>
      <c r="SPA135" s="105"/>
      <c r="SPB135" s="105"/>
      <c r="SPC135" s="105"/>
      <c r="SPD135" s="105"/>
      <c r="SPE135" s="105"/>
      <c r="SPF135" s="105"/>
      <c r="SPG135" s="105"/>
      <c r="SPH135" s="105"/>
      <c r="SPI135" s="105"/>
      <c r="SPJ135" s="105"/>
      <c r="SPK135" s="105"/>
      <c r="SPL135" s="105"/>
      <c r="SPM135" s="105"/>
      <c r="SPN135" s="105"/>
      <c r="SPO135" s="105"/>
      <c r="SPP135" s="105"/>
      <c r="SPQ135" s="105"/>
      <c r="SPR135" s="105"/>
      <c r="SPS135" s="105"/>
      <c r="SPT135" s="105"/>
      <c r="SPU135" s="105"/>
      <c r="SPV135" s="105"/>
      <c r="SPW135" s="105"/>
      <c r="SPX135" s="105"/>
      <c r="SPY135" s="105"/>
      <c r="SPZ135" s="105"/>
      <c r="SQA135" s="105"/>
      <c r="SQB135" s="105"/>
      <c r="SQC135" s="105"/>
      <c r="SQD135" s="105"/>
      <c r="SQE135" s="105"/>
      <c r="SQF135" s="105"/>
      <c r="SQG135" s="105"/>
      <c r="SQH135" s="105"/>
      <c r="SQI135" s="105"/>
      <c r="SQJ135" s="105"/>
      <c r="SQK135" s="105"/>
      <c r="SQL135" s="105"/>
      <c r="SQM135" s="105"/>
      <c r="SQN135" s="105"/>
      <c r="SQO135" s="105"/>
      <c r="SQP135" s="105"/>
      <c r="SQQ135" s="105"/>
      <c r="SQR135" s="105"/>
      <c r="SQS135" s="105"/>
      <c r="SQT135" s="105"/>
      <c r="SQU135" s="105"/>
      <c r="SQV135" s="105"/>
      <c r="SQW135" s="105"/>
      <c r="SQX135" s="105"/>
      <c r="SQY135" s="105"/>
      <c r="SQZ135" s="105"/>
      <c r="SRA135" s="105"/>
      <c r="SRB135" s="105"/>
      <c r="SRC135" s="105"/>
      <c r="SRD135" s="105"/>
      <c r="SRE135" s="105"/>
      <c r="SRF135" s="105"/>
      <c r="SRG135" s="105"/>
      <c r="SRH135" s="105"/>
      <c r="SRI135" s="105"/>
      <c r="SRJ135" s="105"/>
      <c r="SRK135" s="105"/>
      <c r="SRL135" s="105"/>
      <c r="SRM135" s="105"/>
      <c r="SRN135" s="105"/>
      <c r="SRO135" s="105"/>
      <c r="SRP135" s="105"/>
      <c r="SRQ135" s="105"/>
      <c r="SRR135" s="105"/>
      <c r="SRS135" s="105"/>
      <c r="SRT135" s="105"/>
      <c r="SRU135" s="105"/>
      <c r="SRV135" s="105"/>
      <c r="SRW135" s="105"/>
      <c r="SRX135" s="105"/>
      <c r="SRY135" s="105"/>
      <c r="SRZ135" s="105"/>
      <c r="SSA135" s="105"/>
      <c r="SSB135" s="105"/>
      <c r="SSC135" s="105"/>
      <c r="SSD135" s="105"/>
      <c r="SSE135" s="105"/>
      <c r="SSF135" s="105"/>
      <c r="SSG135" s="105"/>
      <c r="SSH135" s="105"/>
      <c r="SSI135" s="105"/>
      <c r="SSJ135" s="105"/>
      <c r="SSK135" s="105"/>
      <c r="SSL135" s="105"/>
      <c r="SSM135" s="105"/>
      <c r="SSN135" s="105"/>
      <c r="SSO135" s="105"/>
      <c r="SSP135" s="105"/>
      <c r="SSQ135" s="105"/>
      <c r="SSR135" s="105"/>
      <c r="SSS135" s="105"/>
      <c r="SST135" s="105"/>
      <c r="SSU135" s="105"/>
      <c r="SSV135" s="105"/>
      <c r="SSW135" s="105"/>
      <c r="SSX135" s="105"/>
      <c r="SSY135" s="105"/>
      <c r="SSZ135" s="105"/>
      <c r="STA135" s="105"/>
      <c r="STB135" s="105"/>
      <c r="STC135" s="105"/>
      <c r="STD135" s="105"/>
      <c r="STE135" s="105"/>
      <c r="STF135" s="105"/>
      <c r="STG135" s="105"/>
      <c r="STH135" s="105"/>
      <c r="STI135" s="105"/>
      <c r="STJ135" s="105"/>
      <c r="STK135" s="105"/>
      <c r="STL135" s="105"/>
      <c r="STM135" s="105"/>
      <c r="STN135" s="105"/>
      <c r="STO135" s="105"/>
      <c r="STP135" s="105"/>
      <c r="STQ135" s="105"/>
      <c r="STR135" s="105"/>
      <c r="STS135" s="105"/>
      <c r="STT135" s="105"/>
      <c r="STU135" s="105"/>
      <c r="STV135" s="105"/>
      <c r="STW135" s="105"/>
      <c r="STX135" s="105"/>
      <c r="STY135" s="105"/>
      <c r="STZ135" s="105"/>
      <c r="SUA135" s="105"/>
      <c r="SUB135" s="105"/>
      <c r="SUC135" s="105"/>
      <c r="SUD135" s="105"/>
      <c r="SUE135" s="105"/>
      <c r="SUF135" s="105"/>
      <c r="SUG135" s="105"/>
      <c r="SUH135" s="105"/>
      <c r="SUI135" s="105"/>
      <c r="SUJ135" s="105"/>
      <c r="SUK135" s="105"/>
      <c r="SUL135" s="105"/>
      <c r="SUM135" s="105"/>
      <c r="SUN135" s="105"/>
      <c r="SUO135" s="105"/>
      <c r="SUP135" s="105"/>
      <c r="SUQ135" s="105"/>
      <c r="SUR135" s="105"/>
      <c r="SUS135" s="105"/>
      <c r="SUT135" s="105"/>
      <c r="SUU135" s="105"/>
      <c r="SUV135" s="105"/>
      <c r="SUW135" s="105"/>
      <c r="SUX135" s="105"/>
      <c r="SUY135" s="105"/>
      <c r="SUZ135" s="105"/>
      <c r="SVA135" s="105"/>
      <c r="SVB135" s="105"/>
      <c r="SVC135" s="105"/>
      <c r="SVD135" s="105"/>
      <c r="SVE135" s="105"/>
      <c r="SVF135" s="105"/>
      <c r="SVG135" s="105"/>
      <c r="SVH135" s="105"/>
      <c r="SVI135" s="105"/>
      <c r="SVJ135" s="105"/>
      <c r="SVK135" s="105"/>
      <c r="SVL135" s="105"/>
      <c r="SVM135" s="105"/>
      <c r="SVN135" s="105"/>
      <c r="SVO135" s="105"/>
      <c r="SVP135" s="105"/>
      <c r="SVQ135" s="105"/>
      <c r="SVR135" s="105"/>
      <c r="SVS135" s="105"/>
      <c r="SVT135" s="105"/>
      <c r="SVU135" s="105"/>
      <c r="SVV135" s="105"/>
      <c r="SVW135" s="105"/>
      <c r="SVX135" s="105"/>
      <c r="SVY135" s="105"/>
      <c r="SVZ135" s="105"/>
      <c r="SWA135" s="105"/>
      <c r="SWB135" s="105"/>
      <c r="SWC135" s="105"/>
      <c r="SWD135" s="105"/>
      <c r="SWE135" s="105"/>
      <c r="SWF135" s="105"/>
      <c r="SWG135" s="105"/>
      <c r="SWH135" s="105"/>
      <c r="SWI135" s="105"/>
      <c r="SWJ135" s="105"/>
      <c r="SWK135" s="105"/>
      <c r="SWL135" s="105"/>
      <c r="SWM135" s="105"/>
      <c r="SWN135" s="105"/>
      <c r="SWO135" s="105"/>
      <c r="SWP135" s="105"/>
      <c r="SWQ135" s="105"/>
      <c r="SWR135" s="105"/>
      <c r="SWS135" s="105"/>
      <c r="SWT135" s="105"/>
      <c r="SWU135" s="105"/>
      <c r="SWV135" s="105"/>
      <c r="SWW135" s="105"/>
      <c r="SWX135" s="105"/>
      <c r="SWY135" s="105"/>
      <c r="SWZ135" s="105"/>
      <c r="SXA135" s="105"/>
      <c r="SXB135" s="105"/>
      <c r="SXC135" s="105"/>
      <c r="SXD135" s="105"/>
      <c r="SXE135" s="105"/>
      <c r="SXF135" s="105"/>
      <c r="SXG135" s="105"/>
      <c r="SXH135" s="105"/>
      <c r="SXI135" s="105"/>
      <c r="SXJ135" s="105"/>
      <c r="SXK135" s="105"/>
      <c r="SXL135" s="105"/>
      <c r="SXM135" s="105"/>
      <c r="SXN135" s="105"/>
      <c r="SXO135" s="105"/>
      <c r="SXP135" s="105"/>
      <c r="SXQ135" s="105"/>
      <c r="SXR135" s="105"/>
      <c r="SXS135" s="105"/>
      <c r="SXT135" s="105"/>
      <c r="SXU135" s="105"/>
      <c r="SXV135" s="105"/>
      <c r="SXW135" s="105"/>
      <c r="SXX135" s="105"/>
      <c r="SXY135" s="105"/>
      <c r="SXZ135" s="105"/>
      <c r="SYA135" s="105"/>
      <c r="SYB135" s="105"/>
      <c r="SYC135" s="105"/>
      <c r="SYD135" s="105"/>
      <c r="SYE135" s="105"/>
      <c r="SYF135" s="105"/>
      <c r="SYG135" s="105"/>
      <c r="SYH135" s="105"/>
      <c r="SYI135" s="105"/>
      <c r="SYJ135" s="105"/>
      <c r="SYK135" s="105"/>
      <c r="SYL135" s="105"/>
      <c r="SYM135" s="105"/>
      <c r="SYN135" s="105"/>
      <c r="SYO135" s="105"/>
      <c r="SYP135" s="105"/>
      <c r="SYQ135" s="105"/>
      <c r="SYR135" s="105"/>
      <c r="SYS135" s="105"/>
      <c r="SYT135" s="105"/>
      <c r="SYU135" s="105"/>
      <c r="SYV135" s="105"/>
      <c r="SYW135" s="105"/>
      <c r="SYX135" s="105"/>
      <c r="SYY135" s="105"/>
      <c r="SYZ135" s="105"/>
      <c r="SZA135" s="105"/>
      <c r="SZB135" s="105"/>
      <c r="SZC135" s="105"/>
      <c r="SZD135" s="105"/>
      <c r="SZE135" s="105"/>
      <c r="SZF135" s="105"/>
      <c r="SZG135" s="105"/>
      <c r="SZH135" s="105"/>
      <c r="SZI135" s="105"/>
      <c r="SZJ135" s="105"/>
      <c r="SZK135" s="105"/>
      <c r="SZL135" s="105"/>
      <c r="SZM135" s="105"/>
      <c r="SZN135" s="105"/>
      <c r="SZO135" s="105"/>
      <c r="SZP135" s="105"/>
      <c r="SZQ135" s="105"/>
      <c r="SZR135" s="105"/>
      <c r="SZS135" s="105"/>
      <c r="SZT135" s="105"/>
      <c r="SZU135" s="105"/>
      <c r="SZV135" s="105"/>
      <c r="SZW135" s="105"/>
      <c r="SZX135" s="105"/>
      <c r="SZY135" s="105"/>
      <c r="SZZ135" s="105"/>
      <c r="TAA135" s="105"/>
      <c r="TAB135" s="105"/>
      <c r="TAC135" s="105"/>
      <c r="TAD135" s="105"/>
      <c r="TAE135" s="105"/>
      <c r="TAF135" s="105"/>
      <c r="TAG135" s="105"/>
      <c r="TAH135" s="105"/>
      <c r="TAI135" s="105"/>
      <c r="TAJ135" s="105"/>
      <c r="TAK135" s="105"/>
      <c r="TAL135" s="105"/>
      <c r="TAM135" s="105"/>
      <c r="TAN135" s="105"/>
      <c r="TAO135" s="105"/>
      <c r="TAP135" s="105"/>
      <c r="TAQ135" s="105"/>
      <c r="TAR135" s="105"/>
      <c r="TAS135" s="105"/>
      <c r="TAT135" s="105"/>
      <c r="TAU135" s="105"/>
      <c r="TAV135" s="105"/>
      <c r="TAW135" s="105"/>
      <c r="TAX135" s="105"/>
      <c r="TAY135" s="105"/>
      <c r="TAZ135" s="105"/>
      <c r="TBA135" s="105"/>
      <c r="TBB135" s="105"/>
      <c r="TBC135" s="105"/>
      <c r="TBD135" s="105"/>
      <c r="TBE135" s="105"/>
      <c r="TBF135" s="105"/>
      <c r="TBG135" s="105"/>
      <c r="TBH135" s="105"/>
      <c r="TBI135" s="105"/>
      <c r="TBJ135" s="105"/>
      <c r="TBK135" s="105"/>
      <c r="TBL135" s="105"/>
      <c r="TBM135" s="105"/>
      <c r="TBN135" s="105"/>
      <c r="TBO135" s="105"/>
      <c r="TBP135" s="105"/>
      <c r="TBQ135" s="105"/>
      <c r="TBR135" s="105"/>
      <c r="TBS135" s="105"/>
      <c r="TBT135" s="105"/>
      <c r="TBU135" s="105"/>
      <c r="TBV135" s="105"/>
      <c r="TBW135" s="105"/>
      <c r="TBX135" s="105"/>
      <c r="TBY135" s="105"/>
      <c r="TBZ135" s="105"/>
      <c r="TCA135" s="105"/>
      <c r="TCB135" s="105"/>
      <c r="TCC135" s="105"/>
      <c r="TCD135" s="105"/>
      <c r="TCE135" s="105"/>
      <c r="TCF135" s="105"/>
      <c r="TCG135" s="105"/>
      <c r="TCH135" s="105"/>
      <c r="TCI135" s="105"/>
      <c r="TCJ135" s="105"/>
      <c r="TCK135" s="105"/>
      <c r="TCL135" s="105"/>
      <c r="TCM135" s="105"/>
      <c r="TCN135" s="105"/>
      <c r="TCO135" s="105"/>
      <c r="TCP135" s="105"/>
      <c r="TCQ135" s="105"/>
      <c r="TCR135" s="105"/>
      <c r="TCS135" s="105"/>
      <c r="TCT135" s="105"/>
      <c r="TCU135" s="105"/>
      <c r="TCV135" s="105"/>
      <c r="TCW135" s="105"/>
      <c r="TCX135" s="105"/>
      <c r="TCY135" s="105"/>
      <c r="TCZ135" s="105"/>
      <c r="TDA135" s="105"/>
      <c r="TDB135" s="105"/>
      <c r="TDC135" s="105"/>
      <c r="TDD135" s="105"/>
      <c r="TDE135" s="105"/>
      <c r="TDF135" s="105"/>
      <c r="TDG135" s="105"/>
      <c r="TDH135" s="105"/>
      <c r="TDI135" s="105"/>
      <c r="TDJ135" s="105"/>
      <c r="TDK135" s="105"/>
      <c r="TDL135" s="105"/>
      <c r="TDM135" s="105"/>
      <c r="TDN135" s="105"/>
      <c r="TDO135" s="105"/>
      <c r="TDP135" s="105"/>
      <c r="TDQ135" s="105"/>
      <c r="TDR135" s="105"/>
      <c r="TDS135" s="105"/>
      <c r="TDT135" s="105"/>
      <c r="TDU135" s="105"/>
      <c r="TDV135" s="105"/>
      <c r="TDW135" s="105"/>
      <c r="TDX135" s="105"/>
      <c r="TDY135" s="105"/>
      <c r="TDZ135" s="105"/>
      <c r="TEA135" s="105"/>
      <c r="TEB135" s="105"/>
      <c r="TEC135" s="105"/>
      <c r="TED135" s="105"/>
      <c r="TEE135" s="105"/>
      <c r="TEF135" s="105"/>
      <c r="TEG135" s="105"/>
      <c r="TEH135" s="105"/>
      <c r="TEI135" s="105"/>
      <c r="TEJ135" s="105"/>
      <c r="TEK135" s="105"/>
      <c r="TEL135" s="105"/>
      <c r="TEM135" s="105"/>
      <c r="TEN135" s="105"/>
      <c r="TEO135" s="105"/>
      <c r="TEP135" s="105"/>
      <c r="TEQ135" s="105"/>
      <c r="TER135" s="105"/>
      <c r="TES135" s="105"/>
      <c r="TET135" s="105"/>
      <c r="TEU135" s="105"/>
      <c r="TEV135" s="105"/>
      <c r="TEW135" s="105"/>
      <c r="TEX135" s="105"/>
      <c r="TEY135" s="105"/>
      <c r="TEZ135" s="105"/>
      <c r="TFA135" s="105"/>
      <c r="TFB135" s="105"/>
      <c r="TFC135" s="105"/>
      <c r="TFD135" s="105"/>
      <c r="TFE135" s="105"/>
      <c r="TFF135" s="105"/>
      <c r="TFG135" s="105"/>
      <c r="TFH135" s="105"/>
      <c r="TFI135" s="105"/>
      <c r="TFJ135" s="105"/>
      <c r="TFK135" s="105"/>
      <c r="TFL135" s="105"/>
      <c r="TFM135" s="105"/>
      <c r="TFN135" s="105"/>
      <c r="TFO135" s="105"/>
      <c r="TFP135" s="105"/>
      <c r="TFQ135" s="105"/>
      <c r="TFR135" s="105"/>
      <c r="TFS135" s="105"/>
      <c r="TFT135" s="105"/>
      <c r="TFU135" s="105"/>
      <c r="TFV135" s="105"/>
      <c r="TFW135" s="105"/>
      <c r="TFX135" s="105"/>
      <c r="TFY135" s="105"/>
      <c r="TFZ135" s="105"/>
      <c r="TGA135" s="105"/>
      <c r="TGB135" s="105"/>
      <c r="TGC135" s="105"/>
      <c r="TGD135" s="105"/>
      <c r="TGE135" s="105"/>
      <c r="TGF135" s="105"/>
      <c r="TGG135" s="105"/>
      <c r="TGH135" s="105"/>
      <c r="TGI135" s="105"/>
      <c r="TGJ135" s="105"/>
      <c r="TGK135" s="105"/>
      <c r="TGL135" s="105"/>
      <c r="TGM135" s="105"/>
      <c r="TGN135" s="105"/>
      <c r="TGO135" s="105"/>
      <c r="TGP135" s="105"/>
      <c r="TGQ135" s="105"/>
      <c r="TGR135" s="105"/>
      <c r="TGS135" s="105"/>
      <c r="TGT135" s="105"/>
      <c r="TGU135" s="105"/>
      <c r="TGV135" s="105"/>
      <c r="TGW135" s="105"/>
      <c r="TGX135" s="105"/>
      <c r="TGY135" s="105"/>
      <c r="TGZ135" s="105"/>
      <c r="THA135" s="105"/>
      <c r="THB135" s="105"/>
      <c r="THC135" s="105"/>
      <c r="THD135" s="105"/>
      <c r="THE135" s="105"/>
      <c r="THF135" s="105"/>
      <c r="THG135" s="105"/>
      <c r="THH135" s="105"/>
      <c r="THI135" s="105"/>
      <c r="THJ135" s="105"/>
      <c r="THK135" s="105"/>
      <c r="THL135" s="105"/>
      <c r="THM135" s="105"/>
      <c r="THN135" s="105"/>
      <c r="THO135" s="105"/>
      <c r="THP135" s="105"/>
      <c r="THQ135" s="105"/>
      <c r="THR135" s="105"/>
      <c r="THS135" s="105"/>
      <c r="THT135" s="105"/>
      <c r="THU135" s="105"/>
      <c r="THV135" s="105"/>
      <c r="THW135" s="105"/>
      <c r="THX135" s="105"/>
      <c r="THY135" s="105"/>
      <c r="THZ135" s="105"/>
      <c r="TIA135" s="105"/>
      <c r="TIB135" s="105"/>
      <c r="TIC135" s="105"/>
      <c r="TID135" s="105"/>
      <c r="TIE135" s="105"/>
      <c r="TIF135" s="105"/>
      <c r="TIG135" s="105"/>
      <c r="TIH135" s="105"/>
      <c r="TII135" s="105"/>
      <c r="TIJ135" s="105"/>
      <c r="TIK135" s="105"/>
      <c r="TIL135" s="105"/>
      <c r="TIM135" s="105"/>
      <c r="TIN135" s="105"/>
      <c r="TIO135" s="105"/>
      <c r="TIP135" s="105"/>
      <c r="TIQ135" s="105"/>
      <c r="TIR135" s="105"/>
      <c r="TIS135" s="105"/>
      <c r="TIT135" s="105"/>
      <c r="TIU135" s="105"/>
      <c r="TIV135" s="105"/>
      <c r="TIW135" s="105"/>
      <c r="TIX135" s="105"/>
      <c r="TIY135" s="105"/>
      <c r="TIZ135" s="105"/>
      <c r="TJA135" s="105"/>
      <c r="TJB135" s="105"/>
      <c r="TJC135" s="105"/>
      <c r="TJD135" s="105"/>
      <c r="TJE135" s="105"/>
      <c r="TJF135" s="105"/>
      <c r="TJG135" s="105"/>
      <c r="TJH135" s="105"/>
      <c r="TJI135" s="105"/>
      <c r="TJJ135" s="105"/>
      <c r="TJK135" s="105"/>
      <c r="TJL135" s="105"/>
      <c r="TJM135" s="105"/>
      <c r="TJN135" s="105"/>
      <c r="TJO135" s="105"/>
      <c r="TJP135" s="105"/>
      <c r="TJQ135" s="105"/>
      <c r="TJR135" s="105"/>
      <c r="TJS135" s="105"/>
      <c r="TJT135" s="105"/>
      <c r="TJU135" s="105"/>
      <c r="TJV135" s="105"/>
      <c r="TJW135" s="105"/>
      <c r="TJX135" s="105"/>
      <c r="TJY135" s="105"/>
      <c r="TJZ135" s="105"/>
      <c r="TKA135" s="105"/>
      <c r="TKB135" s="105"/>
      <c r="TKC135" s="105"/>
      <c r="TKD135" s="105"/>
      <c r="TKE135" s="105"/>
      <c r="TKF135" s="105"/>
      <c r="TKG135" s="105"/>
      <c r="TKH135" s="105"/>
      <c r="TKI135" s="105"/>
      <c r="TKJ135" s="105"/>
      <c r="TKK135" s="105"/>
      <c r="TKL135" s="105"/>
      <c r="TKM135" s="105"/>
      <c r="TKN135" s="105"/>
      <c r="TKO135" s="105"/>
      <c r="TKP135" s="105"/>
      <c r="TKQ135" s="105"/>
      <c r="TKR135" s="105"/>
      <c r="TKS135" s="105"/>
      <c r="TKT135" s="105"/>
      <c r="TKU135" s="105"/>
      <c r="TKV135" s="105"/>
      <c r="TKW135" s="105"/>
      <c r="TKX135" s="105"/>
      <c r="TKY135" s="105"/>
      <c r="TKZ135" s="105"/>
      <c r="TLA135" s="105"/>
      <c r="TLB135" s="105"/>
      <c r="TLC135" s="105"/>
      <c r="TLD135" s="105"/>
      <c r="TLE135" s="105"/>
      <c r="TLF135" s="105"/>
      <c r="TLG135" s="105"/>
      <c r="TLH135" s="105"/>
      <c r="TLI135" s="105"/>
      <c r="TLJ135" s="105"/>
      <c r="TLK135" s="105"/>
      <c r="TLL135" s="105"/>
      <c r="TLM135" s="105"/>
      <c r="TLN135" s="105"/>
      <c r="TLO135" s="105"/>
      <c r="TLP135" s="105"/>
      <c r="TLQ135" s="105"/>
      <c r="TLR135" s="105"/>
      <c r="TLS135" s="105"/>
      <c r="TLT135" s="105"/>
      <c r="TLU135" s="105"/>
      <c r="TLV135" s="105"/>
      <c r="TLW135" s="105"/>
      <c r="TLX135" s="105"/>
      <c r="TLY135" s="105"/>
      <c r="TLZ135" s="105"/>
      <c r="TMA135" s="105"/>
      <c r="TMB135" s="105"/>
      <c r="TMC135" s="105"/>
      <c r="TMD135" s="105"/>
      <c r="TME135" s="105"/>
      <c r="TMF135" s="105"/>
      <c r="TMG135" s="105"/>
      <c r="TMH135" s="105"/>
      <c r="TMI135" s="105"/>
      <c r="TMJ135" s="105"/>
      <c r="TMK135" s="105"/>
      <c r="TML135" s="105"/>
      <c r="TMM135" s="105"/>
      <c r="TMN135" s="105"/>
      <c r="TMO135" s="105"/>
      <c r="TMP135" s="105"/>
      <c r="TMQ135" s="105"/>
      <c r="TMR135" s="105"/>
      <c r="TMS135" s="105"/>
      <c r="TMT135" s="105"/>
      <c r="TMU135" s="105"/>
      <c r="TMV135" s="105"/>
      <c r="TMW135" s="105"/>
      <c r="TMX135" s="105"/>
      <c r="TMY135" s="105"/>
      <c r="TMZ135" s="105"/>
      <c r="TNA135" s="105"/>
      <c r="TNB135" s="105"/>
      <c r="TNC135" s="105"/>
      <c r="TND135" s="105"/>
      <c r="TNE135" s="105"/>
      <c r="TNF135" s="105"/>
      <c r="TNG135" s="105"/>
      <c r="TNH135" s="105"/>
      <c r="TNI135" s="105"/>
      <c r="TNJ135" s="105"/>
      <c r="TNK135" s="105"/>
      <c r="TNL135" s="105"/>
      <c r="TNM135" s="105"/>
      <c r="TNN135" s="105"/>
      <c r="TNO135" s="105"/>
      <c r="TNP135" s="105"/>
      <c r="TNQ135" s="105"/>
      <c r="TNR135" s="105"/>
      <c r="TNS135" s="105"/>
      <c r="TNT135" s="105"/>
      <c r="TNU135" s="105"/>
      <c r="TNV135" s="105"/>
      <c r="TNW135" s="105"/>
      <c r="TNX135" s="105"/>
      <c r="TNY135" s="105"/>
      <c r="TNZ135" s="105"/>
      <c r="TOA135" s="105"/>
      <c r="TOB135" s="105"/>
      <c r="TOC135" s="105"/>
      <c r="TOD135" s="105"/>
      <c r="TOE135" s="105"/>
      <c r="TOF135" s="105"/>
      <c r="TOG135" s="105"/>
      <c r="TOH135" s="105"/>
      <c r="TOI135" s="105"/>
      <c r="TOJ135" s="105"/>
      <c r="TOK135" s="105"/>
      <c r="TOL135" s="105"/>
      <c r="TOM135" s="105"/>
      <c r="TON135" s="105"/>
      <c r="TOO135" s="105"/>
      <c r="TOP135" s="105"/>
      <c r="TOQ135" s="105"/>
      <c r="TOR135" s="105"/>
      <c r="TOS135" s="105"/>
      <c r="TOT135" s="105"/>
      <c r="TOU135" s="105"/>
      <c r="TOV135" s="105"/>
      <c r="TOW135" s="105"/>
      <c r="TOX135" s="105"/>
      <c r="TOY135" s="105"/>
      <c r="TOZ135" s="105"/>
      <c r="TPA135" s="105"/>
      <c r="TPB135" s="105"/>
      <c r="TPC135" s="105"/>
      <c r="TPD135" s="105"/>
      <c r="TPE135" s="105"/>
      <c r="TPF135" s="105"/>
      <c r="TPG135" s="105"/>
      <c r="TPH135" s="105"/>
      <c r="TPI135" s="105"/>
      <c r="TPJ135" s="105"/>
      <c r="TPK135" s="105"/>
      <c r="TPL135" s="105"/>
      <c r="TPM135" s="105"/>
      <c r="TPN135" s="105"/>
      <c r="TPO135" s="105"/>
      <c r="TPP135" s="105"/>
      <c r="TPQ135" s="105"/>
      <c r="TPR135" s="105"/>
      <c r="TPS135" s="105"/>
      <c r="TPT135" s="105"/>
      <c r="TPU135" s="105"/>
      <c r="TPV135" s="105"/>
      <c r="TPW135" s="105"/>
      <c r="TPX135" s="105"/>
      <c r="TPY135" s="105"/>
      <c r="TPZ135" s="105"/>
      <c r="TQA135" s="105"/>
      <c r="TQB135" s="105"/>
      <c r="TQC135" s="105"/>
      <c r="TQD135" s="105"/>
      <c r="TQE135" s="105"/>
      <c r="TQF135" s="105"/>
      <c r="TQG135" s="105"/>
      <c r="TQH135" s="105"/>
      <c r="TQI135" s="105"/>
      <c r="TQJ135" s="105"/>
      <c r="TQK135" s="105"/>
      <c r="TQL135" s="105"/>
      <c r="TQM135" s="105"/>
      <c r="TQN135" s="105"/>
      <c r="TQO135" s="105"/>
      <c r="TQP135" s="105"/>
      <c r="TQQ135" s="105"/>
      <c r="TQR135" s="105"/>
      <c r="TQS135" s="105"/>
      <c r="TQT135" s="105"/>
      <c r="TQU135" s="105"/>
      <c r="TQV135" s="105"/>
      <c r="TQW135" s="105"/>
      <c r="TQX135" s="105"/>
      <c r="TQY135" s="105"/>
      <c r="TQZ135" s="105"/>
      <c r="TRA135" s="105"/>
      <c r="TRB135" s="105"/>
      <c r="TRC135" s="105"/>
      <c r="TRD135" s="105"/>
      <c r="TRE135" s="105"/>
      <c r="TRF135" s="105"/>
      <c r="TRG135" s="105"/>
      <c r="TRH135" s="105"/>
      <c r="TRI135" s="105"/>
      <c r="TRJ135" s="105"/>
      <c r="TRK135" s="105"/>
      <c r="TRL135" s="105"/>
      <c r="TRM135" s="105"/>
      <c r="TRN135" s="105"/>
      <c r="TRO135" s="105"/>
      <c r="TRP135" s="105"/>
      <c r="TRQ135" s="105"/>
      <c r="TRR135" s="105"/>
      <c r="TRS135" s="105"/>
      <c r="TRT135" s="105"/>
      <c r="TRU135" s="105"/>
      <c r="TRV135" s="105"/>
      <c r="TRW135" s="105"/>
      <c r="TRX135" s="105"/>
      <c r="TRY135" s="105"/>
      <c r="TRZ135" s="105"/>
      <c r="TSA135" s="105"/>
      <c r="TSB135" s="105"/>
      <c r="TSC135" s="105"/>
      <c r="TSD135" s="105"/>
      <c r="TSE135" s="105"/>
      <c r="TSF135" s="105"/>
      <c r="TSG135" s="105"/>
      <c r="TSH135" s="105"/>
      <c r="TSI135" s="105"/>
      <c r="TSJ135" s="105"/>
      <c r="TSK135" s="105"/>
      <c r="TSL135" s="105"/>
      <c r="TSM135" s="105"/>
      <c r="TSN135" s="105"/>
      <c r="TSO135" s="105"/>
      <c r="TSP135" s="105"/>
      <c r="TSQ135" s="105"/>
      <c r="TSR135" s="105"/>
      <c r="TSS135" s="105"/>
      <c r="TST135" s="105"/>
      <c r="TSU135" s="105"/>
      <c r="TSV135" s="105"/>
      <c r="TSW135" s="105"/>
      <c r="TSX135" s="105"/>
      <c r="TSY135" s="105"/>
      <c r="TSZ135" s="105"/>
      <c r="TTA135" s="105"/>
      <c r="TTB135" s="105"/>
      <c r="TTC135" s="105"/>
      <c r="TTD135" s="105"/>
      <c r="TTE135" s="105"/>
      <c r="TTF135" s="105"/>
      <c r="TTG135" s="105"/>
      <c r="TTH135" s="105"/>
      <c r="TTI135" s="105"/>
      <c r="TTJ135" s="105"/>
      <c r="TTK135" s="105"/>
      <c r="TTL135" s="105"/>
      <c r="TTM135" s="105"/>
      <c r="TTN135" s="105"/>
      <c r="TTO135" s="105"/>
      <c r="TTP135" s="105"/>
      <c r="TTQ135" s="105"/>
      <c r="TTR135" s="105"/>
      <c r="TTS135" s="105"/>
      <c r="TTT135" s="105"/>
      <c r="TTU135" s="105"/>
      <c r="TTV135" s="105"/>
      <c r="TTW135" s="105"/>
      <c r="TTX135" s="105"/>
      <c r="TTY135" s="105"/>
      <c r="TTZ135" s="105"/>
      <c r="TUA135" s="105"/>
      <c r="TUB135" s="105"/>
      <c r="TUC135" s="105"/>
      <c r="TUD135" s="105"/>
      <c r="TUE135" s="105"/>
      <c r="TUF135" s="105"/>
      <c r="TUG135" s="105"/>
      <c r="TUH135" s="105"/>
      <c r="TUI135" s="105"/>
      <c r="TUJ135" s="105"/>
      <c r="TUK135" s="105"/>
      <c r="TUL135" s="105"/>
      <c r="TUM135" s="105"/>
      <c r="TUN135" s="105"/>
      <c r="TUO135" s="105"/>
      <c r="TUP135" s="105"/>
      <c r="TUQ135" s="105"/>
      <c r="TUR135" s="105"/>
      <c r="TUS135" s="105"/>
      <c r="TUT135" s="105"/>
      <c r="TUU135" s="105"/>
      <c r="TUV135" s="105"/>
      <c r="TUW135" s="105"/>
      <c r="TUX135" s="105"/>
      <c r="TUY135" s="105"/>
      <c r="TUZ135" s="105"/>
      <c r="TVA135" s="105"/>
      <c r="TVB135" s="105"/>
      <c r="TVC135" s="105"/>
      <c r="TVD135" s="105"/>
      <c r="TVE135" s="105"/>
      <c r="TVF135" s="105"/>
      <c r="TVG135" s="105"/>
      <c r="TVH135" s="105"/>
      <c r="TVI135" s="105"/>
      <c r="TVJ135" s="105"/>
      <c r="TVK135" s="105"/>
      <c r="TVL135" s="105"/>
      <c r="TVM135" s="105"/>
      <c r="TVN135" s="105"/>
      <c r="TVO135" s="105"/>
      <c r="TVP135" s="105"/>
      <c r="TVQ135" s="105"/>
      <c r="TVR135" s="105"/>
      <c r="TVS135" s="105"/>
      <c r="TVT135" s="105"/>
      <c r="TVU135" s="105"/>
      <c r="TVV135" s="105"/>
      <c r="TVW135" s="105"/>
      <c r="TVX135" s="105"/>
      <c r="TVY135" s="105"/>
      <c r="TVZ135" s="105"/>
      <c r="TWA135" s="105"/>
      <c r="TWB135" s="105"/>
      <c r="TWC135" s="105"/>
      <c r="TWD135" s="105"/>
      <c r="TWE135" s="105"/>
      <c r="TWF135" s="105"/>
      <c r="TWG135" s="105"/>
      <c r="TWH135" s="105"/>
      <c r="TWI135" s="105"/>
      <c r="TWJ135" s="105"/>
      <c r="TWK135" s="105"/>
      <c r="TWL135" s="105"/>
      <c r="TWM135" s="105"/>
      <c r="TWN135" s="105"/>
      <c r="TWO135" s="105"/>
      <c r="TWP135" s="105"/>
      <c r="TWQ135" s="105"/>
      <c r="TWR135" s="105"/>
      <c r="TWS135" s="105"/>
      <c r="TWT135" s="105"/>
      <c r="TWU135" s="105"/>
      <c r="TWV135" s="105"/>
      <c r="TWW135" s="105"/>
      <c r="TWX135" s="105"/>
      <c r="TWY135" s="105"/>
      <c r="TWZ135" s="105"/>
      <c r="TXA135" s="105"/>
      <c r="TXB135" s="105"/>
      <c r="TXC135" s="105"/>
      <c r="TXD135" s="105"/>
      <c r="TXE135" s="105"/>
      <c r="TXF135" s="105"/>
      <c r="TXG135" s="105"/>
      <c r="TXH135" s="105"/>
      <c r="TXI135" s="105"/>
      <c r="TXJ135" s="105"/>
      <c r="TXK135" s="105"/>
      <c r="TXL135" s="105"/>
      <c r="TXM135" s="105"/>
      <c r="TXN135" s="105"/>
      <c r="TXO135" s="105"/>
      <c r="TXP135" s="105"/>
      <c r="TXQ135" s="105"/>
      <c r="TXR135" s="105"/>
      <c r="TXS135" s="105"/>
      <c r="TXT135" s="105"/>
      <c r="TXU135" s="105"/>
      <c r="TXV135" s="105"/>
      <c r="TXW135" s="105"/>
      <c r="TXX135" s="105"/>
      <c r="TXY135" s="105"/>
      <c r="TXZ135" s="105"/>
      <c r="TYA135" s="105"/>
      <c r="TYB135" s="105"/>
      <c r="TYC135" s="105"/>
      <c r="TYD135" s="105"/>
      <c r="TYE135" s="105"/>
      <c r="TYF135" s="105"/>
      <c r="TYG135" s="105"/>
      <c r="TYH135" s="105"/>
      <c r="TYI135" s="105"/>
      <c r="TYJ135" s="105"/>
      <c r="TYK135" s="105"/>
      <c r="TYL135" s="105"/>
      <c r="TYM135" s="105"/>
      <c r="TYN135" s="105"/>
      <c r="TYO135" s="105"/>
      <c r="TYP135" s="105"/>
      <c r="TYQ135" s="105"/>
      <c r="TYR135" s="105"/>
      <c r="TYS135" s="105"/>
      <c r="TYT135" s="105"/>
      <c r="TYU135" s="105"/>
      <c r="TYV135" s="105"/>
      <c r="TYW135" s="105"/>
      <c r="TYX135" s="105"/>
      <c r="TYY135" s="105"/>
      <c r="TYZ135" s="105"/>
      <c r="TZA135" s="105"/>
      <c r="TZB135" s="105"/>
      <c r="TZC135" s="105"/>
      <c r="TZD135" s="105"/>
      <c r="TZE135" s="105"/>
      <c r="TZF135" s="105"/>
      <c r="TZG135" s="105"/>
      <c r="TZH135" s="105"/>
      <c r="TZI135" s="105"/>
      <c r="TZJ135" s="105"/>
      <c r="TZK135" s="105"/>
      <c r="TZL135" s="105"/>
      <c r="TZM135" s="105"/>
      <c r="TZN135" s="105"/>
      <c r="TZO135" s="105"/>
      <c r="TZP135" s="105"/>
      <c r="TZQ135" s="105"/>
      <c r="TZR135" s="105"/>
      <c r="TZS135" s="105"/>
      <c r="TZT135" s="105"/>
      <c r="TZU135" s="105"/>
      <c r="TZV135" s="105"/>
      <c r="TZW135" s="105"/>
      <c r="TZX135" s="105"/>
      <c r="TZY135" s="105"/>
      <c r="TZZ135" s="105"/>
      <c r="UAA135" s="105"/>
      <c r="UAB135" s="105"/>
      <c r="UAC135" s="105"/>
      <c r="UAD135" s="105"/>
      <c r="UAE135" s="105"/>
      <c r="UAF135" s="105"/>
      <c r="UAG135" s="105"/>
      <c r="UAH135" s="105"/>
      <c r="UAI135" s="105"/>
      <c r="UAJ135" s="105"/>
      <c r="UAK135" s="105"/>
      <c r="UAL135" s="105"/>
      <c r="UAM135" s="105"/>
      <c r="UAN135" s="105"/>
      <c r="UAO135" s="105"/>
      <c r="UAP135" s="105"/>
      <c r="UAQ135" s="105"/>
      <c r="UAR135" s="105"/>
      <c r="UAS135" s="105"/>
      <c r="UAT135" s="105"/>
      <c r="UAU135" s="105"/>
      <c r="UAV135" s="105"/>
      <c r="UAW135" s="105"/>
      <c r="UAX135" s="105"/>
      <c r="UAY135" s="105"/>
      <c r="UAZ135" s="105"/>
      <c r="UBA135" s="105"/>
      <c r="UBB135" s="105"/>
      <c r="UBC135" s="105"/>
      <c r="UBD135" s="105"/>
      <c r="UBE135" s="105"/>
      <c r="UBF135" s="105"/>
      <c r="UBG135" s="105"/>
      <c r="UBH135" s="105"/>
      <c r="UBI135" s="105"/>
      <c r="UBJ135" s="105"/>
      <c r="UBK135" s="105"/>
      <c r="UBL135" s="105"/>
      <c r="UBM135" s="105"/>
      <c r="UBN135" s="105"/>
      <c r="UBO135" s="105"/>
      <c r="UBP135" s="105"/>
      <c r="UBQ135" s="105"/>
      <c r="UBR135" s="105"/>
      <c r="UBS135" s="105"/>
      <c r="UBT135" s="105"/>
      <c r="UBU135" s="105"/>
      <c r="UBV135" s="105"/>
      <c r="UBW135" s="105"/>
      <c r="UBX135" s="105"/>
      <c r="UBY135" s="105"/>
      <c r="UBZ135" s="105"/>
      <c r="UCA135" s="105"/>
      <c r="UCB135" s="105"/>
      <c r="UCC135" s="105"/>
      <c r="UCD135" s="105"/>
      <c r="UCE135" s="105"/>
      <c r="UCF135" s="105"/>
      <c r="UCG135" s="105"/>
      <c r="UCH135" s="105"/>
      <c r="UCI135" s="105"/>
      <c r="UCJ135" s="105"/>
      <c r="UCK135" s="105"/>
      <c r="UCL135" s="105"/>
      <c r="UCM135" s="105"/>
      <c r="UCN135" s="105"/>
      <c r="UCO135" s="105"/>
      <c r="UCP135" s="105"/>
      <c r="UCQ135" s="105"/>
      <c r="UCR135" s="105"/>
      <c r="UCS135" s="105"/>
      <c r="UCT135" s="105"/>
      <c r="UCU135" s="105"/>
      <c r="UCV135" s="105"/>
      <c r="UCW135" s="105"/>
      <c r="UCX135" s="105"/>
      <c r="UCY135" s="105"/>
      <c r="UCZ135" s="105"/>
      <c r="UDA135" s="105"/>
      <c r="UDB135" s="105"/>
      <c r="UDC135" s="105"/>
      <c r="UDD135" s="105"/>
      <c r="UDE135" s="105"/>
      <c r="UDF135" s="105"/>
      <c r="UDG135" s="105"/>
      <c r="UDH135" s="105"/>
      <c r="UDI135" s="105"/>
      <c r="UDJ135" s="105"/>
      <c r="UDK135" s="105"/>
      <c r="UDL135" s="105"/>
      <c r="UDM135" s="105"/>
      <c r="UDN135" s="105"/>
      <c r="UDO135" s="105"/>
      <c r="UDP135" s="105"/>
      <c r="UDQ135" s="105"/>
      <c r="UDR135" s="105"/>
      <c r="UDS135" s="105"/>
      <c r="UDT135" s="105"/>
      <c r="UDU135" s="105"/>
      <c r="UDV135" s="105"/>
      <c r="UDW135" s="105"/>
      <c r="UDX135" s="105"/>
      <c r="UDY135" s="105"/>
      <c r="UDZ135" s="105"/>
      <c r="UEA135" s="105"/>
      <c r="UEB135" s="105"/>
      <c r="UEC135" s="105"/>
      <c r="UED135" s="105"/>
      <c r="UEE135" s="105"/>
      <c r="UEF135" s="105"/>
      <c r="UEG135" s="105"/>
      <c r="UEH135" s="105"/>
      <c r="UEI135" s="105"/>
      <c r="UEJ135" s="105"/>
      <c r="UEK135" s="105"/>
      <c r="UEL135" s="105"/>
      <c r="UEM135" s="105"/>
      <c r="UEN135" s="105"/>
      <c r="UEO135" s="105"/>
      <c r="UEP135" s="105"/>
      <c r="UEQ135" s="105"/>
      <c r="UER135" s="105"/>
      <c r="UES135" s="105"/>
      <c r="UET135" s="105"/>
      <c r="UEU135" s="105"/>
      <c r="UEV135" s="105"/>
      <c r="UEW135" s="105"/>
      <c r="UEX135" s="105"/>
      <c r="UEY135" s="105"/>
      <c r="UEZ135" s="105"/>
      <c r="UFA135" s="105"/>
      <c r="UFB135" s="105"/>
      <c r="UFC135" s="105"/>
      <c r="UFD135" s="105"/>
      <c r="UFE135" s="105"/>
      <c r="UFF135" s="105"/>
      <c r="UFG135" s="105"/>
      <c r="UFH135" s="105"/>
      <c r="UFI135" s="105"/>
      <c r="UFJ135" s="105"/>
      <c r="UFK135" s="105"/>
      <c r="UFL135" s="105"/>
      <c r="UFM135" s="105"/>
      <c r="UFN135" s="105"/>
      <c r="UFO135" s="105"/>
      <c r="UFP135" s="105"/>
      <c r="UFQ135" s="105"/>
      <c r="UFR135" s="105"/>
      <c r="UFS135" s="105"/>
      <c r="UFT135" s="105"/>
      <c r="UFU135" s="105"/>
      <c r="UFV135" s="105"/>
      <c r="UFW135" s="105"/>
      <c r="UFX135" s="105"/>
      <c r="UFY135" s="105"/>
      <c r="UFZ135" s="105"/>
      <c r="UGA135" s="105"/>
      <c r="UGB135" s="105"/>
      <c r="UGC135" s="105"/>
      <c r="UGD135" s="105"/>
      <c r="UGE135" s="105"/>
      <c r="UGF135" s="105"/>
      <c r="UGG135" s="105"/>
      <c r="UGH135" s="105"/>
      <c r="UGI135" s="105"/>
      <c r="UGJ135" s="105"/>
      <c r="UGK135" s="105"/>
      <c r="UGL135" s="105"/>
      <c r="UGM135" s="105"/>
      <c r="UGN135" s="105"/>
      <c r="UGO135" s="105"/>
      <c r="UGP135" s="105"/>
      <c r="UGQ135" s="105"/>
      <c r="UGR135" s="105"/>
      <c r="UGS135" s="105"/>
      <c r="UGT135" s="105"/>
      <c r="UGU135" s="105"/>
      <c r="UGV135" s="105"/>
      <c r="UGW135" s="105"/>
      <c r="UGX135" s="105"/>
      <c r="UGY135" s="105"/>
      <c r="UGZ135" s="105"/>
      <c r="UHA135" s="105"/>
      <c r="UHB135" s="105"/>
      <c r="UHC135" s="105"/>
      <c r="UHD135" s="105"/>
      <c r="UHE135" s="105"/>
      <c r="UHF135" s="105"/>
      <c r="UHG135" s="105"/>
      <c r="UHH135" s="105"/>
      <c r="UHI135" s="105"/>
      <c r="UHJ135" s="105"/>
      <c r="UHK135" s="105"/>
      <c r="UHL135" s="105"/>
      <c r="UHM135" s="105"/>
      <c r="UHN135" s="105"/>
      <c r="UHO135" s="105"/>
      <c r="UHP135" s="105"/>
      <c r="UHQ135" s="105"/>
      <c r="UHR135" s="105"/>
      <c r="UHS135" s="105"/>
      <c r="UHT135" s="105"/>
      <c r="UHU135" s="105"/>
      <c r="UHV135" s="105"/>
      <c r="UHW135" s="105"/>
      <c r="UHX135" s="105"/>
      <c r="UHY135" s="105"/>
      <c r="UHZ135" s="105"/>
      <c r="UIA135" s="105"/>
      <c r="UIB135" s="105"/>
      <c r="UIC135" s="105"/>
      <c r="UID135" s="105"/>
      <c r="UIE135" s="105"/>
      <c r="UIF135" s="105"/>
      <c r="UIG135" s="105"/>
      <c r="UIH135" s="105"/>
      <c r="UII135" s="105"/>
      <c r="UIJ135" s="105"/>
      <c r="UIK135" s="105"/>
      <c r="UIL135" s="105"/>
      <c r="UIM135" s="105"/>
      <c r="UIN135" s="105"/>
      <c r="UIO135" s="105"/>
      <c r="UIP135" s="105"/>
      <c r="UIQ135" s="105"/>
      <c r="UIR135" s="105"/>
      <c r="UIS135" s="105"/>
      <c r="UIT135" s="105"/>
      <c r="UIU135" s="105"/>
      <c r="UIV135" s="105"/>
      <c r="UIW135" s="105"/>
      <c r="UIX135" s="105"/>
      <c r="UIY135" s="105"/>
      <c r="UIZ135" s="105"/>
      <c r="UJA135" s="105"/>
      <c r="UJB135" s="105"/>
      <c r="UJC135" s="105"/>
      <c r="UJD135" s="105"/>
      <c r="UJE135" s="105"/>
      <c r="UJF135" s="105"/>
      <c r="UJG135" s="105"/>
      <c r="UJH135" s="105"/>
      <c r="UJI135" s="105"/>
      <c r="UJJ135" s="105"/>
      <c r="UJK135" s="105"/>
      <c r="UJL135" s="105"/>
      <c r="UJM135" s="105"/>
      <c r="UJN135" s="105"/>
      <c r="UJO135" s="105"/>
      <c r="UJP135" s="105"/>
      <c r="UJQ135" s="105"/>
      <c r="UJR135" s="105"/>
      <c r="UJS135" s="105"/>
      <c r="UJT135" s="105"/>
      <c r="UJU135" s="105"/>
      <c r="UJV135" s="105"/>
      <c r="UJW135" s="105"/>
      <c r="UJX135" s="105"/>
      <c r="UJY135" s="105"/>
      <c r="UJZ135" s="105"/>
      <c r="UKA135" s="105"/>
      <c r="UKB135" s="105"/>
      <c r="UKC135" s="105"/>
      <c r="UKD135" s="105"/>
      <c r="UKE135" s="105"/>
      <c r="UKF135" s="105"/>
      <c r="UKG135" s="105"/>
      <c r="UKH135" s="105"/>
      <c r="UKI135" s="105"/>
      <c r="UKJ135" s="105"/>
      <c r="UKK135" s="105"/>
      <c r="UKL135" s="105"/>
      <c r="UKM135" s="105"/>
      <c r="UKN135" s="105"/>
      <c r="UKO135" s="105"/>
      <c r="UKP135" s="105"/>
      <c r="UKQ135" s="105"/>
      <c r="UKR135" s="105"/>
      <c r="UKS135" s="105"/>
      <c r="UKT135" s="105"/>
      <c r="UKU135" s="105"/>
      <c r="UKV135" s="105"/>
      <c r="UKW135" s="105"/>
      <c r="UKX135" s="105"/>
      <c r="UKY135" s="105"/>
      <c r="UKZ135" s="105"/>
      <c r="ULA135" s="105"/>
      <c r="ULB135" s="105"/>
      <c r="ULC135" s="105"/>
      <c r="ULD135" s="105"/>
      <c r="ULE135" s="105"/>
      <c r="ULF135" s="105"/>
      <c r="ULG135" s="105"/>
      <c r="ULH135" s="105"/>
      <c r="ULI135" s="105"/>
      <c r="ULJ135" s="105"/>
      <c r="ULK135" s="105"/>
      <c r="ULL135" s="105"/>
      <c r="ULM135" s="105"/>
      <c r="ULN135" s="105"/>
      <c r="ULO135" s="105"/>
      <c r="ULP135" s="105"/>
      <c r="ULQ135" s="105"/>
      <c r="ULR135" s="105"/>
      <c r="ULS135" s="105"/>
      <c r="ULT135" s="105"/>
      <c r="ULU135" s="105"/>
      <c r="ULV135" s="105"/>
      <c r="ULW135" s="105"/>
      <c r="ULX135" s="105"/>
      <c r="ULY135" s="105"/>
      <c r="ULZ135" s="105"/>
      <c r="UMA135" s="105"/>
      <c r="UMB135" s="105"/>
      <c r="UMC135" s="105"/>
      <c r="UMD135" s="105"/>
      <c r="UME135" s="105"/>
      <c r="UMF135" s="105"/>
      <c r="UMG135" s="105"/>
      <c r="UMH135" s="105"/>
      <c r="UMI135" s="105"/>
      <c r="UMJ135" s="105"/>
      <c r="UMK135" s="105"/>
      <c r="UML135" s="105"/>
      <c r="UMM135" s="105"/>
      <c r="UMN135" s="105"/>
      <c r="UMO135" s="105"/>
      <c r="UMP135" s="105"/>
      <c r="UMQ135" s="105"/>
      <c r="UMR135" s="105"/>
      <c r="UMS135" s="105"/>
      <c r="UMT135" s="105"/>
      <c r="UMU135" s="105"/>
      <c r="UMV135" s="105"/>
      <c r="UMW135" s="105"/>
      <c r="UMX135" s="105"/>
      <c r="UMY135" s="105"/>
      <c r="UMZ135" s="105"/>
      <c r="UNA135" s="105"/>
      <c r="UNB135" s="105"/>
      <c r="UNC135" s="105"/>
      <c r="UND135" s="105"/>
      <c r="UNE135" s="105"/>
      <c r="UNF135" s="105"/>
      <c r="UNG135" s="105"/>
      <c r="UNH135" s="105"/>
      <c r="UNI135" s="105"/>
      <c r="UNJ135" s="105"/>
      <c r="UNK135" s="105"/>
      <c r="UNL135" s="105"/>
      <c r="UNM135" s="105"/>
      <c r="UNN135" s="105"/>
      <c r="UNO135" s="105"/>
      <c r="UNP135" s="105"/>
      <c r="UNQ135" s="105"/>
      <c r="UNR135" s="105"/>
      <c r="UNS135" s="105"/>
      <c r="UNT135" s="105"/>
      <c r="UNU135" s="105"/>
      <c r="UNV135" s="105"/>
      <c r="UNW135" s="105"/>
      <c r="UNX135" s="105"/>
      <c r="UNY135" s="105"/>
      <c r="UNZ135" s="105"/>
      <c r="UOA135" s="105"/>
      <c r="UOB135" s="105"/>
      <c r="UOC135" s="105"/>
      <c r="UOD135" s="105"/>
      <c r="UOE135" s="105"/>
      <c r="UOF135" s="105"/>
      <c r="UOG135" s="105"/>
      <c r="UOH135" s="105"/>
      <c r="UOI135" s="105"/>
      <c r="UOJ135" s="105"/>
      <c r="UOK135" s="105"/>
      <c r="UOL135" s="105"/>
      <c r="UOM135" s="105"/>
      <c r="UON135" s="105"/>
      <c r="UOO135" s="105"/>
      <c r="UOP135" s="105"/>
      <c r="UOQ135" s="105"/>
      <c r="UOR135" s="105"/>
      <c r="UOS135" s="105"/>
      <c r="UOT135" s="105"/>
      <c r="UOU135" s="105"/>
      <c r="UOV135" s="105"/>
      <c r="UOW135" s="105"/>
      <c r="UOX135" s="105"/>
      <c r="UOY135" s="105"/>
      <c r="UOZ135" s="105"/>
      <c r="UPA135" s="105"/>
      <c r="UPB135" s="105"/>
      <c r="UPC135" s="105"/>
      <c r="UPD135" s="105"/>
      <c r="UPE135" s="105"/>
      <c r="UPF135" s="105"/>
      <c r="UPG135" s="105"/>
      <c r="UPH135" s="105"/>
      <c r="UPI135" s="105"/>
      <c r="UPJ135" s="105"/>
      <c r="UPK135" s="105"/>
      <c r="UPL135" s="105"/>
      <c r="UPM135" s="105"/>
      <c r="UPN135" s="105"/>
      <c r="UPO135" s="105"/>
      <c r="UPP135" s="105"/>
      <c r="UPQ135" s="105"/>
      <c r="UPR135" s="105"/>
      <c r="UPS135" s="105"/>
      <c r="UPT135" s="105"/>
      <c r="UPU135" s="105"/>
      <c r="UPV135" s="105"/>
      <c r="UPW135" s="105"/>
      <c r="UPX135" s="105"/>
      <c r="UPY135" s="105"/>
      <c r="UPZ135" s="105"/>
      <c r="UQA135" s="105"/>
      <c r="UQB135" s="105"/>
      <c r="UQC135" s="105"/>
      <c r="UQD135" s="105"/>
      <c r="UQE135" s="105"/>
      <c r="UQF135" s="105"/>
      <c r="UQG135" s="105"/>
      <c r="UQH135" s="105"/>
      <c r="UQI135" s="105"/>
      <c r="UQJ135" s="105"/>
      <c r="UQK135" s="105"/>
      <c r="UQL135" s="105"/>
      <c r="UQM135" s="105"/>
      <c r="UQN135" s="105"/>
      <c r="UQO135" s="105"/>
      <c r="UQP135" s="105"/>
      <c r="UQQ135" s="105"/>
      <c r="UQR135" s="105"/>
      <c r="UQS135" s="105"/>
      <c r="UQT135" s="105"/>
      <c r="UQU135" s="105"/>
      <c r="UQV135" s="105"/>
      <c r="UQW135" s="105"/>
      <c r="UQX135" s="105"/>
      <c r="UQY135" s="105"/>
      <c r="UQZ135" s="105"/>
      <c r="URA135" s="105"/>
      <c r="URB135" s="105"/>
      <c r="URC135" s="105"/>
      <c r="URD135" s="105"/>
      <c r="URE135" s="105"/>
      <c r="URF135" s="105"/>
      <c r="URG135" s="105"/>
      <c r="URH135" s="105"/>
      <c r="URI135" s="105"/>
      <c r="URJ135" s="105"/>
      <c r="URK135" s="105"/>
      <c r="URL135" s="105"/>
      <c r="URM135" s="105"/>
      <c r="URN135" s="105"/>
      <c r="URO135" s="105"/>
      <c r="URP135" s="105"/>
      <c r="URQ135" s="105"/>
      <c r="URR135" s="105"/>
      <c r="URS135" s="105"/>
      <c r="URT135" s="105"/>
      <c r="URU135" s="105"/>
      <c r="URV135" s="105"/>
      <c r="URW135" s="105"/>
      <c r="URX135" s="105"/>
      <c r="URY135" s="105"/>
      <c r="URZ135" s="105"/>
      <c r="USA135" s="105"/>
      <c r="USB135" s="105"/>
      <c r="USC135" s="105"/>
      <c r="USD135" s="105"/>
      <c r="USE135" s="105"/>
      <c r="USF135" s="105"/>
      <c r="USG135" s="105"/>
      <c r="USH135" s="105"/>
      <c r="USI135" s="105"/>
      <c r="USJ135" s="105"/>
      <c r="USK135" s="105"/>
      <c r="USL135" s="105"/>
      <c r="USM135" s="105"/>
      <c r="USN135" s="105"/>
      <c r="USO135" s="105"/>
      <c r="USP135" s="105"/>
      <c r="USQ135" s="105"/>
      <c r="USR135" s="105"/>
      <c r="USS135" s="105"/>
      <c r="UST135" s="105"/>
      <c r="USU135" s="105"/>
      <c r="USV135" s="105"/>
      <c r="USW135" s="105"/>
      <c r="USX135" s="105"/>
      <c r="USY135" s="105"/>
      <c r="USZ135" s="105"/>
      <c r="UTA135" s="105"/>
      <c r="UTB135" s="105"/>
      <c r="UTC135" s="105"/>
      <c r="UTD135" s="105"/>
      <c r="UTE135" s="105"/>
      <c r="UTF135" s="105"/>
      <c r="UTG135" s="105"/>
      <c r="UTH135" s="105"/>
      <c r="UTI135" s="105"/>
      <c r="UTJ135" s="105"/>
      <c r="UTK135" s="105"/>
      <c r="UTL135" s="105"/>
      <c r="UTM135" s="105"/>
      <c r="UTN135" s="105"/>
      <c r="UTO135" s="105"/>
      <c r="UTP135" s="105"/>
      <c r="UTQ135" s="105"/>
      <c r="UTR135" s="105"/>
      <c r="UTS135" s="105"/>
      <c r="UTT135" s="105"/>
      <c r="UTU135" s="105"/>
      <c r="UTV135" s="105"/>
      <c r="UTW135" s="105"/>
      <c r="UTX135" s="105"/>
      <c r="UTY135" s="105"/>
      <c r="UTZ135" s="105"/>
      <c r="UUA135" s="105"/>
      <c r="UUB135" s="105"/>
      <c r="UUC135" s="105"/>
      <c r="UUD135" s="105"/>
      <c r="UUE135" s="105"/>
      <c r="UUF135" s="105"/>
      <c r="UUG135" s="105"/>
      <c r="UUH135" s="105"/>
      <c r="UUI135" s="105"/>
      <c r="UUJ135" s="105"/>
      <c r="UUK135" s="105"/>
      <c r="UUL135" s="105"/>
      <c r="UUM135" s="105"/>
      <c r="UUN135" s="105"/>
      <c r="UUO135" s="105"/>
      <c r="UUP135" s="105"/>
      <c r="UUQ135" s="105"/>
      <c r="UUR135" s="105"/>
      <c r="UUS135" s="105"/>
      <c r="UUT135" s="105"/>
      <c r="UUU135" s="105"/>
      <c r="UUV135" s="105"/>
      <c r="UUW135" s="105"/>
      <c r="UUX135" s="105"/>
      <c r="UUY135" s="105"/>
      <c r="UUZ135" s="105"/>
      <c r="UVA135" s="105"/>
      <c r="UVB135" s="105"/>
      <c r="UVC135" s="105"/>
      <c r="UVD135" s="105"/>
      <c r="UVE135" s="105"/>
      <c r="UVF135" s="105"/>
      <c r="UVG135" s="105"/>
      <c r="UVH135" s="105"/>
      <c r="UVI135" s="105"/>
      <c r="UVJ135" s="105"/>
      <c r="UVK135" s="105"/>
      <c r="UVL135" s="105"/>
      <c r="UVM135" s="105"/>
      <c r="UVN135" s="105"/>
      <c r="UVO135" s="105"/>
      <c r="UVP135" s="105"/>
      <c r="UVQ135" s="105"/>
      <c r="UVR135" s="105"/>
      <c r="UVS135" s="105"/>
      <c r="UVT135" s="105"/>
      <c r="UVU135" s="105"/>
      <c r="UVV135" s="105"/>
      <c r="UVW135" s="105"/>
      <c r="UVX135" s="105"/>
      <c r="UVY135" s="105"/>
      <c r="UVZ135" s="105"/>
      <c r="UWA135" s="105"/>
      <c r="UWB135" s="105"/>
      <c r="UWC135" s="105"/>
      <c r="UWD135" s="105"/>
      <c r="UWE135" s="105"/>
      <c r="UWF135" s="105"/>
      <c r="UWG135" s="105"/>
      <c r="UWH135" s="105"/>
      <c r="UWI135" s="105"/>
      <c r="UWJ135" s="105"/>
      <c r="UWK135" s="105"/>
      <c r="UWL135" s="105"/>
      <c r="UWM135" s="105"/>
      <c r="UWN135" s="105"/>
      <c r="UWO135" s="105"/>
      <c r="UWP135" s="105"/>
      <c r="UWQ135" s="105"/>
      <c r="UWR135" s="105"/>
      <c r="UWS135" s="105"/>
      <c r="UWT135" s="105"/>
      <c r="UWU135" s="105"/>
      <c r="UWV135" s="105"/>
      <c r="UWW135" s="105"/>
      <c r="UWX135" s="105"/>
      <c r="UWY135" s="105"/>
      <c r="UWZ135" s="105"/>
      <c r="UXA135" s="105"/>
      <c r="UXB135" s="105"/>
      <c r="UXC135" s="105"/>
      <c r="UXD135" s="105"/>
      <c r="UXE135" s="105"/>
      <c r="UXF135" s="105"/>
      <c r="UXG135" s="105"/>
      <c r="UXH135" s="105"/>
      <c r="UXI135" s="105"/>
      <c r="UXJ135" s="105"/>
      <c r="UXK135" s="105"/>
      <c r="UXL135" s="105"/>
      <c r="UXM135" s="105"/>
      <c r="UXN135" s="105"/>
      <c r="UXO135" s="105"/>
      <c r="UXP135" s="105"/>
      <c r="UXQ135" s="105"/>
      <c r="UXR135" s="105"/>
      <c r="UXS135" s="105"/>
      <c r="UXT135" s="105"/>
      <c r="UXU135" s="105"/>
      <c r="UXV135" s="105"/>
      <c r="UXW135" s="105"/>
      <c r="UXX135" s="105"/>
      <c r="UXY135" s="105"/>
      <c r="UXZ135" s="105"/>
      <c r="UYA135" s="105"/>
      <c r="UYB135" s="105"/>
      <c r="UYC135" s="105"/>
      <c r="UYD135" s="105"/>
      <c r="UYE135" s="105"/>
      <c r="UYF135" s="105"/>
      <c r="UYG135" s="105"/>
      <c r="UYH135" s="105"/>
      <c r="UYI135" s="105"/>
      <c r="UYJ135" s="105"/>
      <c r="UYK135" s="105"/>
      <c r="UYL135" s="105"/>
      <c r="UYM135" s="105"/>
      <c r="UYN135" s="105"/>
      <c r="UYO135" s="105"/>
      <c r="UYP135" s="105"/>
      <c r="UYQ135" s="105"/>
      <c r="UYR135" s="105"/>
      <c r="UYS135" s="105"/>
      <c r="UYT135" s="105"/>
      <c r="UYU135" s="105"/>
      <c r="UYV135" s="105"/>
      <c r="UYW135" s="105"/>
      <c r="UYX135" s="105"/>
      <c r="UYY135" s="105"/>
      <c r="UYZ135" s="105"/>
      <c r="UZA135" s="105"/>
      <c r="UZB135" s="105"/>
      <c r="UZC135" s="105"/>
      <c r="UZD135" s="105"/>
      <c r="UZE135" s="105"/>
      <c r="UZF135" s="105"/>
      <c r="UZG135" s="105"/>
      <c r="UZH135" s="105"/>
      <c r="UZI135" s="105"/>
      <c r="UZJ135" s="105"/>
      <c r="UZK135" s="105"/>
      <c r="UZL135" s="105"/>
      <c r="UZM135" s="105"/>
      <c r="UZN135" s="105"/>
      <c r="UZO135" s="105"/>
      <c r="UZP135" s="105"/>
      <c r="UZQ135" s="105"/>
      <c r="UZR135" s="105"/>
      <c r="UZS135" s="105"/>
      <c r="UZT135" s="105"/>
      <c r="UZU135" s="105"/>
      <c r="UZV135" s="105"/>
      <c r="UZW135" s="105"/>
      <c r="UZX135" s="105"/>
      <c r="UZY135" s="105"/>
      <c r="UZZ135" s="105"/>
      <c r="VAA135" s="105"/>
      <c r="VAB135" s="105"/>
      <c r="VAC135" s="105"/>
      <c r="VAD135" s="105"/>
      <c r="VAE135" s="105"/>
      <c r="VAF135" s="105"/>
      <c r="VAG135" s="105"/>
      <c r="VAH135" s="105"/>
      <c r="VAI135" s="105"/>
      <c r="VAJ135" s="105"/>
      <c r="VAK135" s="105"/>
      <c r="VAL135" s="105"/>
      <c r="VAM135" s="105"/>
      <c r="VAN135" s="105"/>
      <c r="VAO135" s="105"/>
      <c r="VAP135" s="105"/>
      <c r="VAQ135" s="105"/>
      <c r="VAR135" s="105"/>
      <c r="VAS135" s="105"/>
      <c r="VAT135" s="105"/>
      <c r="VAU135" s="105"/>
      <c r="VAV135" s="105"/>
      <c r="VAW135" s="105"/>
      <c r="VAX135" s="105"/>
      <c r="VAY135" s="105"/>
      <c r="VAZ135" s="105"/>
      <c r="VBA135" s="105"/>
      <c r="VBB135" s="105"/>
      <c r="VBC135" s="105"/>
      <c r="VBD135" s="105"/>
      <c r="VBE135" s="105"/>
      <c r="VBF135" s="105"/>
      <c r="VBG135" s="105"/>
      <c r="VBH135" s="105"/>
      <c r="VBI135" s="105"/>
      <c r="VBJ135" s="105"/>
      <c r="VBK135" s="105"/>
      <c r="VBL135" s="105"/>
      <c r="VBM135" s="105"/>
      <c r="VBN135" s="105"/>
      <c r="VBO135" s="105"/>
      <c r="VBP135" s="105"/>
      <c r="VBQ135" s="105"/>
      <c r="VBR135" s="105"/>
      <c r="VBS135" s="105"/>
      <c r="VBT135" s="105"/>
      <c r="VBU135" s="105"/>
      <c r="VBV135" s="105"/>
      <c r="VBW135" s="105"/>
      <c r="VBX135" s="105"/>
      <c r="VBY135" s="105"/>
      <c r="VBZ135" s="105"/>
      <c r="VCA135" s="105"/>
      <c r="VCB135" s="105"/>
      <c r="VCC135" s="105"/>
      <c r="VCD135" s="105"/>
      <c r="VCE135" s="105"/>
      <c r="VCF135" s="105"/>
      <c r="VCG135" s="105"/>
      <c r="VCH135" s="105"/>
      <c r="VCI135" s="105"/>
      <c r="VCJ135" s="105"/>
      <c r="VCK135" s="105"/>
      <c r="VCL135" s="105"/>
      <c r="VCM135" s="105"/>
      <c r="VCN135" s="105"/>
      <c r="VCO135" s="105"/>
      <c r="VCP135" s="105"/>
      <c r="VCQ135" s="105"/>
      <c r="VCR135" s="105"/>
      <c r="VCS135" s="105"/>
      <c r="VCT135" s="105"/>
      <c r="VCU135" s="105"/>
      <c r="VCV135" s="105"/>
      <c r="VCW135" s="105"/>
      <c r="VCX135" s="105"/>
      <c r="VCY135" s="105"/>
      <c r="VCZ135" s="105"/>
      <c r="VDA135" s="105"/>
      <c r="VDB135" s="105"/>
      <c r="VDC135" s="105"/>
      <c r="VDD135" s="105"/>
      <c r="VDE135" s="105"/>
      <c r="VDF135" s="105"/>
      <c r="VDG135" s="105"/>
      <c r="VDH135" s="105"/>
      <c r="VDI135" s="105"/>
      <c r="VDJ135" s="105"/>
      <c r="VDK135" s="105"/>
      <c r="VDL135" s="105"/>
      <c r="VDM135" s="105"/>
      <c r="VDN135" s="105"/>
      <c r="VDO135" s="105"/>
      <c r="VDP135" s="105"/>
      <c r="VDQ135" s="105"/>
      <c r="VDR135" s="105"/>
      <c r="VDS135" s="105"/>
      <c r="VDT135" s="105"/>
      <c r="VDU135" s="105"/>
      <c r="VDV135" s="105"/>
      <c r="VDW135" s="105"/>
      <c r="VDX135" s="105"/>
      <c r="VDY135" s="105"/>
      <c r="VDZ135" s="105"/>
      <c r="VEA135" s="105"/>
      <c r="VEB135" s="105"/>
      <c r="VEC135" s="105"/>
      <c r="VED135" s="105"/>
      <c r="VEE135" s="105"/>
      <c r="VEF135" s="105"/>
      <c r="VEG135" s="105"/>
      <c r="VEH135" s="105"/>
      <c r="VEI135" s="105"/>
      <c r="VEJ135" s="105"/>
      <c r="VEK135" s="105"/>
      <c r="VEL135" s="105"/>
      <c r="VEM135" s="105"/>
      <c r="VEN135" s="105"/>
      <c r="VEO135" s="105"/>
      <c r="VEP135" s="105"/>
      <c r="VEQ135" s="105"/>
      <c r="VER135" s="105"/>
      <c r="VES135" s="105"/>
      <c r="VET135" s="105"/>
      <c r="VEU135" s="105"/>
      <c r="VEV135" s="105"/>
      <c r="VEW135" s="105"/>
      <c r="VEX135" s="105"/>
      <c r="VEY135" s="105"/>
      <c r="VEZ135" s="105"/>
      <c r="VFA135" s="105"/>
      <c r="VFB135" s="105"/>
      <c r="VFC135" s="105"/>
      <c r="VFD135" s="105"/>
      <c r="VFE135" s="105"/>
      <c r="VFF135" s="105"/>
      <c r="VFG135" s="105"/>
      <c r="VFH135" s="105"/>
      <c r="VFI135" s="105"/>
      <c r="VFJ135" s="105"/>
      <c r="VFK135" s="105"/>
      <c r="VFL135" s="105"/>
      <c r="VFM135" s="105"/>
      <c r="VFN135" s="105"/>
      <c r="VFO135" s="105"/>
      <c r="VFP135" s="105"/>
      <c r="VFQ135" s="105"/>
      <c r="VFR135" s="105"/>
      <c r="VFS135" s="105"/>
      <c r="VFT135" s="105"/>
      <c r="VFU135" s="105"/>
      <c r="VFV135" s="105"/>
      <c r="VFW135" s="105"/>
      <c r="VFX135" s="105"/>
      <c r="VFY135" s="105"/>
      <c r="VFZ135" s="105"/>
      <c r="VGA135" s="105"/>
      <c r="VGB135" s="105"/>
      <c r="VGC135" s="105"/>
      <c r="VGD135" s="105"/>
      <c r="VGE135" s="105"/>
      <c r="VGF135" s="105"/>
      <c r="VGG135" s="105"/>
      <c r="VGH135" s="105"/>
      <c r="VGI135" s="105"/>
      <c r="VGJ135" s="105"/>
      <c r="VGK135" s="105"/>
      <c r="VGL135" s="105"/>
      <c r="VGM135" s="105"/>
      <c r="VGN135" s="105"/>
      <c r="VGO135" s="105"/>
      <c r="VGP135" s="105"/>
      <c r="VGQ135" s="105"/>
      <c r="VGR135" s="105"/>
      <c r="VGS135" s="105"/>
      <c r="VGT135" s="105"/>
      <c r="VGU135" s="105"/>
      <c r="VGV135" s="105"/>
      <c r="VGW135" s="105"/>
      <c r="VGX135" s="105"/>
      <c r="VGY135" s="105"/>
      <c r="VGZ135" s="105"/>
      <c r="VHA135" s="105"/>
      <c r="VHB135" s="105"/>
      <c r="VHC135" s="105"/>
      <c r="VHD135" s="105"/>
      <c r="VHE135" s="105"/>
      <c r="VHF135" s="105"/>
      <c r="VHG135" s="105"/>
      <c r="VHH135" s="105"/>
      <c r="VHI135" s="105"/>
      <c r="VHJ135" s="105"/>
      <c r="VHK135" s="105"/>
      <c r="VHL135" s="105"/>
      <c r="VHM135" s="105"/>
      <c r="VHN135" s="105"/>
      <c r="VHO135" s="105"/>
      <c r="VHP135" s="105"/>
      <c r="VHQ135" s="105"/>
      <c r="VHR135" s="105"/>
      <c r="VHS135" s="105"/>
      <c r="VHT135" s="105"/>
      <c r="VHU135" s="105"/>
      <c r="VHV135" s="105"/>
      <c r="VHW135" s="105"/>
      <c r="VHX135" s="105"/>
      <c r="VHY135" s="105"/>
      <c r="VHZ135" s="105"/>
      <c r="VIA135" s="105"/>
      <c r="VIB135" s="105"/>
      <c r="VIC135" s="105"/>
      <c r="VID135" s="105"/>
      <c r="VIE135" s="105"/>
      <c r="VIF135" s="105"/>
      <c r="VIG135" s="105"/>
      <c r="VIH135" s="105"/>
      <c r="VII135" s="105"/>
      <c r="VIJ135" s="105"/>
      <c r="VIK135" s="105"/>
      <c r="VIL135" s="105"/>
      <c r="VIM135" s="105"/>
      <c r="VIN135" s="105"/>
      <c r="VIO135" s="105"/>
      <c r="VIP135" s="105"/>
      <c r="VIQ135" s="105"/>
      <c r="VIR135" s="105"/>
      <c r="VIS135" s="105"/>
      <c r="VIT135" s="105"/>
      <c r="VIU135" s="105"/>
      <c r="VIV135" s="105"/>
      <c r="VIW135" s="105"/>
      <c r="VIX135" s="105"/>
      <c r="VIY135" s="105"/>
      <c r="VIZ135" s="105"/>
      <c r="VJA135" s="105"/>
      <c r="VJB135" s="105"/>
      <c r="VJC135" s="105"/>
      <c r="VJD135" s="105"/>
      <c r="VJE135" s="105"/>
      <c r="VJF135" s="105"/>
      <c r="VJG135" s="105"/>
      <c r="VJH135" s="105"/>
      <c r="VJI135" s="105"/>
      <c r="VJJ135" s="105"/>
      <c r="VJK135" s="105"/>
      <c r="VJL135" s="105"/>
      <c r="VJM135" s="105"/>
      <c r="VJN135" s="105"/>
      <c r="VJO135" s="105"/>
      <c r="VJP135" s="105"/>
      <c r="VJQ135" s="105"/>
      <c r="VJR135" s="105"/>
      <c r="VJS135" s="105"/>
      <c r="VJT135" s="105"/>
      <c r="VJU135" s="105"/>
      <c r="VJV135" s="105"/>
      <c r="VJW135" s="105"/>
      <c r="VJX135" s="105"/>
      <c r="VJY135" s="105"/>
      <c r="VJZ135" s="105"/>
      <c r="VKA135" s="105"/>
      <c r="VKB135" s="105"/>
      <c r="VKC135" s="105"/>
      <c r="VKD135" s="105"/>
      <c r="VKE135" s="105"/>
      <c r="VKF135" s="105"/>
      <c r="VKG135" s="105"/>
      <c r="VKH135" s="105"/>
      <c r="VKI135" s="105"/>
      <c r="VKJ135" s="105"/>
      <c r="VKK135" s="105"/>
      <c r="VKL135" s="105"/>
      <c r="VKM135" s="105"/>
      <c r="VKN135" s="105"/>
      <c r="VKO135" s="105"/>
      <c r="VKP135" s="105"/>
      <c r="VKQ135" s="105"/>
      <c r="VKR135" s="105"/>
      <c r="VKS135" s="105"/>
      <c r="VKT135" s="105"/>
      <c r="VKU135" s="105"/>
      <c r="VKV135" s="105"/>
      <c r="VKW135" s="105"/>
      <c r="VKX135" s="105"/>
      <c r="VKY135" s="105"/>
      <c r="VKZ135" s="105"/>
      <c r="VLA135" s="105"/>
      <c r="VLB135" s="105"/>
      <c r="VLC135" s="105"/>
      <c r="VLD135" s="105"/>
      <c r="VLE135" s="105"/>
      <c r="VLF135" s="105"/>
      <c r="VLG135" s="105"/>
      <c r="VLH135" s="105"/>
      <c r="VLI135" s="105"/>
      <c r="VLJ135" s="105"/>
      <c r="VLK135" s="105"/>
      <c r="VLL135" s="105"/>
      <c r="VLM135" s="105"/>
      <c r="VLN135" s="105"/>
      <c r="VLO135" s="105"/>
      <c r="VLP135" s="105"/>
      <c r="VLQ135" s="105"/>
      <c r="VLR135" s="105"/>
      <c r="VLS135" s="105"/>
      <c r="VLT135" s="105"/>
      <c r="VLU135" s="105"/>
      <c r="VLV135" s="105"/>
      <c r="VLW135" s="105"/>
      <c r="VLX135" s="105"/>
      <c r="VLY135" s="105"/>
      <c r="VLZ135" s="105"/>
      <c r="VMA135" s="105"/>
      <c r="VMB135" s="105"/>
      <c r="VMC135" s="105"/>
      <c r="VMD135" s="105"/>
      <c r="VME135" s="105"/>
      <c r="VMF135" s="105"/>
      <c r="VMG135" s="105"/>
      <c r="VMH135" s="105"/>
      <c r="VMI135" s="105"/>
      <c r="VMJ135" s="105"/>
      <c r="VMK135" s="105"/>
      <c r="VML135" s="105"/>
      <c r="VMM135" s="105"/>
      <c r="VMN135" s="105"/>
      <c r="VMO135" s="105"/>
      <c r="VMP135" s="105"/>
      <c r="VMQ135" s="105"/>
      <c r="VMR135" s="105"/>
      <c r="VMS135" s="105"/>
      <c r="VMT135" s="105"/>
      <c r="VMU135" s="105"/>
      <c r="VMV135" s="105"/>
      <c r="VMW135" s="105"/>
      <c r="VMX135" s="105"/>
      <c r="VMY135" s="105"/>
      <c r="VMZ135" s="105"/>
      <c r="VNA135" s="105"/>
      <c r="VNB135" s="105"/>
      <c r="VNC135" s="105"/>
      <c r="VND135" s="105"/>
      <c r="VNE135" s="105"/>
      <c r="VNF135" s="105"/>
      <c r="VNG135" s="105"/>
      <c r="VNH135" s="105"/>
      <c r="VNI135" s="105"/>
      <c r="VNJ135" s="105"/>
      <c r="VNK135" s="105"/>
      <c r="VNL135" s="105"/>
      <c r="VNM135" s="105"/>
      <c r="VNN135" s="105"/>
      <c r="VNO135" s="105"/>
      <c r="VNP135" s="105"/>
      <c r="VNQ135" s="105"/>
      <c r="VNR135" s="105"/>
      <c r="VNS135" s="105"/>
      <c r="VNT135" s="105"/>
      <c r="VNU135" s="105"/>
      <c r="VNV135" s="105"/>
      <c r="VNW135" s="105"/>
      <c r="VNX135" s="105"/>
      <c r="VNY135" s="105"/>
      <c r="VNZ135" s="105"/>
      <c r="VOA135" s="105"/>
      <c r="VOB135" s="105"/>
      <c r="VOC135" s="105"/>
      <c r="VOD135" s="105"/>
      <c r="VOE135" s="105"/>
      <c r="VOF135" s="105"/>
      <c r="VOG135" s="105"/>
      <c r="VOH135" s="105"/>
      <c r="VOI135" s="105"/>
      <c r="VOJ135" s="105"/>
      <c r="VOK135" s="105"/>
      <c r="VOL135" s="105"/>
      <c r="VOM135" s="105"/>
      <c r="VON135" s="105"/>
      <c r="VOO135" s="105"/>
      <c r="VOP135" s="105"/>
      <c r="VOQ135" s="105"/>
      <c r="VOR135" s="105"/>
      <c r="VOS135" s="105"/>
      <c r="VOT135" s="105"/>
      <c r="VOU135" s="105"/>
      <c r="VOV135" s="105"/>
      <c r="VOW135" s="105"/>
      <c r="VOX135" s="105"/>
      <c r="VOY135" s="105"/>
      <c r="VOZ135" s="105"/>
      <c r="VPA135" s="105"/>
      <c r="VPB135" s="105"/>
      <c r="VPC135" s="105"/>
      <c r="VPD135" s="105"/>
      <c r="VPE135" s="105"/>
      <c r="VPF135" s="105"/>
      <c r="VPG135" s="105"/>
      <c r="VPH135" s="105"/>
      <c r="VPI135" s="105"/>
      <c r="VPJ135" s="105"/>
      <c r="VPK135" s="105"/>
      <c r="VPL135" s="105"/>
      <c r="VPM135" s="105"/>
      <c r="VPN135" s="105"/>
      <c r="VPO135" s="105"/>
      <c r="VPP135" s="105"/>
      <c r="VPQ135" s="105"/>
      <c r="VPR135" s="105"/>
      <c r="VPS135" s="105"/>
      <c r="VPT135" s="105"/>
      <c r="VPU135" s="105"/>
      <c r="VPV135" s="105"/>
      <c r="VPW135" s="105"/>
      <c r="VPX135" s="105"/>
      <c r="VPY135" s="105"/>
      <c r="VPZ135" s="105"/>
      <c r="VQA135" s="105"/>
      <c r="VQB135" s="105"/>
      <c r="VQC135" s="105"/>
      <c r="VQD135" s="105"/>
      <c r="VQE135" s="105"/>
      <c r="VQF135" s="105"/>
      <c r="VQG135" s="105"/>
      <c r="VQH135" s="105"/>
      <c r="VQI135" s="105"/>
      <c r="VQJ135" s="105"/>
      <c r="VQK135" s="105"/>
      <c r="VQL135" s="105"/>
      <c r="VQM135" s="105"/>
      <c r="VQN135" s="105"/>
      <c r="VQO135" s="105"/>
      <c r="VQP135" s="105"/>
      <c r="VQQ135" s="105"/>
      <c r="VQR135" s="105"/>
      <c r="VQS135" s="105"/>
      <c r="VQT135" s="105"/>
      <c r="VQU135" s="105"/>
      <c r="VQV135" s="105"/>
      <c r="VQW135" s="105"/>
      <c r="VQX135" s="105"/>
      <c r="VQY135" s="105"/>
      <c r="VQZ135" s="105"/>
      <c r="VRA135" s="105"/>
      <c r="VRB135" s="105"/>
      <c r="VRC135" s="105"/>
      <c r="VRD135" s="105"/>
      <c r="VRE135" s="105"/>
      <c r="VRF135" s="105"/>
      <c r="VRG135" s="105"/>
      <c r="VRH135" s="105"/>
      <c r="VRI135" s="105"/>
      <c r="VRJ135" s="105"/>
      <c r="VRK135" s="105"/>
      <c r="VRL135" s="105"/>
      <c r="VRM135" s="105"/>
      <c r="VRN135" s="105"/>
      <c r="VRO135" s="105"/>
      <c r="VRP135" s="105"/>
      <c r="VRQ135" s="105"/>
      <c r="VRR135" s="105"/>
      <c r="VRS135" s="105"/>
      <c r="VRT135" s="105"/>
      <c r="VRU135" s="105"/>
      <c r="VRV135" s="105"/>
      <c r="VRW135" s="105"/>
      <c r="VRX135" s="105"/>
      <c r="VRY135" s="105"/>
      <c r="VRZ135" s="105"/>
      <c r="VSA135" s="105"/>
      <c r="VSB135" s="105"/>
      <c r="VSC135" s="105"/>
      <c r="VSD135" s="105"/>
      <c r="VSE135" s="105"/>
      <c r="VSF135" s="105"/>
      <c r="VSG135" s="105"/>
      <c r="VSH135" s="105"/>
      <c r="VSI135" s="105"/>
      <c r="VSJ135" s="105"/>
      <c r="VSK135" s="105"/>
      <c r="VSL135" s="105"/>
      <c r="VSM135" s="105"/>
      <c r="VSN135" s="105"/>
      <c r="VSO135" s="105"/>
      <c r="VSP135" s="105"/>
      <c r="VSQ135" s="105"/>
      <c r="VSR135" s="105"/>
      <c r="VSS135" s="105"/>
      <c r="VST135" s="105"/>
      <c r="VSU135" s="105"/>
      <c r="VSV135" s="105"/>
      <c r="VSW135" s="105"/>
      <c r="VSX135" s="105"/>
      <c r="VSY135" s="105"/>
      <c r="VSZ135" s="105"/>
      <c r="VTA135" s="105"/>
      <c r="VTB135" s="105"/>
      <c r="VTC135" s="105"/>
      <c r="VTD135" s="105"/>
      <c r="VTE135" s="105"/>
      <c r="VTF135" s="105"/>
      <c r="VTG135" s="105"/>
      <c r="VTH135" s="105"/>
      <c r="VTI135" s="105"/>
      <c r="VTJ135" s="105"/>
      <c r="VTK135" s="105"/>
      <c r="VTL135" s="105"/>
      <c r="VTM135" s="105"/>
      <c r="VTN135" s="105"/>
      <c r="VTO135" s="105"/>
      <c r="VTP135" s="105"/>
      <c r="VTQ135" s="105"/>
      <c r="VTR135" s="105"/>
      <c r="VTS135" s="105"/>
      <c r="VTT135" s="105"/>
      <c r="VTU135" s="105"/>
      <c r="VTV135" s="105"/>
      <c r="VTW135" s="105"/>
      <c r="VTX135" s="105"/>
      <c r="VTY135" s="105"/>
      <c r="VTZ135" s="105"/>
      <c r="VUA135" s="105"/>
      <c r="VUB135" s="105"/>
      <c r="VUC135" s="105"/>
      <c r="VUD135" s="105"/>
      <c r="VUE135" s="105"/>
      <c r="VUF135" s="105"/>
      <c r="VUG135" s="105"/>
      <c r="VUH135" s="105"/>
      <c r="VUI135" s="105"/>
      <c r="VUJ135" s="105"/>
      <c r="VUK135" s="105"/>
      <c r="VUL135" s="105"/>
      <c r="VUM135" s="105"/>
      <c r="VUN135" s="105"/>
      <c r="VUO135" s="105"/>
      <c r="VUP135" s="105"/>
      <c r="VUQ135" s="105"/>
      <c r="VUR135" s="105"/>
      <c r="VUS135" s="105"/>
      <c r="VUT135" s="105"/>
      <c r="VUU135" s="105"/>
      <c r="VUV135" s="105"/>
      <c r="VUW135" s="105"/>
      <c r="VUX135" s="105"/>
      <c r="VUY135" s="105"/>
      <c r="VUZ135" s="105"/>
      <c r="VVA135" s="105"/>
      <c r="VVB135" s="105"/>
      <c r="VVC135" s="105"/>
      <c r="VVD135" s="105"/>
      <c r="VVE135" s="105"/>
      <c r="VVF135" s="105"/>
      <c r="VVG135" s="105"/>
      <c r="VVH135" s="105"/>
      <c r="VVI135" s="105"/>
      <c r="VVJ135" s="105"/>
      <c r="VVK135" s="105"/>
      <c r="VVL135" s="105"/>
      <c r="VVM135" s="105"/>
      <c r="VVN135" s="105"/>
      <c r="VVO135" s="105"/>
      <c r="VVP135" s="105"/>
      <c r="VVQ135" s="105"/>
      <c r="VVR135" s="105"/>
      <c r="VVS135" s="105"/>
      <c r="VVT135" s="105"/>
      <c r="VVU135" s="105"/>
      <c r="VVV135" s="105"/>
      <c r="VVW135" s="105"/>
      <c r="VVX135" s="105"/>
      <c r="VVY135" s="105"/>
      <c r="VVZ135" s="105"/>
      <c r="VWA135" s="105"/>
      <c r="VWB135" s="105"/>
      <c r="VWC135" s="105"/>
      <c r="VWD135" s="105"/>
      <c r="VWE135" s="105"/>
      <c r="VWF135" s="105"/>
      <c r="VWG135" s="105"/>
      <c r="VWH135" s="105"/>
      <c r="VWI135" s="105"/>
      <c r="VWJ135" s="105"/>
      <c r="VWK135" s="105"/>
      <c r="VWL135" s="105"/>
      <c r="VWM135" s="105"/>
      <c r="VWN135" s="105"/>
      <c r="VWO135" s="105"/>
      <c r="VWP135" s="105"/>
      <c r="VWQ135" s="105"/>
      <c r="VWR135" s="105"/>
      <c r="VWS135" s="105"/>
      <c r="VWT135" s="105"/>
      <c r="VWU135" s="105"/>
      <c r="VWV135" s="105"/>
      <c r="VWW135" s="105"/>
      <c r="VWX135" s="105"/>
      <c r="VWY135" s="105"/>
      <c r="VWZ135" s="105"/>
      <c r="VXA135" s="105"/>
      <c r="VXB135" s="105"/>
      <c r="VXC135" s="105"/>
      <c r="VXD135" s="105"/>
      <c r="VXE135" s="105"/>
      <c r="VXF135" s="105"/>
      <c r="VXG135" s="105"/>
      <c r="VXH135" s="105"/>
      <c r="VXI135" s="105"/>
      <c r="VXJ135" s="105"/>
      <c r="VXK135" s="105"/>
      <c r="VXL135" s="105"/>
      <c r="VXM135" s="105"/>
      <c r="VXN135" s="105"/>
      <c r="VXO135" s="105"/>
      <c r="VXP135" s="105"/>
      <c r="VXQ135" s="105"/>
      <c r="VXR135" s="105"/>
      <c r="VXS135" s="105"/>
      <c r="VXT135" s="105"/>
      <c r="VXU135" s="105"/>
      <c r="VXV135" s="105"/>
      <c r="VXW135" s="105"/>
      <c r="VXX135" s="105"/>
      <c r="VXY135" s="105"/>
      <c r="VXZ135" s="105"/>
      <c r="VYA135" s="105"/>
      <c r="VYB135" s="105"/>
      <c r="VYC135" s="105"/>
      <c r="VYD135" s="105"/>
      <c r="VYE135" s="105"/>
      <c r="VYF135" s="105"/>
      <c r="VYG135" s="105"/>
      <c r="VYH135" s="105"/>
      <c r="VYI135" s="105"/>
      <c r="VYJ135" s="105"/>
      <c r="VYK135" s="105"/>
      <c r="VYL135" s="105"/>
      <c r="VYM135" s="105"/>
      <c r="VYN135" s="105"/>
      <c r="VYO135" s="105"/>
      <c r="VYP135" s="105"/>
      <c r="VYQ135" s="105"/>
      <c r="VYR135" s="105"/>
      <c r="VYS135" s="105"/>
      <c r="VYT135" s="105"/>
      <c r="VYU135" s="105"/>
      <c r="VYV135" s="105"/>
      <c r="VYW135" s="105"/>
      <c r="VYX135" s="105"/>
      <c r="VYY135" s="105"/>
      <c r="VYZ135" s="105"/>
      <c r="VZA135" s="105"/>
      <c r="VZB135" s="105"/>
      <c r="VZC135" s="105"/>
      <c r="VZD135" s="105"/>
      <c r="VZE135" s="105"/>
      <c r="VZF135" s="105"/>
      <c r="VZG135" s="105"/>
      <c r="VZH135" s="105"/>
      <c r="VZI135" s="105"/>
      <c r="VZJ135" s="105"/>
      <c r="VZK135" s="105"/>
      <c r="VZL135" s="105"/>
      <c r="VZM135" s="105"/>
      <c r="VZN135" s="105"/>
      <c r="VZO135" s="105"/>
      <c r="VZP135" s="105"/>
      <c r="VZQ135" s="105"/>
      <c r="VZR135" s="105"/>
      <c r="VZS135" s="105"/>
      <c r="VZT135" s="105"/>
      <c r="VZU135" s="105"/>
      <c r="VZV135" s="105"/>
      <c r="VZW135" s="105"/>
      <c r="VZX135" s="105"/>
      <c r="VZY135" s="105"/>
      <c r="VZZ135" s="105"/>
      <c r="WAA135" s="105"/>
      <c r="WAB135" s="105"/>
      <c r="WAC135" s="105"/>
      <c r="WAD135" s="105"/>
      <c r="WAE135" s="105"/>
      <c r="WAF135" s="105"/>
      <c r="WAG135" s="105"/>
      <c r="WAH135" s="105"/>
      <c r="WAI135" s="105"/>
      <c r="WAJ135" s="105"/>
      <c r="WAK135" s="105"/>
      <c r="WAL135" s="105"/>
      <c r="WAM135" s="105"/>
      <c r="WAN135" s="105"/>
      <c r="WAO135" s="105"/>
      <c r="WAP135" s="105"/>
      <c r="WAQ135" s="105"/>
      <c r="WAR135" s="105"/>
      <c r="WAS135" s="105"/>
      <c r="WAT135" s="105"/>
      <c r="WAU135" s="105"/>
      <c r="WAV135" s="105"/>
      <c r="WAW135" s="105"/>
      <c r="WAX135" s="105"/>
      <c r="WAY135" s="105"/>
      <c r="WAZ135" s="105"/>
      <c r="WBA135" s="105"/>
      <c r="WBB135" s="105"/>
      <c r="WBC135" s="105"/>
      <c r="WBD135" s="105"/>
      <c r="WBE135" s="105"/>
      <c r="WBF135" s="105"/>
      <c r="WBG135" s="105"/>
      <c r="WBH135" s="105"/>
      <c r="WBI135" s="105"/>
      <c r="WBJ135" s="105"/>
      <c r="WBK135" s="105"/>
      <c r="WBL135" s="105"/>
      <c r="WBM135" s="105"/>
      <c r="WBN135" s="105"/>
      <c r="WBO135" s="105"/>
      <c r="WBP135" s="105"/>
      <c r="WBQ135" s="105"/>
      <c r="WBR135" s="105"/>
      <c r="WBS135" s="105"/>
      <c r="WBT135" s="105"/>
      <c r="WBU135" s="105"/>
      <c r="WBV135" s="105"/>
      <c r="WBW135" s="105"/>
      <c r="WBX135" s="105"/>
      <c r="WBY135" s="105"/>
      <c r="WBZ135" s="105"/>
      <c r="WCA135" s="105"/>
      <c r="WCB135" s="105"/>
      <c r="WCC135" s="105"/>
      <c r="WCD135" s="105"/>
      <c r="WCE135" s="105"/>
      <c r="WCF135" s="105"/>
      <c r="WCG135" s="105"/>
      <c r="WCH135" s="105"/>
      <c r="WCI135" s="105"/>
      <c r="WCJ135" s="105"/>
      <c r="WCK135" s="105"/>
      <c r="WCL135" s="105"/>
      <c r="WCM135" s="105"/>
      <c r="WCN135" s="105"/>
      <c r="WCO135" s="105"/>
      <c r="WCP135" s="105"/>
      <c r="WCQ135" s="105"/>
      <c r="WCR135" s="105"/>
      <c r="WCS135" s="105"/>
      <c r="WCT135" s="105"/>
      <c r="WCU135" s="105"/>
      <c r="WCV135" s="105"/>
      <c r="WCW135" s="105"/>
      <c r="WCX135" s="105"/>
      <c r="WCY135" s="105"/>
      <c r="WCZ135" s="105"/>
      <c r="WDA135" s="105"/>
      <c r="WDB135" s="105"/>
      <c r="WDC135" s="105"/>
      <c r="WDD135" s="105"/>
      <c r="WDE135" s="105"/>
      <c r="WDF135" s="105"/>
      <c r="WDG135" s="105"/>
      <c r="WDH135" s="105"/>
      <c r="WDI135" s="105"/>
      <c r="WDJ135" s="105"/>
      <c r="WDK135" s="105"/>
      <c r="WDL135" s="105"/>
      <c r="WDM135" s="105"/>
      <c r="WDN135" s="105"/>
      <c r="WDO135" s="105"/>
      <c r="WDP135" s="105"/>
      <c r="WDQ135" s="105"/>
      <c r="WDR135" s="105"/>
      <c r="WDS135" s="105"/>
      <c r="WDT135" s="105"/>
      <c r="WDU135" s="105"/>
      <c r="WDV135" s="105"/>
      <c r="WDW135" s="105"/>
      <c r="WDX135" s="105"/>
      <c r="WDY135" s="105"/>
      <c r="WDZ135" s="105"/>
      <c r="WEA135" s="105"/>
      <c r="WEB135" s="105"/>
      <c r="WEC135" s="105"/>
      <c r="WED135" s="105"/>
      <c r="WEE135" s="105"/>
      <c r="WEF135" s="105"/>
      <c r="WEG135" s="105"/>
      <c r="WEH135" s="105"/>
      <c r="WEI135" s="105"/>
      <c r="WEJ135" s="105"/>
      <c r="WEK135" s="105"/>
      <c r="WEL135" s="105"/>
      <c r="WEM135" s="105"/>
      <c r="WEN135" s="105"/>
      <c r="WEO135" s="105"/>
      <c r="WEP135" s="105"/>
      <c r="WEQ135" s="105"/>
      <c r="WER135" s="105"/>
      <c r="WES135" s="105"/>
      <c r="WET135" s="105"/>
      <c r="WEU135" s="105"/>
      <c r="WEV135" s="105"/>
      <c r="WEW135" s="105"/>
      <c r="WEX135" s="105"/>
      <c r="WEY135" s="105"/>
      <c r="WEZ135" s="105"/>
      <c r="WFA135" s="105"/>
      <c r="WFB135" s="105"/>
      <c r="WFC135" s="105"/>
      <c r="WFD135" s="105"/>
      <c r="WFE135" s="105"/>
      <c r="WFF135" s="105"/>
      <c r="WFG135" s="105"/>
      <c r="WFH135" s="105"/>
      <c r="WFI135" s="105"/>
      <c r="WFJ135" s="105"/>
      <c r="WFK135" s="105"/>
      <c r="WFL135" s="105"/>
      <c r="WFM135" s="105"/>
      <c r="WFN135" s="105"/>
      <c r="WFO135" s="105"/>
      <c r="WFP135" s="105"/>
      <c r="WFQ135" s="105"/>
      <c r="WFR135" s="105"/>
      <c r="WFS135" s="105"/>
      <c r="WFT135" s="105"/>
      <c r="WFU135" s="105"/>
      <c r="WFV135" s="105"/>
      <c r="WFW135" s="105"/>
      <c r="WFX135" s="105"/>
      <c r="WFY135" s="105"/>
      <c r="WFZ135" s="105"/>
      <c r="WGA135" s="105"/>
      <c r="WGB135" s="105"/>
      <c r="WGC135" s="105"/>
      <c r="WGD135" s="105"/>
      <c r="WGE135" s="105"/>
      <c r="WGF135" s="105"/>
      <c r="WGG135" s="105"/>
      <c r="WGH135" s="105"/>
      <c r="WGI135" s="105"/>
      <c r="WGJ135" s="105"/>
      <c r="WGK135" s="105"/>
      <c r="WGL135" s="105"/>
      <c r="WGM135" s="105"/>
      <c r="WGN135" s="105"/>
      <c r="WGO135" s="105"/>
      <c r="WGP135" s="105"/>
      <c r="WGQ135" s="105"/>
      <c r="WGR135" s="105"/>
      <c r="WGS135" s="105"/>
      <c r="WGT135" s="105"/>
      <c r="WGU135" s="105"/>
      <c r="WGV135" s="105"/>
      <c r="WGW135" s="105"/>
      <c r="WGX135" s="105"/>
      <c r="WGY135" s="105"/>
      <c r="WGZ135" s="105"/>
      <c r="WHA135" s="105"/>
      <c r="WHB135" s="105"/>
      <c r="WHC135" s="105"/>
      <c r="WHD135" s="105"/>
      <c r="WHE135" s="105"/>
      <c r="WHF135" s="105"/>
      <c r="WHG135" s="105"/>
      <c r="WHH135" s="105"/>
      <c r="WHI135" s="105"/>
      <c r="WHJ135" s="105"/>
      <c r="WHK135" s="105"/>
      <c r="WHL135" s="105"/>
      <c r="WHM135" s="105"/>
      <c r="WHN135" s="105"/>
      <c r="WHO135" s="105"/>
      <c r="WHP135" s="105"/>
      <c r="WHQ135" s="105"/>
      <c r="WHR135" s="105"/>
      <c r="WHS135" s="105"/>
      <c r="WHT135" s="105"/>
      <c r="WHU135" s="105"/>
      <c r="WHV135" s="105"/>
      <c r="WHW135" s="105"/>
      <c r="WHX135" s="105"/>
      <c r="WHY135" s="105"/>
      <c r="WHZ135" s="105"/>
      <c r="WIA135" s="105"/>
      <c r="WIB135" s="105"/>
      <c r="WIC135" s="105"/>
      <c r="WID135" s="105"/>
      <c r="WIE135" s="105"/>
      <c r="WIF135" s="105"/>
      <c r="WIG135" s="105"/>
      <c r="WIH135" s="105"/>
      <c r="WII135" s="105"/>
      <c r="WIJ135" s="105"/>
      <c r="WIK135" s="105"/>
      <c r="WIL135" s="105"/>
      <c r="WIM135" s="105"/>
      <c r="WIN135" s="105"/>
      <c r="WIO135" s="105"/>
      <c r="WIP135" s="105"/>
      <c r="WIQ135" s="105"/>
      <c r="WIR135" s="105"/>
      <c r="WIS135" s="105"/>
      <c r="WIT135" s="105"/>
      <c r="WIU135" s="105"/>
      <c r="WIV135" s="105"/>
      <c r="WIW135" s="105"/>
      <c r="WIX135" s="105"/>
      <c r="WIY135" s="105"/>
      <c r="WIZ135" s="105"/>
      <c r="WJA135" s="105"/>
      <c r="WJB135" s="105"/>
      <c r="WJC135" s="105"/>
      <c r="WJD135" s="105"/>
      <c r="WJE135" s="105"/>
      <c r="WJF135" s="105"/>
      <c r="WJG135" s="105"/>
      <c r="WJH135" s="105"/>
      <c r="WJI135" s="105"/>
      <c r="WJJ135" s="105"/>
      <c r="WJK135" s="105"/>
      <c r="WJL135" s="105"/>
      <c r="WJM135" s="105"/>
      <c r="WJN135" s="105"/>
      <c r="WJO135" s="105"/>
      <c r="WJP135" s="105"/>
      <c r="WJQ135" s="105"/>
      <c r="WJR135" s="105"/>
      <c r="WJS135" s="105"/>
      <c r="WJT135" s="105"/>
      <c r="WJU135" s="105"/>
      <c r="WJV135" s="105"/>
      <c r="WJW135" s="105"/>
      <c r="WJX135" s="105"/>
      <c r="WJY135" s="105"/>
      <c r="WJZ135" s="105"/>
      <c r="WKA135" s="105"/>
      <c r="WKB135" s="105"/>
      <c r="WKC135" s="105"/>
      <c r="WKD135" s="105"/>
      <c r="WKE135" s="105"/>
      <c r="WKF135" s="105"/>
      <c r="WKG135" s="105"/>
      <c r="WKH135" s="105"/>
      <c r="WKI135" s="105"/>
      <c r="WKJ135" s="105"/>
      <c r="WKK135" s="105"/>
      <c r="WKL135" s="105"/>
      <c r="WKM135" s="105"/>
      <c r="WKN135" s="105"/>
      <c r="WKO135" s="105"/>
      <c r="WKP135" s="105"/>
      <c r="WKQ135" s="105"/>
      <c r="WKR135" s="105"/>
      <c r="WKS135" s="105"/>
      <c r="WKT135" s="105"/>
      <c r="WKU135" s="105"/>
      <c r="WKV135" s="105"/>
      <c r="WKW135" s="105"/>
      <c r="WKX135" s="105"/>
      <c r="WKY135" s="105"/>
      <c r="WKZ135" s="105"/>
      <c r="WLA135" s="105"/>
      <c r="WLB135" s="105"/>
      <c r="WLC135" s="105"/>
      <c r="WLD135" s="105"/>
      <c r="WLE135" s="105"/>
      <c r="WLF135" s="105"/>
      <c r="WLG135" s="105"/>
      <c r="WLH135" s="105"/>
      <c r="WLI135" s="105"/>
      <c r="WLJ135" s="105"/>
      <c r="WLK135" s="105"/>
      <c r="WLL135" s="105"/>
      <c r="WLM135" s="105"/>
      <c r="WLN135" s="105"/>
      <c r="WLO135" s="105"/>
      <c r="WLP135" s="105"/>
      <c r="WLQ135" s="105"/>
      <c r="WLR135" s="105"/>
      <c r="WLS135" s="105"/>
      <c r="WLT135" s="105"/>
      <c r="WLU135" s="105"/>
      <c r="WLV135" s="105"/>
      <c r="WLW135" s="105"/>
      <c r="WLX135" s="105"/>
      <c r="WLY135" s="105"/>
      <c r="WLZ135" s="105"/>
      <c r="WMA135" s="105"/>
      <c r="WMB135" s="105"/>
      <c r="WMC135" s="105"/>
      <c r="WMD135" s="105"/>
      <c r="WME135" s="105"/>
      <c r="WMF135" s="105"/>
      <c r="WMG135" s="105"/>
      <c r="WMH135" s="105"/>
      <c r="WMI135" s="105"/>
      <c r="WMJ135" s="105"/>
      <c r="WMK135" s="105"/>
      <c r="WML135" s="105"/>
      <c r="WMM135" s="105"/>
      <c r="WMN135" s="105"/>
      <c r="WMO135" s="105"/>
      <c r="WMP135" s="105"/>
      <c r="WMQ135" s="105"/>
      <c r="WMR135" s="105"/>
      <c r="WMS135" s="105"/>
      <c r="WMT135" s="105"/>
      <c r="WMU135" s="105"/>
      <c r="WMV135" s="105"/>
      <c r="WMW135" s="105"/>
      <c r="WMX135" s="105"/>
      <c r="WMY135" s="105"/>
      <c r="WMZ135" s="105"/>
      <c r="WNA135" s="105"/>
      <c r="WNB135" s="105"/>
      <c r="WNC135" s="105"/>
      <c r="WND135" s="105"/>
      <c r="WNE135" s="105"/>
      <c r="WNF135" s="105"/>
      <c r="WNG135" s="105"/>
      <c r="WNH135" s="105"/>
      <c r="WNI135" s="105"/>
      <c r="WNJ135" s="105"/>
      <c r="WNK135" s="105"/>
      <c r="WNL135" s="105"/>
      <c r="WNM135" s="105"/>
      <c r="WNN135" s="105"/>
      <c r="WNO135" s="105"/>
      <c r="WNP135" s="105"/>
      <c r="WNQ135" s="105"/>
      <c r="WNR135" s="105"/>
      <c r="WNS135" s="105"/>
      <c r="WNT135" s="105"/>
      <c r="WNU135" s="105"/>
      <c r="WNV135" s="105"/>
      <c r="WNW135" s="105"/>
      <c r="WNX135" s="105"/>
      <c r="WNY135" s="105"/>
      <c r="WNZ135" s="105"/>
      <c r="WOA135" s="105"/>
      <c r="WOB135" s="105"/>
      <c r="WOC135" s="105"/>
      <c r="WOD135" s="105"/>
      <c r="WOE135" s="105"/>
      <c r="WOF135" s="105"/>
      <c r="WOG135" s="105"/>
      <c r="WOH135" s="105"/>
      <c r="WOI135" s="105"/>
      <c r="WOJ135" s="105"/>
      <c r="WOK135" s="105"/>
      <c r="WOL135" s="105"/>
      <c r="WOM135" s="105"/>
      <c r="WON135" s="105"/>
      <c r="WOO135" s="105"/>
      <c r="WOP135" s="105"/>
      <c r="WOQ135" s="105"/>
      <c r="WOR135" s="105"/>
      <c r="WOS135" s="105"/>
      <c r="WOT135" s="105"/>
      <c r="WOU135" s="105"/>
      <c r="WOV135" s="105"/>
      <c r="WOW135" s="105"/>
      <c r="WOX135" s="105"/>
      <c r="WOY135" s="105"/>
      <c r="WOZ135" s="105"/>
      <c r="WPA135" s="105"/>
      <c r="WPB135" s="105"/>
      <c r="WPC135" s="105"/>
      <c r="WPD135" s="105"/>
      <c r="WPE135" s="105"/>
      <c r="WPF135" s="105"/>
      <c r="WPG135" s="105"/>
      <c r="WPH135" s="105"/>
      <c r="WPI135" s="105"/>
      <c r="WPJ135" s="105"/>
      <c r="WPK135" s="105"/>
      <c r="WPL135" s="105"/>
      <c r="WPM135" s="105"/>
      <c r="WPN135" s="105"/>
      <c r="WPO135" s="105"/>
      <c r="WPP135" s="105"/>
      <c r="WPQ135" s="105"/>
      <c r="WPR135" s="105"/>
      <c r="WPS135" s="105"/>
      <c r="WPT135" s="105"/>
      <c r="WPU135" s="105"/>
      <c r="WPV135" s="105"/>
      <c r="WPW135" s="105"/>
      <c r="WPX135" s="105"/>
      <c r="WPY135" s="105"/>
      <c r="WPZ135" s="105"/>
      <c r="WQA135" s="105"/>
      <c r="WQB135" s="105"/>
      <c r="WQC135" s="105"/>
      <c r="WQD135" s="105"/>
      <c r="WQE135" s="105"/>
      <c r="WQF135" s="105"/>
      <c r="WQG135" s="105"/>
      <c r="WQH135" s="105"/>
      <c r="WQI135" s="105"/>
      <c r="WQJ135" s="105"/>
      <c r="WQK135" s="105"/>
      <c r="WQL135" s="105"/>
      <c r="WQM135" s="105"/>
      <c r="WQN135" s="105"/>
      <c r="WQO135" s="105"/>
      <c r="WQP135" s="105"/>
      <c r="WQQ135" s="105"/>
      <c r="WQR135" s="105"/>
      <c r="WQS135" s="105"/>
      <c r="WQT135" s="105"/>
      <c r="WQU135" s="105"/>
      <c r="WQV135" s="105"/>
      <c r="WQW135" s="105"/>
      <c r="WQX135" s="105"/>
      <c r="WQY135" s="105"/>
      <c r="WQZ135" s="105"/>
      <c r="WRA135" s="105"/>
      <c r="WRB135" s="105"/>
      <c r="WRC135" s="105"/>
      <c r="WRD135" s="105"/>
      <c r="WRE135" s="105"/>
      <c r="WRF135" s="105"/>
      <c r="WRG135" s="105"/>
      <c r="WRH135" s="105"/>
      <c r="WRI135" s="105"/>
      <c r="WRJ135" s="105"/>
      <c r="WRK135" s="105"/>
      <c r="WRL135" s="105"/>
      <c r="WRM135" s="105"/>
      <c r="WRN135" s="105"/>
      <c r="WRO135" s="105"/>
      <c r="WRP135" s="105"/>
      <c r="WRQ135" s="105"/>
      <c r="WRR135" s="105"/>
      <c r="WRS135" s="105"/>
      <c r="WRT135" s="105"/>
      <c r="WRU135" s="105"/>
      <c r="WRV135" s="105"/>
      <c r="WRW135" s="105"/>
      <c r="WRX135" s="105"/>
      <c r="WRY135" s="105"/>
      <c r="WRZ135" s="105"/>
      <c r="WSA135" s="105"/>
      <c r="WSB135" s="105"/>
      <c r="WSC135" s="105"/>
      <c r="WSD135" s="105"/>
      <c r="WSE135" s="105"/>
      <c r="WSF135" s="105"/>
      <c r="WSG135" s="105"/>
      <c r="WSH135" s="105"/>
      <c r="WSI135" s="105"/>
      <c r="WSJ135" s="105"/>
      <c r="WSK135" s="105"/>
      <c r="WSL135" s="105"/>
      <c r="WSM135" s="105"/>
      <c r="WSN135" s="105"/>
      <c r="WSO135" s="105"/>
      <c r="WSP135" s="105"/>
      <c r="WSQ135" s="105"/>
      <c r="WSR135" s="105"/>
      <c r="WSS135" s="105"/>
      <c r="WST135" s="105"/>
      <c r="WSU135" s="105"/>
      <c r="WSV135" s="105"/>
      <c r="WSW135" s="105"/>
      <c r="WSX135" s="105"/>
      <c r="WSY135" s="105"/>
      <c r="WSZ135" s="105"/>
      <c r="WTA135" s="105"/>
      <c r="WTB135" s="105"/>
      <c r="WTC135" s="105"/>
      <c r="WTD135" s="105"/>
      <c r="WTE135" s="105"/>
      <c r="WTF135" s="105"/>
      <c r="WTG135" s="105"/>
      <c r="WTH135" s="105"/>
      <c r="WTI135" s="105"/>
      <c r="WTJ135" s="105"/>
      <c r="WTK135" s="105"/>
      <c r="WTL135" s="105"/>
      <c r="WTM135" s="105"/>
      <c r="WTN135" s="105"/>
      <c r="WTO135" s="105"/>
      <c r="WTP135" s="105"/>
      <c r="WTQ135" s="105"/>
      <c r="WTR135" s="105"/>
      <c r="WTS135" s="105"/>
      <c r="WTT135" s="105"/>
      <c r="WTU135" s="105"/>
      <c r="WTV135" s="105"/>
      <c r="WTW135" s="105"/>
      <c r="WTX135" s="105"/>
      <c r="WTY135" s="105"/>
      <c r="WTZ135" s="105"/>
      <c r="WUA135" s="105"/>
      <c r="WUB135" s="105"/>
      <c r="WUC135" s="105"/>
      <c r="WUD135" s="105"/>
      <c r="WUE135" s="105"/>
      <c r="WUF135" s="105"/>
      <c r="WUG135" s="105"/>
      <c r="WUH135" s="105"/>
      <c r="WUI135" s="105"/>
      <c r="WUJ135" s="105"/>
      <c r="WUK135" s="105"/>
      <c r="WUL135" s="105"/>
      <c r="WUM135" s="105"/>
      <c r="WUN135" s="105"/>
      <c r="WUO135" s="105"/>
      <c r="WUP135" s="105"/>
      <c r="WUQ135" s="105"/>
      <c r="WUR135" s="105"/>
      <c r="WUS135" s="105"/>
      <c r="WUT135" s="105"/>
      <c r="WUU135" s="105"/>
      <c r="WUV135" s="105"/>
      <c r="WUW135" s="105"/>
      <c r="WUX135" s="105"/>
      <c r="WUY135" s="105"/>
      <c r="WUZ135" s="105"/>
      <c r="WVA135" s="105"/>
      <c r="WVB135" s="105"/>
      <c r="WVC135" s="105"/>
      <c r="WVD135" s="105"/>
      <c r="WVE135" s="105"/>
      <c r="WVF135" s="105"/>
      <c r="WVG135" s="105"/>
      <c r="WVH135" s="105"/>
      <c r="WVI135" s="105"/>
      <c r="WVJ135" s="105"/>
      <c r="WVK135" s="105"/>
      <c r="WVL135" s="105"/>
      <c r="WVM135" s="105"/>
      <c r="WVN135" s="105"/>
      <c r="WVO135" s="105"/>
      <c r="WVP135" s="105"/>
      <c r="WVQ135" s="105"/>
      <c r="WVR135" s="105"/>
      <c r="WVS135" s="105"/>
      <c r="WVT135" s="105"/>
      <c r="WVU135" s="105"/>
      <c r="WVV135" s="105"/>
      <c r="WVW135" s="105"/>
      <c r="WVX135" s="105"/>
      <c r="WVY135" s="105"/>
      <c r="WVZ135" s="105"/>
      <c r="WWA135" s="105"/>
      <c r="WWB135" s="105"/>
      <c r="WWC135" s="105"/>
      <c r="WWD135" s="105"/>
      <c r="WWE135" s="105"/>
      <c r="WWF135" s="105"/>
      <c r="WWG135" s="105"/>
      <c r="WWH135" s="105"/>
      <c r="WWI135" s="105"/>
      <c r="WWJ135" s="105"/>
      <c r="WWK135" s="105"/>
      <c r="WWL135" s="105"/>
      <c r="WWM135" s="105"/>
      <c r="WWN135" s="105"/>
      <c r="WWO135" s="105"/>
      <c r="WWP135" s="105"/>
      <c r="WWQ135" s="105"/>
      <c r="WWR135" s="105"/>
      <c r="WWS135" s="105"/>
      <c r="WWT135" s="105"/>
      <c r="WWU135" s="105"/>
      <c r="WWV135" s="105"/>
      <c r="WWW135" s="105"/>
      <c r="WWX135" s="105"/>
      <c r="WWY135" s="105"/>
      <c r="WWZ135" s="105"/>
      <c r="WXA135" s="105"/>
      <c r="WXB135" s="105"/>
      <c r="WXC135" s="105"/>
      <c r="WXD135" s="105"/>
      <c r="WXE135" s="105"/>
      <c r="WXF135" s="105"/>
      <c r="WXG135" s="105"/>
      <c r="WXH135" s="105"/>
      <c r="WXI135" s="105"/>
      <c r="WXJ135" s="105"/>
      <c r="WXK135" s="105"/>
      <c r="WXL135" s="105"/>
      <c r="WXM135" s="105"/>
      <c r="WXN135" s="105"/>
      <c r="WXO135" s="105"/>
      <c r="WXP135" s="105"/>
      <c r="WXQ135" s="105"/>
      <c r="WXR135" s="105"/>
      <c r="WXS135" s="105"/>
      <c r="WXT135" s="105"/>
      <c r="WXU135" s="105"/>
      <c r="WXV135" s="105"/>
      <c r="WXW135" s="105"/>
      <c r="WXX135" s="105"/>
      <c r="WXY135" s="105"/>
      <c r="WXZ135" s="105"/>
      <c r="WYA135" s="105"/>
      <c r="WYB135" s="105"/>
      <c r="WYC135" s="105"/>
      <c r="WYD135" s="105"/>
      <c r="WYE135" s="105"/>
      <c r="WYF135" s="105"/>
      <c r="WYG135" s="105"/>
      <c r="WYH135" s="105"/>
      <c r="WYI135" s="105"/>
      <c r="WYJ135" s="105"/>
      <c r="WYK135" s="105"/>
      <c r="WYL135" s="105"/>
      <c r="WYM135" s="105"/>
      <c r="WYN135" s="105"/>
      <c r="WYO135" s="105"/>
      <c r="WYP135" s="105"/>
      <c r="WYQ135" s="105"/>
      <c r="WYR135" s="105"/>
      <c r="WYS135" s="105"/>
      <c r="WYT135" s="105"/>
      <c r="WYU135" s="105"/>
      <c r="WYV135" s="105"/>
      <c r="WYW135" s="105"/>
      <c r="WYX135" s="105"/>
      <c r="WYY135" s="105"/>
      <c r="WYZ135" s="105"/>
      <c r="WZA135" s="105"/>
      <c r="WZB135" s="105"/>
      <c r="WZC135" s="105"/>
      <c r="WZD135" s="105"/>
      <c r="WZE135" s="105"/>
      <c r="WZF135" s="105"/>
      <c r="WZG135" s="105"/>
      <c r="WZH135" s="105"/>
      <c r="WZI135" s="105"/>
      <c r="WZJ135" s="105"/>
      <c r="WZK135" s="105"/>
      <c r="WZL135" s="105"/>
      <c r="WZM135" s="105"/>
      <c r="WZN135" s="105"/>
      <c r="WZO135" s="105"/>
      <c r="WZP135" s="105"/>
      <c r="WZQ135" s="105"/>
      <c r="WZR135" s="105"/>
      <c r="WZS135" s="105"/>
      <c r="WZT135" s="105"/>
      <c r="WZU135" s="105"/>
      <c r="WZV135" s="105"/>
      <c r="WZW135" s="105"/>
      <c r="WZX135" s="105"/>
      <c r="WZY135" s="105"/>
      <c r="WZZ135" s="105"/>
      <c r="XAA135" s="105"/>
      <c r="XAB135" s="105"/>
      <c r="XAC135" s="105"/>
      <c r="XAD135" s="105"/>
      <c r="XAE135" s="105"/>
      <c r="XAF135" s="105"/>
      <c r="XAG135" s="105"/>
      <c r="XAH135" s="105"/>
      <c r="XAI135" s="105"/>
      <c r="XAJ135" s="105"/>
      <c r="XAK135" s="105"/>
      <c r="XAL135" s="105"/>
      <c r="XAM135" s="105"/>
      <c r="XAN135" s="105"/>
      <c r="XAO135" s="105"/>
      <c r="XAP135" s="105"/>
      <c r="XAQ135" s="105"/>
      <c r="XAR135" s="105"/>
      <c r="XAS135" s="105"/>
      <c r="XAT135" s="105"/>
      <c r="XAU135" s="105"/>
      <c r="XAV135" s="105"/>
      <c r="XAW135" s="105"/>
      <c r="XAX135" s="105"/>
      <c r="XAY135" s="105"/>
      <c r="XAZ135" s="105"/>
      <c r="XBA135" s="105"/>
      <c r="XBB135" s="105"/>
      <c r="XBC135" s="105"/>
      <c r="XBD135" s="105"/>
      <c r="XBE135" s="105"/>
      <c r="XBF135" s="105"/>
      <c r="XBG135" s="105"/>
      <c r="XBH135" s="105"/>
      <c r="XBI135" s="105"/>
      <c r="XBJ135" s="105"/>
      <c r="XBK135" s="105"/>
      <c r="XBL135" s="105"/>
      <c r="XBM135" s="105"/>
      <c r="XBN135" s="105"/>
      <c r="XBO135" s="105"/>
      <c r="XBP135" s="105"/>
      <c r="XBQ135" s="105"/>
      <c r="XBR135" s="105"/>
      <c r="XBS135" s="105"/>
      <c r="XBT135" s="105"/>
      <c r="XBU135" s="105"/>
      <c r="XBV135" s="105"/>
      <c r="XBW135" s="105"/>
      <c r="XBX135" s="105"/>
      <c r="XBY135" s="105"/>
      <c r="XBZ135" s="105"/>
      <c r="XCA135" s="105"/>
      <c r="XCB135" s="105"/>
      <c r="XCC135" s="105"/>
      <c r="XCD135" s="105"/>
      <c r="XCE135" s="105"/>
      <c r="XCF135" s="105"/>
      <c r="XCG135" s="105"/>
      <c r="XCH135" s="105"/>
      <c r="XCI135" s="105"/>
      <c r="XCJ135" s="105"/>
      <c r="XCK135" s="105"/>
      <c r="XCL135" s="105"/>
      <c r="XCM135" s="105"/>
      <c r="XCN135" s="105"/>
      <c r="XCO135" s="105"/>
      <c r="XCP135" s="105"/>
      <c r="XCQ135" s="105"/>
      <c r="XCR135" s="105"/>
      <c r="XCS135" s="105"/>
      <c r="XCT135" s="105"/>
      <c r="XCU135" s="105"/>
      <c r="XCV135" s="105"/>
      <c r="XCW135" s="105"/>
      <c r="XCX135" s="105"/>
      <c r="XCY135" s="105"/>
      <c r="XCZ135" s="105"/>
      <c r="XDA135" s="105"/>
      <c r="XDB135" s="105"/>
      <c r="XDC135" s="105"/>
      <c r="XDD135" s="105"/>
      <c r="XDE135" s="105"/>
      <c r="XDF135" s="105"/>
      <c r="XDG135" s="105"/>
      <c r="XDH135" s="105"/>
      <c r="XDI135" s="105"/>
      <c r="XDJ135" s="105"/>
      <c r="XDK135" s="105"/>
      <c r="XDL135" s="105"/>
      <c r="XDM135" s="105"/>
      <c r="XDN135" s="105"/>
      <c r="XDO135" s="105"/>
      <c r="XDP135" s="105"/>
      <c r="XDQ135" s="105"/>
      <c r="XDR135" s="105"/>
      <c r="XDS135" s="105"/>
      <c r="XDT135" s="105"/>
      <c r="XDU135" s="105"/>
      <c r="XDV135" s="105"/>
      <c r="XDW135" s="105"/>
      <c r="XDX135" s="105"/>
      <c r="XDY135" s="105"/>
      <c r="XDZ135" s="105"/>
      <c r="XEA135" s="105"/>
      <c r="XEB135" s="105"/>
      <c r="XEC135" s="105"/>
      <c r="XED135" s="105"/>
      <c r="XEE135" s="105"/>
      <c r="XEF135" s="105"/>
      <c r="XEG135" s="105"/>
      <c r="XEH135" s="105"/>
      <c r="XEI135" s="105"/>
      <c r="XEJ135" s="105"/>
      <c r="XEK135" s="105"/>
      <c r="XEL135" s="105"/>
      <c r="XEM135" s="105"/>
      <c r="XEN135" s="105"/>
      <c r="XEO135" s="105"/>
      <c r="XEP135" s="105"/>
      <c r="XEQ135" s="105"/>
      <c r="XER135" s="105"/>
      <c r="XES135" s="105"/>
      <c r="XET135" s="105"/>
      <c r="XEU135" s="105"/>
      <c r="XEV135" s="105"/>
      <c r="XEW135" s="105"/>
    </row>
    <row r="136" spans="1:16377">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c r="AA136" s="105"/>
      <c r="AB136" s="105"/>
      <c r="AC136" s="105"/>
      <c r="AD136" s="105"/>
      <c r="AE136" s="105"/>
      <c r="AF136" s="105"/>
      <c r="AG136" s="105"/>
      <c r="AH136" s="105"/>
      <c r="AI136" s="105"/>
      <c r="AJ136" s="105"/>
      <c r="AK136" s="105"/>
      <c r="AL136" s="105"/>
      <c r="AM136" s="105"/>
      <c r="AN136" s="105"/>
      <c r="AO136" s="105"/>
      <c r="AP136" s="105"/>
      <c r="AQ136" s="105"/>
      <c r="AR136" s="105"/>
      <c r="AS136" s="105"/>
      <c r="AT136" s="105"/>
      <c r="AU136" s="105"/>
      <c r="AV136" s="105"/>
      <c r="AW136" s="105"/>
      <c r="AX136" s="105"/>
      <c r="AY136" s="105"/>
      <c r="AZ136" s="105"/>
      <c r="BA136" s="105"/>
      <c r="BB136" s="105"/>
      <c r="BC136" s="105"/>
      <c r="BD136" s="105"/>
      <c r="BE136" s="105"/>
      <c r="BF136" s="105"/>
      <c r="BG136" s="105"/>
      <c r="BH136" s="105"/>
      <c r="BI136" s="105"/>
      <c r="BJ136" s="105"/>
      <c r="BK136" s="105"/>
      <c r="BL136" s="105"/>
      <c r="BM136" s="105"/>
      <c r="BN136" s="105"/>
      <c r="BO136" s="105"/>
      <c r="BP136" s="105"/>
      <c r="BQ136" s="105"/>
      <c r="BR136" s="105"/>
      <c r="BS136" s="105"/>
      <c r="BT136" s="105"/>
      <c r="BU136" s="105"/>
      <c r="BV136" s="105"/>
      <c r="BW136" s="105"/>
      <c r="BX136" s="105"/>
      <c r="BY136" s="105"/>
      <c r="BZ136" s="105"/>
      <c r="CA136" s="105"/>
      <c r="CB136" s="105"/>
      <c r="CC136" s="105"/>
      <c r="CD136" s="105"/>
      <c r="CE136" s="105"/>
      <c r="CF136" s="105"/>
      <c r="CG136" s="105"/>
      <c r="CH136" s="105"/>
      <c r="CI136" s="105"/>
      <c r="CJ136" s="105"/>
      <c r="CK136" s="105"/>
      <c r="CL136" s="105"/>
      <c r="CM136" s="105"/>
      <c r="CN136" s="105"/>
      <c r="CO136" s="105"/>
      <c r="CP136" s="105"/>
      <c r="CQ136" s="105"/>
      <c r="CR136" s="105"/>
      <c r="CS136" s="105"/>
      <c r="CT136" s="105"/>
      <c r="CU136" s="105"/>
      <c r="CV136" s="105"/>
      <c r="CW136" s="105"/>
      <c r="CX136" s="105"/>
      <c r="CY136" s="105"/>
      <c r="CZ136" s="105"/>
      <c r="DA136" s="105"/>
      <c r="DB136" s="105"/>
      <c r="DC136" s="105"/>
      <c r="DD136" s="105"/>
      <c r="DE136" s="105"/>
      <c r="DF136" s="105"/>
      <c r="DG136" s="105"/>
      <c r="DH136" s="105"/>
      <c r="DI136" s="105"/>
      <c r="DJ136" s="105"/>
      <c r="DK136" s="105"/>
      <c r="DL136" s="105"/>
      <c r="DM136" s="105"/>
      <c r="DN136" s="105"/>
      <c r="DO136" s="105"/>
      <c r="DP136" s="105"/>
      <c r="DQ136" s="105"/>
      <c r="DR136" s="105"/>
      <c r="DS136" s="105"/>
      <c r="DT136" s="105"/>
      <c r="DU136" s="105"/>
      <c r="DV136" s="105"/>
      <c r="DW136" s="105"/>
      <c r="DX136" s="105"/>
      <c r="DY136" s="105"/>
      <c r="DZ136" s="105"/>
      <c r="EA136" s="105"/>
      <c r="EB136" s="105"/>
      <c r="EC136" s="105"/>
      <c r="ED136" s="105"/>
      <c r="EE136" s="105"/>
      <c r="EF136" s="105"/>
      <c r="EG136" s="105"/>
      <c r="EH136" s="105"/>
      <c r="EI136" s="105"/>
      <c r="EJ136" s="105"/>
      <c r="EK136" s="105"/>
      <c r="EL136" s="105"/>
      <c r="EM136" s="105"/>
      <c r="EN136" s="105"/>
      <c r="EO136" s="105"/>
      <c r="EP136" s="105"/>
      <c r="EQ136" s="105"/>
      <c r="ER136" s="105"/>
      <c r="ES136" s="105"/>
      <c r="ET136" s="105"/>
      <c r="EU136" s="105"/>
      <c r="EV136" s="105"/>
      <c r="EW136" s="105"/>
      <c r="EX136" s="105"/>
      <c r="EY136" s="105"/>
      <c r="EZ136" s="105"/>
      <c r="FA136" s="105"/>
      <c r="FB136" s="105"/>
      <c r="FC136" s="105"/>
      <c r="FD136" s="105"/>
      <c r="FE136" s="105"/>
      <c r="FF136" s="105"/>
      <c r="FG136" s="105"/>
      <c r="FH136" s="105"/>
      <c r="FI136" s="105"/>
      <c r="FJ136" s="105"/>
      <c r="FK136" s="105"/>
      <c r="FL136" s="105"/>
      <c r="FM136" s="105"/>
      <c r="FN136" s="105"/>
      <c r="FO136" s="105"/>
      <c r="FP136" s="105"/>
      <c r="FQ136" s="105"/>
      <c r="FR136" s="105"/>
      <c r="FS136" s="105"/>
      <c r="FT136" s="105"/>
      <c r="FU136" s="105"/>
      <c r="FV136" s="105"/>
      <c r="FW136" s="105"/>
      <c r="FX136" s="105"/>
      <c r="FY136" s="105"/>
      <c r="FZ136" s="105"/>
      <c r="GA136" s="105"/>
      <c r="GB136" s="105"/>
      <c r="GC136" s="105"/>
      <c r="GD136" s="105"/>
      <c r="GE136" s="105"/>
      <c r="GF136" s="105"/>
      <c r="GG136" s="105"/>
      <c r="GH136" s="105"/>
      <c r="GI136" s="105"/>
      <c r="GJ136" s="105"/>
      <c r="GK136" s="105"/>
      <c r="GL136" s="105"/>
      <c r="GM136" s="105"/>
      <c r="GN136" s="105"/>
      <c r="GO136" s="105"/>
      <c r="GP136" s="105"/>
      <c r="GQ136" s="105"/>
      <c r="GR136" s="105"/>
      <c r="GS136" s="105"/>
      <c r="GT136" s="105"/>
      <c r="GU136" s="105"/>
      <c r="GV136" s="105"/>
      <c r="GW136" s="105"/>
      <c r="GX136" s="105"/>
      <c r="GY136" s="105"/>
      <c r="GZ136" s="105"/>
      <c r="HA136" s="105"/>
      <c r="HB136" s="105"/>
      <c r="HC136" s="105"/>
      <c r="HD136" s="105"/>
      <c r="HE136" s="105"/>
      <c r="HF136" s="105"/>
      <c r="HG136" s="105"/>
      <c r="HH136" s="105"/>
      <c r="HI136" s="105"/>
      <c r="HJ136" s="105"/>
      <c r="HK136" s="105"/>
      <c r="HL136" s="105"/>
      <c r="HM136" s="105"/>
      <c r="HN136" s="105"/>
      <c r="HO136" s="105"/>
      <c r="HP136" s="105"/>
      <c r="HQ136" s="105"/>
      <c r="HR136" s="105"/>
      <c r="HS136" s="105"/>
      <c r="HT136" s="105"/>
      <c r="HU136" s="105"/>
      <c r="HV136" s="105"/>
      <c r="HW136" s="105"/>
      <c r="HX136" s="105"/>
      <c r="HY136" s="105"/>
      <c r="HZ136" s="105"/>
      <c r="IA136" s="105"/>
      <c r="IB136" s="105"/>
      <c r="IC136" s="105"/>
      <c r="ID136" s="105"/>
      <c r="IE136" s="105"/>
      <c r="IF136" s="105"/>
      <c r="IG136" s="105"/>
      <c r="IH136" s="105"/>
      <c r="II136" s="105"/>
      <c r="IJ136" s="105"/>
      <c r="IK136" s="105"/>
      <c r="IL136" s="105"/>
      <c r="IM136" s="105"/>
      <c r="IN136" s="105"/>
      <c r="IO136" s="105"/>
      <c r="IP136" s="105"/>
      <c r="IQ136" s="105"/>
      <c r="IR136" s="105"/>
      <c r="IS136" s="105"/>
      <c r="IT136" s="105"/>
      <c r="IU136" s="105"/>
      <c r="IV136" s="105"/>
      <c r="IW136" s="105"/>
      <c r="IX136" s="105"/>
      <c r="IY136" s="105"/>
      <c r="IZ136" s="105"/>
      <c r="JA136" s="105"/>
      <c r="JB136" s="105"/>
      <c r="JC136" s="105"/>
      <c r="JD136" s="105"/>
      <c r="JE136" s="105"/>
      <c r="JF136" s="105"/>
      <c r="JG136" s="105"/>
      <c r="JH136" s="105"/>
      <c r="JI136" s="105"/>
      <c r="JJ136" s="105"/>
      <c r="JK136" s="105"/>
      <c r="JL136" s="105"/>
      <c r="JM136" s="105"/>
      <c r="JN136" s="105"/>
      <c r="JO136" s="105"/>
      <c r="JP136" s="105"/>
      <c r="JQ136" s="105"/>
      <c r="JR136" s="105"/>
      <c r="JS136" s="105"/>
      <c r="JT136" s="105"/>
      <c r="JU136" s="105"/>
      <c r="JV136" s="105"/>
      <c r="JW136" s="105"/>
      <c r="JX136" s="105"/>
      <c r="JY136" s="105"/>
      <c r="JZ136" s="105"/>
      <c r="KA136" s="105"/>
      <c r="KB136" s="105"/>
      <c r="KC136" s="105"/>
      <c r="KD136" s="105"/>
      <c r="KE136" s="105"/>
      <c r="KF136" s="105"/>
      <c r="KG136" s="105"/>
      <c r="KH136" s="105"/>
      <c r="KI136" s="105"/>
      <c r="KJ136" s="105"/>
      <c r="KK136" s="105"/>
      <c r="KL136" s="105"/>
      <c r="KM136" s="105"/>
      <c r="KN136" s="105"/>
      <c r="KO136" s="105"/>
      <c r="KP136" s="105"/>
      <c r="KQ136" s="105"/>
      <c r="KR136" s="105"/>
      <c r="KS136" s="105"/>
      <c r="KT136" s="105"/>
      <c r="KU136" s="105"/>
      <c r="KV136" s="105"/>
      <c r="KW136" s="105"/>
      <c r="KX136" s="105"/>
      <c r="KY136" s="105"/>
      <c r="KZ136" s="105"/>
      <c r="LA136" s="105"/>
      <c r="LB136" s="105"/>
      <c r="LC136" s="105"/>
      <c r="LD136" s="105"/>
      <c r="LE136" s="105"/>
      <c r="LF136" s="105"/>
      <c r="LG136" s="105"/>
      <c r="LH136" s="105"/>
      <c r="LI136" s="105"/>
      <c r="LJ136" s="105"/>
      <c r="LK136" s="105"/>
      <c r="LL136" s="105"/>
      <c r="LM136" s="105"/>
      <c r="LN136" s="105"/>
      <c r="LO136" s="105"/>
      <c r="LP136" s="105"/>
      <c r="LQ136" s="105"/>
      <c r="LR136" s="105"/>
      <c r="LS136" s="105"/>
      <c r="LT136" s="105"/>
      <c r="LU136" s="105"/>
      <c r="LV136" s="105"/>
      <c r="LW136" s="105"/>
      <c r="LX136" s="105"/>
      <c r="LY136" s="105"/>
      <c r="LZ136" s="105"/>
      <c r="MA136" s="105"/>
      <c r="MB136" s="105"/>
      <c r="MC136" s="105"/>
      <c r="MD136" s="105"/>
      <c r="ME136" s="105"/>
      <c r="MF136" s="105"/>
      <c r="MG136" s="105"/>
      <c r="MH136" s="105"/>
      <c r="MI136" s="105"/>
      <c r="MJ136" s="105"/>
      <c r="MK136" s="105"/>
      <c r="ML136" s="105"/>
      <c r="MM136" s="105"/>
      <c r="MN136" s="105"/>
      <c r="MO136" s="105"/>
      <c r="MP136" s="105"/>
      <c r="MQ136" s="105"/>
      <c r="MR136" s="105"/>
      <c r="MS136" s="105"/>
      <c r="MT136" s="105"/>
      <c r="MU136" s="105"/>
      <c r="MV136" s="105"/>
      <c r="MW136" s="105"/>
      <c r="MX136" s="105"/>
      <c r="MY136" s="105"/>
      <c r="MZ136" s="105"/>
      <c r="NA136" s="105"/>
      <c r="NB136" s="105"/>
      <c r="NC136" s="105"/>
      <c r="ND136" s="105"/>
      <c r="NE136" s="105"/>
      <c r="NF136" s="105"/>
      <c r="NG136" s="105"/>
      <c r="NH136" s="105"/>
      <c r="NI136" s="105"/>
      <c r="NJ136" s="105"/>
      <c r="NK136" s="105"/>
      <c r="NL136" s="105"/>
      <c r="NM136" s="105"/>
      <c r="NN136" s="105"/>
      <c r="NO136" s="105"/>
      <c r="NP136" s="105"/>
      <c r="NQ136" s="105"/>
      <c r="NR136" s="105"/>
      <c r="NS136" s="105"/>
      <c r="NT136" s="105"/>
      <c r="NU136" s="105"/>
      <c r="NV136" s="105"/>
      <c r="NW136" s="105"/>
      <c r="NX136" s="105"/>
      <c r="NY136" s="105"/>
      <c r="NZ136" s="105"/>
      <c r="OA136" s="105"/>
      <c r="OB136" s="105"/>
      <c r="OC136" s="105"/>
      <c r="OD136" s="105"/>
      <c r="OE136" s="105"/>
      <c r="OF136" s="105"/>
      <c r="OG136" s="105"/>
      <c r="OH136" s="105"/>
      <c r="OI136" s="105"/>
      <c r="OJ136" s="105"/>
      <c r="OK136" s="105"/>
      <c r="OL136" s="105"/>
      <c r="OM136" s="105"/>
      <c r="ON136" s="105"/>
      <c r="OO136" s="105"/>
      <c r="OP136" s="105"/>
      <c r="OQ136" s="105"/>
      <c r="OR136" s="105"/>
      <c r="OS136" s="105"/>
      <c r="OT136" s="105"/>
      <c r="OU136" s="105"/>
      <c r="OV136" s="105"/>
      <c r="OW136" s="105"/>
      <c r="OX136" s="105"/>
      <c r="OY136" s="105"/>
      <c r="OZ136" s="105"/>
      <c r="PA136" s="105"/>
      <c r="PB136" s="105"/>
      <c r="PC136" s="105"/>
      <c r="PD136" s="105"/>
      <c r="PE136" s="105"/>
      <c r="PF136" s="105"/>
      <c r="PG136" s="105"/>
      <c r="PH136" s="105"/>
      <c r="PI136" s="105"/>
      <c r="PJ136" s="105"/>
      <c r="PK136" s="105"/>
      <c r="PL136" s="105"/>
      <c r="PM136" s="105"/>
      <c r="PN136" s="105"/>
      <c r="PO136" s="105"/>
      <c r="PP136" s="105"/>
      <c r="PQ136" s="105"/>
      <c r="PR136" s="105"/>
      <c r="PS136" s="105"/>
      <c r="PT136" s="105"/>
      <c r="PU136" s="105"/>
      <c r="PV136" s="105"/>
      <c r="PW136" s="105"/>
      <c r="PX136" s="105"/>
      <c r="PY136" s="105"/>
      <c r="PZ136" s="105"/>
      <c r="QA136" s="105"/>
      <c r="QB136" s="105"/>
      <c r="QC136" s="105"/>
      <c r="QD136" s="105"/>
      <c r="QE136" s="105"/>
      <c r="QF136" s="105"/>
      <c r="QG136" s="105"/>
      <c r="QH136" s="105"/>
      <c r="QI136" s="105"/>
      <c r="QJ136" s="105"/>
      <c r="QK136" s="105"/>
      <c r="QL136" s="105"/>
      <c r="QM136" s="105"/>
      <c r="QN136" s="105"/>
      <c r="QO136" s="105"/>
      <c r="QP136" s="105"/>
      <c r="QQ136" s="105"/>
      <c r="QR136" s="105"/>
      <c r="QS136" s="105"/>
      <c r="QT136" s="105"/>
      <c r="QU136" s="105"/>
      <c r="QV136" s="105"/>
      <c r="QW136" s="105"/>
      <c r="QX136" s="105"/>
      <c r="QY136" s="105"/>
      <c r="QZ136" s="105"/>
      <c r="RA136" s="105"/>
      <c r="RB136" s="105"/>
      <c r="RC136" s="105"/>
      <c r="RD136" s="105"/>
      <c r="RE136" s="105"/>
      <c r="RF136" s="105"/>
      <c r="RG136" s="105"/>
      <c r="RH136" s="105"/>
      <c r="RI136" s="105"/>
      <c r="RJ136" s="105"/>
      <c r="RK136" s="105"/>
      <c r="RL136" s="105"/>
      <c r="RM136" s="105"/>
      <c r="RN136" s="105"/>
      <c r="RO136" s="105"/>
      <c r="RP136" s="105"/>
      <c r="RQ136" s="105"/>
      <c r="RR136" s="105"/>
      <c r="RS136" s="105"/>
      <c r="RT136" s="105"/>
      <c r="RU136" s="105"/>
      <c r="RV136" s="105"/>
      <c r="RW136" s="105"/>
      <c r="RX136" s="105"/>
      <c r="RY136" s="105"/>
      <c r="RZ136" s="105"/>
      <c r="SA136" s="105"/>
      <c r="SB136" s="105"/>
      <c r="SC136" s="105"/>
      <c r="SD136" s="105"/>
      <c r="SE136" s="105"/>
      <c r="SF136" s="105"/>
      <c r="SG136" s="105"/>
      <c r="SH136" s="105"/>
      <c r="SI136" s="105"/>
      <c r="SJ136" s="105"/>
      <c r="SK136" s="105"/>
      <c r="SL136" s="105"/>
      <c r="SM136" s="105"/>
      <c r="SN136" s="105"/>
      <c r="SO136" s="105"/>
      <c r="SP136" s="105"/>
      <c r="SQ136" s="105"/>
      <c r="SR136" s="105"/>
      <c r="SS136" s="105"/>
      <c r="ST136" s="105"/>
      <c r="SU136" s="105"/>
      <c r="SV136" s="105"/>
      <c r="SW136" s="105"/>
      <c r="SX136" s="105"/>
      <c r="SY136" s="105"/>
      <c r="SZ136" s="105"/>
      <c r="TA136" s="105"/>
      <c r="TB136" s="105"/>
      <c r="TC136" s="105"/>
      <c r="TD136" s="105"/>
      <c r="TE136" s="105"/>
      <c r="TF136" s="105"/>
      <c r="TG136" s="105"/>
      <c r="TH136" s="105"/>
      <c r="TI136" s="105"/>
      <c r="TJ136" s="105"/>
      <c r="TK136" s="105"/>
      <c r="TL136" s="105"/>
      <c r="TM136" s="105"/>
      <c r="TN136" s="105"/>
      <c r="TO136" s="105"/>
      <c r="TP136" s="105"/>
      <c r="TQ136" s="105"/>
      <c r="TR136" s="105"/>
      <c r="TS136" s="105"/>
      <c r="TT136" s="105"/>
      <c r="TU136" s="105"/>
      <c r="TV136" s="105"/>
      <c r="TW136" s="105"/>
      <c r="TX136" s="105"/>
      <c r="TY136" s="105"/>
      <c r="TZ136" s="105"/>
      <c r="UA136" s="105"/>
      <c r="UB136" s="105"/>
      <c r="UC136" s="105"/>
      <c r="UD136" s="105"/>
      <c r="UE136" s="105"/>
      <c r="UF136" s="105"/>
      <c r="UG136" s="105"/>
      <c r="UH136" s="105"/>
      <c r="UI136" s="105"/>
      <c r="UJ136" s="105"/>
      <c r="UK136" s="105"/>
      <c r="UL136" s="105"/>
      <c r="UM136" s="105"/>
      <c r="UN136" s="105"/>
      <c r="UO136" s="105"/>
      <c r="UP136" s="105"/>
      <c r="UQ136" s="105"/>
      <c r="UR136" s="105"/>
      <c r="US136" s="105"/>
      <c r="UT136" s="105"/>
      <c r="UU136" s="105"/>
      <c r="UV136" s="105"/>
      <c r="UW136" s="105"/>
      <c r="UX136" s="105"/>
      <c r="UY136" s="105"/>
      <c r="UZ136" s="105"/>
      <c r="VA136" s="105"/>
      <c r="VB136" s="105"/>
      <c r="VC136" s="105"/>
      <c r="VD136" s="105"/>
      <c r="VE136" s="105"/>
      <c r="VF136" s="105"/>
      <c r="VG136" s="105"/>
      <c r="VH136" s="105"/>
      <c r="VI136" s="105"/>
      <c r="VJ136" s="105"/>
      <c r="VK136" s="105"/>
      <c r="VL136" s="105"/>
      <c r="VM136" s="105"/>
      <c r="VN136" s="105"/>
      <c r="VO136" s="105"/>
      <c r="VP136" s="105"/>
      <c r="VQ136" s="105"/>
      <c r="VR136" s="105"/>
      <c r="VS136" s="105"/>
      <c r="VT136" s="105"/>
      <c r="VU136" s="105"/>
      <c r="VV136" s="105"/>
      <c r="VW136" s="105"/>
      <c r="VX136" s="105"/>
      <c r="VY136" s="105"/>
      <c r="VZ136" s="105"/>
      <c r="WA136" s="105"/>
      <c r="WB136" s="105"/>
      <c r="WC136" s="105"/>
      <c r="WD136" s="105"/>
      <c r="WE136" s="105"/>
      <c r="WF136" s="105"/>
      <c r="WG136" s="105"/>
      <c r="WH136" s="105"/>
      <c r="WI136" s="105"/>
      <c r="WJ136" s="105"/>
      <c r="WK136" s="105"/>
      <c r="WL136" s="105"/>
      <c r="WM136" s="105"/>
      <c r="WN136" s="105"/>
      <c r="WO136" s="105"/>
      <c r="WP136" s="105"/>
      <c r="WQ136" s="105"/>
      <c r="WR136" s="105"/>
      <c r="WS136" s="105"/>
      <c r="WT136" s="105"/>
      <c r="WU136" s="105"/>
      <c r="WV136" s="105"/>
      <c r="WW136" s="105"/>
      <c r="WX136" s="105"/>
      <c r="WY136" s="105"/>
      <c r="WZ136" s="105"/>
      <c r="XA136" s="105"/>
      <c r="XB136" s="105"/>
      <c r="XC136" s="105"/>
      <c r="XD136" s="105"/>
      <c r="XE136" s="105"/>
      <c r="XF136" s="105"/>
      <c r="XG136" s="105"/>
      <c r="XH136" s="105"/>
      <c r="XI136" s="105"/>
      <c r="XJ136" s="105"/>
      <c r="XK136" s="105"/>
      <c r="XL136" s="105"/>
      <c r="XM136" s="105"/>
      <c r="XN136" s="105"/>
      <c r="XO136" s="105"/>
      <c r="XP136" s="105"/>
      <c r="XQ136" s="105"/>
      <c r="XR136" s="105"/>
      <c r="XS136" s="105"/>
      <c r="XT136" s="105"/>
      <c r="XU136" s="105"/>
      <c r="XV136" s="105"/>
      <c r="XW136" s="105"/>
      <c r="XX136" s="105"/>
      <c r="XY136" s="105"/>
      <c r="XZ136" s="105"/>
      <c r="YA136" s="105"/>
      <c r="YB136" s="105"/>
      <c r="YC136" s="105"/>
      <c r="YD136" s="105"/>
      <c r="YE136" s="105"/>
      <c r="YF136" s="105"/>
      <c r="YG136" s="105"/>
      <c r="YH136" s="105"/>
      <c r="YI136" s="105"/>
      <c r="YJ136" s="105"/>
      <c r="YK136" s="105"/>
      <c r="YL136" s="105"/>
      <c r="YM136" s="105"/>
      <c r="YN136" s="105"/>
      <c r="YO136" s="105"/>
      <c r="YP136" s="105"/>
      <c r="YQ136" s="105"/>
      <c r="YR136" s="105"/>
      <c r="YS136" s="105"/>
      <c r="YT136" s="105"/>
      <c r="YU136" s="105"/>
      <c r="YV136" s="105"/>
      <c r="YW136" s="105"/>
      <c r="YX136" s="105"/>
      <c r="YY136" s="105"/>
      <c r="YZ136" s="105"/>
      <c r="ZA136" s="105"/>
      <c r="ZB136" s="105"/>
      <c r="ZC136" s="105"/>
      <c r="ZD136" s="105"/>
      <c r="ZE136" s="105"/>
      <c r="ZF136" s="105"/>
      <c r="ZG136" s="105"/>
      <c r="ZH136" s="105"/>
      <c r="ZI136" s="105"/>
      <c r="ZJ136" s="105"/>
      <c r="ZK136" s="105"/>
      <c r="ZL136" s="105"/>
      <c r="ZM136" s="105"/>
      <c r="ZN136" s="105"/>
      <c r="ZO136" s="105"/>
      <c r="ZP136" s="105"/>
      <c r="ZQ136" s="105"/>
      <c r="ZR136" s="105"/>
      <c r="ZS136" s="105"/>
      <c r="ZT136" s="105"/>
      <c r="ZU136" s="105"/>
      <c r="ZV136" s="105"/>
      <c r="ZW136" s="105"/>
      <c r="ZX136" s="105"/>
      <c r="ZY136" s="105"/>
      <c r="ZZ136" s="105"/>
      <c r="AAA136" s="105"/>
      <c r="AAB136" s="105"/>
      <c r="AAC136" s="105"/>
      <c r="AAD136" s="105"/>
      <c r="AAE136" s="105"/>
      <c r="AAF136" s="105"/>
      <c r="AAG136" s="105"/>
      <c r="AAH136" s="105"/>
      <c r="AAI136" s="105"/>
      <c r="AAJ136" s="105"/>
      <c r="AAK136" s="105"/>
      <c r="AAL136" s="105"/>
      <c r="AAM136" s="105"/>
      <c r="AAN136" s="105"/>
      <c r="AAO136" s="105"/>
      <c r="AAP136" s="105"/>
      <c r="AAQ136" s="105"/>
      <c r="AAR136" s="105"/>
      <c r="AAS136" s="105"/>
      <c r="AAT136" s="105"/>
      <c r="AAU136" s="105"/>
      <c r="AAV136" s="105"/>
      <c r="AAW136" s="105"/>
      <c r="AAX136" s="105"/>
      <c r="AAY136" s="105"/>
      <c r="AAZ136" s="105"/>
      <c r="ABA136" s="105"/>
      <c r="ABB136" s="105"/>
      <c r="ABC136" s="105"/>
      <c r="ABD136" s="105"/>
      <c r="ABE136" s="105"/>
      <c r="ABF136" s="105"/>
      <c r="ABG136" s="105"/>
      <c r="ABH136" s="105"/>
      <c r="ABI136" s="105"/>
      <c r="ABJ136" s="105"/>
      <c r="ABK136" s="105"/>
      <c r="ABL136" s="105"/>
      <c r="ABM136" s="105"/>
      <c r="ABN136" s="105"/>
      <c r="ABO136" s="105"/>
      <c r="ABP136" s="105"/>
      <c r="ABQ136" s="105"/>
      <c r="ABR136" s="105"/>
      <c r="ABS136" s="105"/>
      <c r="ABT136" s="105"/>
      <c r="ABU136" s="105"/>
      <c r="ABV136" s="105"/>
      <c r="ABW136" s="105"/>
      <c r="ABX136" s="105"/>
      <c r="ABY136" s="105"/>
      <c r="ABZ136" s="105"/>
      <c r="ACA136" s="105"/>
      <c r="ACB136" s="105"/>
      <c r="ACC136" s="105"/>
      <c r="ACD136" s="105"/>
      <c r="ACE136" s="105"/>
      <c r="ACF136" s="105"/>
      <c r="ACG136" s="105"/>
      <c r="ACH136" s="105"/>
      <c r="ACI136" s="105"/>
      <c r="ACJ136" s="105"/>
      <c r="ACK136" s="105"/>
      <c r="ACL136" s="105"/>
      <c r="ACM136" s="105"/>
      <c r="ACN136" s="105"/>
      <c r="ACO136" s="105"/>
      <c r="ACP136" s="105"/>
      <c r="ACQ136" s="105"/>
      <c r="ACR136" s="105"/>
      <c r="ACS136" s="105"/>
      <c r="ACT136" s="105"/>
      <c r="ACU136" s="105"/>
      <c r="ACV136" s="105"/>
      <c r="ACW136" s="105"/>
      <c r="ACX136" s="105"/>
      <c r="ACY136" s="105"/>
      <c r="ACZ136" s="105"/>
      <c r="ADA136" s="105"/>
      <c r="ADB136" s="105"/>
      <c r="ADC136" s="105"/>
      <c r="ADD136" s="105"/>
      <c r="ADE136" s="105"/>
      <c r="ADF136" s="105"/>
      <c r="ADG136" s="105"/>
      <c r="ADH136" s="105"/>
      <c r="ADI136" s="105"/>
      <c r="ADJ136" s="105"/>
      <c r="ADK136" s="105"/>
      <c r="ADL136" s="105"/>
      <c r="ADM136" s="105"/>
      <c r="ADN136" s="105"/>
      <c r="ADO136" s="105"/>
      <c r="ADP136" s="105"/>
      <c r="ADQ136" s="105"/>
      <c r="ADR136" s="105"/>
      <c r="ADS136" s="105"/>
      <c r="ADT136" s="105"/>
      <c r="ADU136" s="105"/>
      <c r="ADV136" s="105"/>
      <c r="ADW136" s="105"/>
      <c r="ADX136" s="105"/>
      <c r="ADY136" s="105"/>
      <c r="ADZ136" s="105"/>
      <c r="AEA136" s="105"/>
      <c r="AEB136" s="105"/>
      <c r="AEC136" s="105"/>
      <c r="AED136" s="105"/>
      <c r="AEE136" s="105"/>
      <c r="AEF136" s="105"/>
      <c r="AEG136" s="105"/>
      <c r="AEH136" s="105"/>
      <c r="AEI136" s="105"/>
      <c r="AEJ136" s="105"/>
      <c r="AEK136" s="105"/>
      <c r="AEL136" s="105"/>
      <c r="AEM136" s="105"/>
      <c r="AEN136" s="105"/>
      <c r="AEO136" s="105"/>
      <c r="AEP136" s="105"/>
      <c r="AEQ136" s="105"/>
      <c r="AER136" s="105"/>
      <c r="AES136" s="105"/>
      <c r="AET136" s="105"/>
      <c r="AEU136" s="105"/>
      <c r="AEV136" s="105"/>
      <c r="AEW136" s="105"/>
      <c r="AEX136" s="105"/>
      <c r="AEY136" s="105"/>
      <c r="AEZ136" s="105"/>
      <c r="AFA136" s="105"/>
      <c r="AFB136" s="105"/>
      <c r="AFC136" s="105"/>
      <c r="AFD136" s="105"/>
      <c r="AFE136" s="105"/>
      <c r="AFF136" s="105"/>
      <c r="AFG136" s="105"/>
      <c r="AFH136" s="105"/>
      <c r="AFI136" s="105"/>
      <c r="AFJ136" s="105"/>
      <c r="AFK136" s="105"/>
      <c r="AFL136" s="105"/>
      <c r="AFM136" s="105"/>
      <c r="AFN136" s="105"/>
      <c r="AFO136" s="105"/>
      <c r="AFP136" s="105"/>
      <c r="AFQ136" s="105"/>
      <c r="AFR136" s="105"/>
      <c r="AFS136" s="105"/>
      <c r="AFT136" s="105"/>
      <c r="AFU136" s="105"/>
      <c r="AFV136" s="105"/>
      <c r="AFW136" s="105"/>
      <c r="AFX136" s="105"/>
      <c r="AFY136" s="105"/>
      <c r="AFZ136" s="105"/>
      <c r="AGA136" s="105"/>
      <c r="AGB136" s="105"/>
      <c r="AGC136" s="105"/>
      <c r="AGD136" s="105"/>
      <c r="AGE136" s="105"/>
      <c r="AGF136" s="105"/>
      <c r="AGG136" s="105"/>
      <c r="AGH136" s="105"/>
      <c r="AGI136" s="105"/>
      <c r="AGJ136" s="105"/>
      <c r="AGK136" s="105"/>
      <c r="AGL136" s="105"/>
      <c r="AGM136" s="105"/>
      <c r="AGN136" s="105"/>
      <c r="AGO136" s="105"/>
      <c r="AGP136" s="105"/>
      <c r="AGQ136" s="105"/>
      <c r="AGR136" s="105"/>
      <c r="AGS136" s="105"/>
      <c r="AGT136" s="105"/>
      <c r="AGU136" s="105"/>
      <c r="AGV136" s="105"/>
      <c r="AGW136" s="105"/>
      <c r="AGX136" s="105"/>
      <c r="AGY136" s="105"/>
      <c r="AGZ136" s="105"/>
      <c r="AHA136" s="105"/>
      <c r="AHB136" s="105"/>
      <c r="AHC136" s="105"/>
      <c r="AHD136" s="105"/>
      <c r="AHE136" s="105"/>
      <c r="AHF136" s="105"/>
      <c r="AHG136" s="105"/>
      <c r="AHH136" s="105"/>
      <c r="AHI136" s="105"/>
      <c r="AHJ136" s="105"/>
      <c r="AHK136" s="105"/>
      <c r="AHL136" s="105"/>
      <c r="AHM136" s="105"/>
      <c r="AHN136" s="105"/>
      <c r="AHO136" s="105"/>
      <c r="AHP136" s="105"/>
      <c r="AHQ136" s="105"/>
      <c r="AHR136" s="105"/>
      <c r="AHS136" s="105"/>
      <c r="AHT136" s="105"/>
      <c r="AHU136" s="105"/>
      <c r="AHV136" s="105"/>
      <c r="AHW136" s="105"/>
      <c r="AHX136" s="105"/>
      <c r="AHY136" s="105"/>
      <c r="AHZ136" s="105"/>
      <c r="AIA136" s="105"/>
      <c r="AIB136" s="105"/>
      <c r="AIC136" s="105"/>
      <c r="AID136" s="105"/>
      <c r="AIE136" s="105"/>
      <c r="AIF136" s="105"/>
      <c r="AIG136" s="105"/>
      <c r="AIH136" s="105"/>
      <c r="AII136" s="105"/>
      <c r="AIJ136" s="105"/>
      <c r="AIK136" s="105"/>
      <c r="AIL136" s="105"/>
      <c r="AIM136" s="105"/>
      <c r="AIN136" s="105"/>
      <c r="AIO136" s="105"/>
      <c r="AIP136" s="105"/>
      <c r="AIQ136" s="105"/>
      <c r="AIR136" s="105"/>
      <c r="AIS136" s="105"/>
      <c r="AIT136" s="105"/>
      <c r="AIU136" s="105"/>
      <c r="AIV136" s="105"/>
      <c r="AIW136" s="105"/>
      <c r="AIX136" s="105"/>
      <c r="AIY136" s="105"/>
      <c r="AIZ136" s="105"/>
      <c r="AJA136" s="105"/>
      <c r="AJB136" s="105"/>
      <c r="AJC136" s="105"/>
      <c r="AJD136" s="105"/>
      <c r="AJE136" s="105"/>
      <c r="AJF136" s="105"/>
      <c r="AJG136" s="105"/>
      <c r="AJH136" s="105"/>
      <c r="AJI136" s="105"/>
      <c r="AJJ136" s="105"/>
      <c r="AJK136" s="105"/>
      <c r="AJL136" s="105"/>
      <c r="AJM136" s="105"/>
      <c r="AJN136" s="105"/>
      <c r="AJO136" s="105"/>
      <c r="AJP136" s="105"/>
      <c r="AJQ136" s="105"/>
      <c r="AJR136" s="105"/>
      <c r="AJS136" s="105"/>
      <c r="AJT136" s="105"/>
      <c r="AJU136" s="105"/>
      <c r="AJV136" s="105"/>
      <c r="AJW136" s="105"/>
      <c r="AJX136" s="105"/>
      <c r="AJY136" s="105"/>
      <c r="AJZ136" s="105"/>
      <c r="AKA136" s="105"/>
      <c r="AKB136" s="105"/>
      <c r="AKC136" s="105"/>
      <c r="AKD136" s="105"/>
      <c r="AKE136" s="105"/>
      <c r="AKF136" s="105"/>
      <c r="AKG136" s="105"/>
      <c r="AKH136" s="105"/>
      <c r="AKI136" s="105"/>
      <c r="AKJ136" s="105"/>
      <c r="AKK136" s="105"/>
      <c r="AKL136" s="105"/>
      <c r="AKM136" s="105"/>
      <c r="AKN136" s="105"/>
      <c r="AKO136" s="105"/>
      <c r="AKP136" s="105"/>
      <c r="AKQ136" s="105"/>
      <c r="AKR136" s="105"/>
      <c r="AKS136" s="105"/>
      <c r="AKT136" s="105"/>
      <c r="AKU136" s="105"/>
      <c r="AKV136" s="105"/>
      <c r="AKW136" s="105"/>
      <c r="AKX136" s="105"/>
      <c r="AKY136" s="105"/>
      <c r="AKZ136" s="105"/>
      <c r="ALA136" s="105"/>
      <c r="ALB136" s="105"/>
      <c r="ALC136" s="105"/>
      <c r="ALD136" s="105"/>
      <c r="ALE136" s="105"/>
      <c r="ALF136" s="105"/>
      <c r="ALG136" s="105"/>
      <c r="ALH136" s="105"/>
      <c r="ALI136" s="105"/>
      <c r="ALJ136" s="105"/>
      <c r="ALK136" s="105"/>
      <c r="ALL136" s="105"/>
      <c r="ALM136" s="105"/>
      <c r="ALN136" s="105"/>
      <c r="ALO136" s="105"/>
      <c r="ALP136" s="105"/>
      <c r="ALQ136" s="105"/>
      <c r="ALR136" s="105"/>
      <c r="ALS136" s="105"/>
      <c r="ALT136" s="105"/>
      <c r="ALU136" s="105"/>
      <c r="ALV136" s="105"/>
      <c r="ALW136" s="105"/>
      <c r="ALX136" s="105"/>
      <c r="ALY136" s="105"/>
      <c r="ALZ136" s="105"/>
      <c r="AMA136" s="105"/>
      <c r="AMB136" s="105"/>
      <c r="AMC136" s="105"/>
      <c r="AMD136" s="105"/>
      <c r="AME136" s="105"/>
      <c r="AMF136" s="105"/>
      <c r="AMG136" s="105"/>
      <c r="AMH136" s="105"/>
      <c r="AMI136" s="105"/>
      <c r="AMJ136" s="105"/>
      <c r="AMK136" s="105"/>
      <c r="AML136" s="105"/>
      <c r="AMM136" s="105"/>
      <c r="AMN136" s="105"/>
      <c r="AMO136" s="105"/>
      <c r="AMP136" s="105"/>
      <c r="AMQ136" s="105"/>
      <c r="AMR136" s="105"/>
      <c r="AMS136" s="105"/>
      <c r="AMT136" s="105"/>
      <c r="AMU136" s="105"/>
      <c r="AMV136" s="105"/>
      <c r="AMW136" s="105"/>
      <c r="AMX136" s="105"/>
      <c r="AMY136" s="105"/>
      <c r="AMZ136" s="105"/>
      <c r="ANA136" s="105"/>
      <c r="ANB136" s="105"/>
      <c r="ANC136" s="105"/>
      <c r="AND136" s="105"/>
      <c r="ANE136" s="105"/>
      <c r="ANF136" s="105"/>
      <c r="ANG136" s="105"/>
      <c r="ANH136" s="105"/>
      <c r="ANI136" s="105"/>
      <c r="ANJ136" s="105"/>
      <c r="ANK136" s="105"/>
      <c r="ANL136" s="105"/>
      <c r="ANM136" s="105"/>
      <c r="ANN136" s="105"/>
      <c r="ANO136" s="105"/>
      <c r="ANP136" s="105"/>
      <c r="ANQ136" s="105"/>
      <c r="ANR136" s="105"/>
      <c r="ANS136" s="105"/>
      <c r="ANT136" s="105"/>
      <c r="ANU136" s="105"/>
      <c r="ANV136" s="105"/>
      <c r="ANW136" s="105"/>
      <c r="ANX136" s="105"/>
      <c r="ANY136" s="105"/>
      <c r="ANZ136" s="105"/>
      <c r="AOA136" s="105"/>
      <c r="AOB136" s="105"/>
      <c r="AOC136" s="105"/>
      <c r="AOD136" s="105"/>
      <c r="AOE136" s="105"/>
      <c r="AOF136" s="105"/>
      <c r="AOG136" s="105"/>
      <c r="AOH136" s="105"/>
      <c r="AOI136" s="105"/>
      <c r="AOJ136" s="105"/>
      <c r="AOK136" s="105"/>
      <c r="AOL136" s="105"/>
      <c r="AOM136" s="105"/>
      <c r="AON136" s="105"/>
      <c r="AOO136" s="105"/>
      <c r="AOP136" s="105"/>
      <c r="AOQ136" s="105"/>
      <c r="AOR136" s="105"/>
      <c r="AOS136" s="105"/>
      <c r="AOT136" s="105"/>
      <c r="AOU136" s="105"/>
      <c r="AOV136" s="105"/>
      <c r="AOW136" s="105"/>
      <c r="AOX136" s="105"/>
      <c r="AOY136" s="105"/>
      <c r="AOZ136" s="105"/>
      <c r="APA136" s="105"/>
      <c r="APB136" s="105"/>
      <c r="APC136" s="105"/>
      <c r="APD136" s="105"/>
      <c r="APE136" s="105"/>
      <c r="APF136" s="105"/>
      <c r="APG136" s="105"/>
      <c r="APH136" s="105"/>
      <c r="API136" s="105"/>
      <c r="APJ136" s="105"/>
      <c r="APK136" s="105"/>
      <c r="APL136" s="105"/>
      <c r="APM136" s="105"/>
      <c r="APN136" s="105"/>
      <c r="APO136" s="105"/>
      <c r="APP136" s="105"/>
      <c r="APQ136" s="105"/>
      <c r="APR136" s="105"/>
      <c r="APS136" s="105"/>
      <c r="APT136" s="105"/>
      <c r="APU136" s="105"/>
      <c r="APV136" s="105"/>
      <c r="APW136" s="105"/>
      <c r="APX136" s="105"/>
      <c r="APY136" s="105"/>
      <c r="APZ136" s="105"/>
      <c r="AQA136" s="105"/>
      <c r="AQB136" s="105"/>
      <c r="AQC136" s="105"/>
      <c r="AQD136" s="105"/>
      <c r="AQE136" s="105"/>
      <c r="AQF136" s="105"/>
      <c r="AQG136" s="105"/>
      <c r="AQH136" s="105"/>
      <c r="AQI136" s="105"/>
      <c r="AQJ136" s="105"/>
      <c r="AQK136" s="105"/>
      <c r="AQL136" s="105"/>
      <c r="AQM136" s="105"/>
      <c r="AQN136" s="105"/>
      <c r="AQO136" s="105"/>
      <c r="AQP136" s="105"/>
      <c r="AQQ136" s="105"/>
      <c r="AQR136" s="105"/>
      <c r="AQS136" s="105"/>
      <c r="AQT136" s="105"/>
      <c r="AQU136" s="105"/>
      <c r="AQV136" s="105"/>
      <c r="AQW136" s="105"/>
      <c r="AQX136" s="105"/>
      <c r="AQY136" s="105"/>
      <c r="AQZ136" s="105"/>
      <c r="ARA136" s="105"/>
      <c r="ARB136" s="105"/>
      <c r="ARC136" s="105"/>
      <c r="ARD136" s="105"/>
      <c r="ARE136" s="105"/>
      <c r="ARF136" s="105"/>
      <c r="ARG136" s="105"/>
      <c r="ARH136" s="105"/>
      <c r="ARI136" s="105"/>
      <c r="ARJ136" s="105"/>
      <c r="ARK136" s="105"/>
      <c r="ARL136" s="105"/>
      <c r="ARM136" s="105"/>
      <c r="ARN136" s="105"/>
      <c r="ARO136" s="105"/>
      <c r="ARP136" s="105"/>
      <c r="ARQ136" s="105"/>
      <c r="ARR136" s="105"/>
      <c r="ARS136" s="105"/>
      <c r="ART136" s="105"/>
      <c r="ARU136" s="105"/>
      <c r="ARV136" s="105"/>
      <c r="ARW136" s="105"/>
      <c r="ARX136" s="105"/>
      <c r="ARY136" s="105"/>
      <c r="ARZ136" s="105"/>
      <c r="ASA136" s="105"/>
      <c r="ASB136" s="105"/>
      <c r="ASC136" s="105"/>
      <c r="ASD136" s="105"/>
      <c r="ASE136" s="105"/>
      <c r="ASF136" s="105"/>
      <c r="ASG136" s="105"/>
      <c r="ASH136" s="105"/>
      <c r="ASI136" s="105"/>
      <c r="ASJ136" s="105"/>
      <c r="ASK136" s="105"/>
      <c r="ASL136" s="105"/>
      <c r="ASM136" s="105"/>
      <c r="ASN136" s="105"/>
      <c r="ASO136" s="105"/>
      <c r="ASP136" s="105"/>
      <c r="ASQ136" s="105"/>
      <c r="ASR136" s="105"/>
      <c r="ASS136" s="105"/>
      <c r="AST136" s="105"/>
      <c r="ASU136" s="105"/>
      <c r="ASV136" s="105"/>
      <c r="ASW136" s="105"/>
      <c r="ASX136" s="105"/>
      <c r="ASY136" s="105"/>
      <c r="ASZ136" s="105"/>
      <c r="ATA136" s="105"/>
      <c r="ATB136" s="105"/>
      <c r="ATC136" s="105"/>
      <c r="ATD136" s="105"/>
      <c r="ATE136" s="105"/>
      <c r="ATF136" s="105"/>
      <c r="ATG136" s="105"/>
      <c r="ATH136" s="105"/>
      <c r="ATI136" s="105"/>
      <c r="ATJ136" s="105"/>
      <c r="ATK136" s="105"/>
      <c r="ATL136" s="105"/>
      <c r="ATM136" s="105"/>
      <c r="ATN136" s="105"/>
      <c r="ATO136" s="105"/>
      <c r="ATP136" s="105"/>
      <c r="ATQ136" s="105"/>
      <c r="ATR136" s="105"/>
      <c r="ATS136" s="105"/>
      <c r="ATT136" s="105"/>
      <c r="ATU136" s="105"/>
      <c r="ATV136" s="105"/>
      <c r="ATW136" s="105"/>
      <c r="ATX136" s="105"/>
      <c r="ATY136" s="105"/>
      <c r="ATZ136" s="105"/>
      <c r="AUA136" s="105"/>
      <c r="AUB136" s="105"/>
      <c r="AUC136" s="105"/>
      <c r="AUD136" s="105"/>
      <c r="AUE136" s="105"/>
      <c r="AUF136" s="105"/>
      <c r="AUG136" s="105"/>
      <c r="AUH136" s="105"/>
      <c r="AUI136" s="105"/>
      <c r="AUJ136" s="105"/>
      <c r="AUK136" s="105"/>
      <c r="AUL136" s="105"/>
      <c r="AUM136" s="105"/>
      <c r="AUN136" s="105"/>
      <c r="AUO136" s="105"/>
      <c r="AUP136" s="105"/>
      <c r="AUQ136" s="105"/>
      <c r="AUR136" s="105"/>
      <c r="AUS136" s="105"/>
      <c r="AUT136" s="105"/>
      <c r="AUU136" s="105"/>
      <c r="AUV136" s="105"/>
      <c r="AUW136" s="105"/>
      <c r="AUX136" s="105"/>
      <c r="AUY136" s="105"/>
      <c r="AUZ136" s="105"/>
      <c r="AVA136" s="105"/>
      <c r="AVB136" s="105"/>
      <c r="AVC136" s="105"/>
      <c r="AVD136" s="105"/>
      <c r="AVE136" s="105"/>
      <c r="AVF136" s="105"/>
      <c r="AVG136" s="105"/>
      <c r="AVH136" s="105"/>
      <c r="AVI136" s="105"/>
      <c r="AVJ136" s="105"/>
      <c r="AVK136" s="105"/>
      <c r="AVL136" s="105"/>
      <c r="AVM136" s="105"/>
      <c r="AVN136" s="105"/>
      <c r="AVO136" s="105"/>
      <c r="AVP136" s="105"/>
      <c r="AVQ136" s="105"/>
      <c r="AVR136" s="105"/>
      <c r="AVS136" s="105"/>
      <c r="AVT136" s="105"/>
      <c r="AVU136" s="105"/>
      <c r="AVV136" s="105"/>
      <c r="AVW136" s="105"/>
      <c r="AVX136" s="105"/>
      <c r="AVY136" s="105"/>
      <c r="AVZ136" s="105"/>
      <c r="AWA136" s="105"/>
      <c r="AWB136" s="105"/>
      <c r="AWC136" s="105"/>
      <c r="AWD136" s="105"/>
      <c r="AWE136" s="105"/>
      <c r="AWF136" s="105"/>
      <c r="AWG136" s="105"/>
      <c r="AWH136" s="105"/>
      <c r="AWI136" s="105"/>
      <c r="AWJ136" s="105"/>
      <c r="AWK136" s="105"/>
      <c r="AWL136" s="105"/>
      <c r="AWM136" s="105"/>
      <c r="AWN136" s="105"/>
      <c r="AWO136" s="105"/>
      <c r="AWP136" s="105"/>
      <c r="AWQ136" s="105"/>
      <c r="AWR136" s="105"/>
      <c r="AWS136" s="105"/>
      <c r="AWT136" s="105"/>
      <c r="AWU136" s="105"/>
      <c r="AWV136" s="105"/>
      <c r="AWW136" s="105"/>
      <c r="AWX136" s="105"/>
      <c r="AWY136" s="105"/>
      <c r="AWZ136" s="105"/>
      <c r="AXA136" s="105"/>
      <c r="AXB136" s="105"/>
      <c r="AXC136" s="105"/>
      <c r="AXD136" s="105"/>
      <c r="AXE136" s="105"/>
      <c r="AXF136" s="105"/>
      <c r="AXG136" s="105"/>
      <c r="AXH136" s="105"/>
      <c r="AXI136" s="105"/>
      <c r="AXJ136" s="105"/>
      <c r="AXK136" s="105"/>
      <c r="AXL136" s="105"/>
      <c r="AXM136" s="105"/>
      <c r="AXN136" s="105"/>
      <c r="AXO136" s="105"/>
      <c r="AXP136" s="105"/>
      <c r="AXQ136" s="105"/>
      <c r="AXR136" s="105"/>
      <c r="AXS136" s="105"/>
      <c r="AXT136" s="105"/>
      <c r="AXU136" s="105"/>
      <c r="AXV136" s="105"/>
      <c r="AXW136" s="105"/>
      <c r="AXX136" s="105"/>
      <c r="AXY136" s="105"/>
      <c r="AXZ136" s="105"/>
      <c r="AYA136" s="105"/>
      <c r="AYB136" s="105"/>
      <c r="AYC136" s="105"/>
      <c r="AYD136" s="105"/>
      <c r="AYE136" s="105"/>
      <c r="AYF136" s="105"/>
      <c r="AYG136" s="105"/>
      <c r="AYH136" s="105"/>
      <c r="AYI136" s="105"/>
      <c r="AYJ136" s="105"/>
      <c r="AYK136" s="105"/>
      <c r="AYL136" s="105"/>
      <c r="AYM136" s="105"/>
      <c r="AYN136" s="105"/>
      <c r="AYO136" s="105"/>
      <c r="AYP136" s="105"/>
      <c r="AYQ136" s="105"/>
      <c r="AYR136" s="105"/>
      <c r="AYS136" s="105"/>
      <c r="AYT136" s="105"/>
      <c r="AYU136" s="105"/>
      <c r="AYV136" s="105"/>
      <c r="AYW136" s="105"/>
      <c r="AYX136" s="105"/>
      <c r="AYY136" s="105"/>
      <c r="AYZ136" s="105"/>
      <c r="AZA136" s="105"/>
      <c r="AZB136" s="105"/>
      <c r="AZC136" s="105"/>
      <c r="AZD136" s="105"/>
      <c r="AZE136" s="105"/>
      <c r="AZF136" s="105"/>
      <c r="AZG136" s="105"/>
      <c r="AZH136" s="105"/>
      <c r="AZI136" s="105"/>
      <c r="AZJ136" s="105"/>
      <c r="AZK136" s="105"/>
      <c r="AZL136" s="105"/>
      <c r="AZM136" s="105"/>
      <c r="AZN136" s="105"/>
      <c r="AZO136" s="105"/>
      <c r="AZP136" s="105"/>
      <c r="AZQ136" s="105"/>
      <c r="AZR136" s="105"/>
      <c r="AZS136" s="105"/>
      <c r="AZT136" s="105"/>
      <c r="AZU136" s="105"/>
      <c r="AZV136" s="105"/>
      <c r="AZW136" s="105"/>
      <c r="AZX136" s="105"/>
      <c r="AZY136" s="105"/>
      <c r="AZZ136" s="105"/>
      <c r="BAA136" s="105"/>
      <c r="BAB136" s="105"/>
      <c r="BAC136" s="105"/>
      <c r="BAD136" s="105"/>
      <c r="BAE136" s="105"/>
      <c r="BAF136" s="105"/>
      <c r="BAG136" s="105"/>
      <c r="BAH136" s="105"/>
      <c r="BAI136" s="105"/>
      <c r="BAJ136" s="105"/>
      <c r="BAK136" s="105"/>
      <c r="BAL136" s="105"/>
      <c r="BAM136" s="105"/>
      <c r="BAN136" s="105"/>
      <c r="BAO136" s="105"/>
      <c r="BAP136" s="105"/>
      <c r="BAQ136" s="105"/>
      <c r="BAR136" s="105"/>
      <c r="BAS136" s="105"/>
      <c r="BAT136" s="105"/>
      <c r="BAU136" s="105"/>
      <c r="BAV136" s="105"/>
      <c r="BAW136" s="105"/>
      <c r="BAX136" s="105"/>
      <c r="BAY136" s="105"/>
      <c r="BAZ136" s="105"/>
      <c r="BBA136" s="105"/>
      <c r="BBB136" s="105"/>
      <c r="BBC136" s="105"/>
      <c r="BBD136" s="105"/>
      <c r="BBE136" s="105"/>
      <c r="BBF136" s="105"/>
      <c r="BBG136" s="105"/>
      <c r="BBH136" s="105"/>
      <c r="BBI136" s="105"/>
      <c r="BBJ136" s="105"/>
      <c r="BBK136" s="105"/>
      <c r="BBL136" s="105"/>
      <c r="BBM136" s="105"/>
      <c r="BBN136" s="105"/>
      <c r="BBO136" s="105"/>
      <c r="BBP136" s="105"/>
      <c r="BBQ136" s="105"/>
      <c r="BBR136" s="105"/>
      <c r="BBS136" s="105"/>
      <c r="BBT136" s="105"/>
      <c r="BBU136" s="105"/>
      <c r="BBV136" s="105"/>
      <c r="BBW136" s="105"/>
      <c r="BBX136" s="105"/>
      <c r="BBY136" s="105"/>
      <c r="BBZ136" s="105"/>
      <c r="BCA136" s="105"/>
      <c r="BCB136" s="105"/>
      <c r="BCC136" s="105"/>
      <c r="BCD136" s="105"/>
      <c r="BCE136" s="105"/>
      <c r="BCF136" s="105"/>
      <c r="BCG136" s="105"/>
      <c r="BCH136" s="105"/>
      <c r="BCI136" s="105"/>
      <c r="BCJ136" s="105"/>
      <c r="BCK136" s="105"/>
      <c r="BCL136" s="105"/>
      <c r="BCM136" s="105"/>
      <c r="BCN136" s="105"/>
      <c r="BCO136" s="105"/>
      <c r="BCP136" s="105"/>
      <c r="BCQ136" s="105"/>
      <c r="BCR136" s="105"/>
      <c r="BCS136" s="105"/>
      <c r="BCT136" s="105"/>
      <c r="BCU136" s="105"/>
      <c r="BCV136" s="105"/>
      <c r="BCW136" s="105"/>
      <c r="BCX136" s="105"/>
      <c r="BCY136" s="105"/>
      <c r="BCZ136" s="105"/>
      <c r="BDA136" s="105"/>
      <c r="BDB136" s="105"/>
      <c r="BDC136" s="105"/>
      <c r="BDD136" s="105"/>
      <c r="BDE136" s="105"/>
      <c r="BDF136" s="105"/>
      <c r="BDG136" s="105"/>
      <c r="BDH136" s="105"/>
      <c r="BDI136" s="105"/>
      <c r="BDJ136" s="105"/>
      <c r="BDK136" s="105"/>
      <c r="BDL136" s="105"/>
      <c r="BDM136" s="105"/>
      <c r="BDN136" s="105"/>
      <c r="BDO136" s="105"/>
      <c r="BDP136" s="105"/>
      <c r="BDQ136" s="105"/>
      <c r="BDR136" s="105"/>
      <c r="BDS136" s="105"/>
      <c r="BDT136" s="105"/>
      <c r="BDU136" s="105"/>
      <c r="BDV136" s="105"/>
      <c r="BDW136" s="105"/>
      <c r="BDX136" s="105"/>
      <c r="BDY136" s="105"/>
      <c r="BDZ136" s="105"/>
      <c r="BEA136" s="105"/>
      <c r="BEB136" s="105"/>
      <c r="BEC136" s="105"/>
      <c r="BED136" s="105"/>
      <c r="BEE136" s="105"/>
      <c r="BEF136" s="105"/>
      <c r="BEG136" s="105"/>
      <c r="BEH136" s="105"/>
      <c r="BEI136" s="105"/>
      <c r="BEJ136" s="105"/>
      <c r="BEK136" s="105"/>
      <c r="BEL136" s="105"/>
      <c r="BEM136" s="105"/>
      <c r="BEN136" s="105"/>
      <c r="BEO136" s="105"/>
      <c r="BEP136" s="105"/>
      <c r="BEQ136" s="105"/>
      <c r="BER136" s="105"/>
      <c r="BES136" s="105"/>
      <c r="BET136" s="105"/>
      <c r="BEU136" s="105"/>
      <c r="BEV136" s="105"/>
      <c r="BEW136" s="105"/>
      <c r="BEX136" s="105"/>
      <c r="BEY136" s="105"/>
      <c r="BEZ136" s="105"/>
      <c r="BFA136" s="105"/>
      <c r="BFB136" s="105"/>
      <c r="BFC136" s="105"/>
      <c r="BFD136" s="105"/>
      <c r="BFE136" s="105"/>
      <c r="BFF136" s="105"/>
      <c r="BFG136" s="105"/>
      <c r="BFH136" s="105"/>
      <c r="BFI136" s="105"/>
      <c r="BFJ136" s="105"/>
      <c r="BFK136" s="105"/>
      <c r="BFL136" s="105"/>
      <c r="BFM136" s="105"/>
      <c r="BFN136" s="105"/>
      <c r="BFO136" s="105"/>
      <c r="BFP136" s="105"/>
      <c r="BFQ136" s="105"/>
      <c r="BFR136" s="105"/>
      <c r="BFS136" s="105"/>
      <c r="BFT136" s="105"/>
      <c r="BFU136" s="105"/>
      <c r="BFV136" s="105"/>
      <c r="BFW136" s="105"/>
      <c r="BFX136" s="105"/>
      <c r="BFY136" s="105"/>
      <c r="BFZ136" s="105"/>
      <c r="BGA136" s="105"/>
      <c r="BGB136" s="105"/>
      <c r="BGC136" s="105"/>
      <c r="BGD136" s="105"/>
      <c r="BGE136" s="105"/>
      <c r="BGF136" s="105"/>
      <c r="BGG136" s="105"/>
      <c r="BGH136" s="105"/>
      <c r="BGI136" s="105"/>
      <c r="BGJ136" s="105"/>
      <c r="BGK136" s="105"/>
      <c r="BGL136" s="105"/>
      <c r="BGM136" s="105"/>
      <c r="BGN136" s="105"/>
      <c r="BGO136" s="105"/>
      <c r="BGP136" s="105"/>
      <c r="BGQ136" s="105"/>
      <c r="BGR136" s="105"/>
      <c r="BGS136" s="105"/>
      <c r="BGT136" s="105"/>
      <c r="BGU136" s="105"/>
      <c r="BGV136" s="105"/>
      <c r="BGW136" s="105"/>
      <c r="BGX136" s="105"/>
      <c r="BGY136" s="105"/>
      <c r="BGZ136" s="105"/>
      <c r="BHA136" s="105"/>
      <c r="BHB136" s="105"/>
      <c r="BHC136" s="105"/>
      <c r="BHD136" s="105"/>
      <c r="BHE136" s="105"/>
      <c r="BHF136" s="105"/>
      <c r="BHG136" s="105"/>
      <c r="BHH136" s="105"/>
      <c r="BHI136" s="105"/>
      <c r="BHJ136" s="105"/>
      <c r="BHK136" s="105"/>
      <c r="BHL136" s="105"/>
      <c r="BHM136" s="105"/>
      <c r="BHN136" s="105"/>
      <c r="BHO136" s="105"/>
      <c r="BHP136" s="105"/>
      <c r="BHQ136" s="105"/>
      <c r="BHR136" s="105"/>
      <c r="BHS136" s="105"/>
      <c r="BHT136" s="105"/>
      <c r="BHU136" s="105"/>
      <c r="BHV136" s="105"/>
      <c r="BHW136" s="105"/>
      <c r="BHX136" s="105"/>
      <c r="BHY136" s="105"/>
      <c r="BHZ136" s="105"/>
      <c r="BIA136" s="105"/>
      <c r="BIB136" s="105"/>
      <c r="BIC136" s="105"/>
      <c r="BID136" s="105"/>
      <c r="BIE136" s="105"/>
      <c r="BIF136" s="105"/>
      <c r="BIG136" s="105"/>
      <c r="BIH136" s="105"/>
      <c r="BII136" s="105"/>
      <c r="BIJ136" s="105"/>
      <c r="BIK136" s="105"/>
      <c r="BIL136" s="105"/>
      <c r="BIM136" s="105"/>
      <c r="BIN136" s="105"/>
      <c r="BIO136" s="105"/>
      <c r="BIP136" s="105"/>
      <c r="BIQ136" s="105"/>
      <c r="BIR136" s="105"/>
      <c r="BIS136" s="105"/>
      <c r="BIT136" s="105"/>
      <c r="BIU136" s="105"/>
      <c r="BIV136" s="105"/>
      <c r="BIW136" s="105"/>
      <c r="BIX136" s="105"/>
      <c r="BIY136" s="105"/>
      <c r="BIZ136" s="105"/>
      <c r="BJA136" s="105"/>
      <c r="BJB136" s="105"/>
      <c r="BJC136" s="105"/>
      <c r="BJD136" s="105"/>
      <c r="BJE136" s="105"/>
      <c r="BJF136" s="105"/>
      <c r="BJG136" s="105"/>
      <c r="BJH136" s="105"/>
      <c r="BJI136" s="105"/>
      <c r="BJJ136" s="105"/>
      <c r="BJK136" s="105"/>
      <c r="BJL136" s="105"/>
      <c r="BJM136" s="105"/>
      <c r="BJN136" s="105"/>
      <c r="BJO136" s="105"/>
      <c r="BJP136" s="105"/>
      <c r="BJQ136" s="105"/>
      <c r="BJR136" s="105"/>
      <c r="BJS136" s="105"/>
      <c r="BJT136" s="105"/>
      <c r="BJU136" s="105"/>
      <c r="BJV136" s="105"/>
      <c r="BJW136" s="105"/>
      <c r="BJX136" s="105"/>
      <c r="BJY136" s="105"/>
      <c r="BJZ136" s="105"/>
      <c r="BKA136" s="105"/>
      <c r="BKB136" s="105"/>
      <c r="BKC136" s="105"/>
      <c r="BKD136" s="105"/>
      <c r="BKE136" s="105"/>
      <c r="BKF136" s="105"/>
      <c r="BKG136" s="105"/>
      <c r="BKH136" s="105"/>
      <c r="BKI136" s="105"/>
      <c r="BKJ136" s="105"/>
      <c r="BKK136" s="105"/>
      <c r="BKL136" s="105"/>
      <c r="BKM136" s="105"/>
      <c r="BKN136" s="105"/>
      <c r="BKO136" s="105"/>
      <c r="BKP136" s="105"/>
      <c r="BKQ136" s="105"/>
      <c r="BKR136" s="105"/>
      <c r="BKS136" s="105"/>
      <c r="BKT136" s="105"/>
      <c r="BKU136" s="105"/>
      <c r="BKV136" s="105"/>
      <c r="BKW136" s="105"/>
      <c r="BKX136" s="105"/>
      <c r="BKY136" s="105"/>
      <c r="BKZ136" s="105"/>
      <c r="BLA136" s="105"/>
      <c r="BLB136" s="105"/>
      <c r="BLC136" s="105"/>
      <c r="BLD136" s="105"/>
      <c r="BLE136" s="105"/>
      <c r="BLF136" s="105"/>
      <c r="BLG136" s="105"/>
      <c r="BLH136" s="105"/>
      <c r="BLI136" s="105"/>
      <c r="BLJ136" s="105"/>
      <c r="BLK136" s="105"/>
      <c r="BLL136" s="105"/>
      <c r="BLM136" s="105"/>
      <c r="BLN136" s="105"/>
      <c r="BLO136" s="105"/>
      <c r="BLP136" s="105"/>
      <c r="BLQ136" s="105"/>
      <c r="BLR136" s="105"/>
      <c r="BLS136" s="105"/>
      <c r="BLT136" s="105"/>
      <c r="BLU136" s="105"/>
      <c r="BLV136" s="105"/>
      <c r="BLW136" s="105"/>
      <c r="BLX136" s="105"/>
      <c r="BLY136" s="105"/>
      <c r="BLZ136" s="105"/>
      <c r="BMA136" s="105"/>
      <c r="BMB136" s="105"/>
      <c r="BMC136" s="105"/>
      <c r="BMD136" s="105"/>
      <c r="BME136" s="105"/>
      <c r="BMF136" s="105"/>
      <c r="BMG136" s="105"/>
      <c r="BMH136" s="105"/>
      <c r="BMI136" s="105"/>
      <c r="BMJ136" s="105"/>
      <c r="BMK136" s="105"/>
      <c r="BML136" s="105"/>
      <c r="BMM136" s="105"/>
      <c r="BMN136" s="105"/>
      <c r="BMO136" s="105"/>
      <c r="BMP136" s="105"/>
      <c r="BMQ136" s="105"/>
      <c r="BMR136" s="105"/>
      <c r="BMS136" s="105"/>
      <c r="BMT136" s="105"/>
      <c r="BMU136" s="105"/>
      <c r="BMV136" s="105"/>
      <c r="BMW136" s="105"/>
      <c r="BMX136" s="105"/>
      <c r="BMY136" s="105"/>
      <c r="BMZ136" s="105"/>
      <c r="BNA136" s="105"/>
      <c r="BNB136" s="105"/>
      <c r="BNC136" s="105"/>
      <c r="BND136" s="105"/>
      <c r="BNE136" s="105"/>
      <c r="BNF136" s="105"/>
      <c r="BNG136" s="105"/>
      <c r="BNH136" s="105"/>
      <c r="BNI136" s="105"/>
      <c r="BNJ136" s="105"/>
      <c r="BNK136" s="105"/>
      <c r="BNL136" s="105"/>
      <c r="BNM136" s="105"/>
      <c r="BNN136" s="105"/>
      <c r="BNO136" s="105"/>
      <c r="BNP136" s="105"/>
      <c r="BNQ136" s="105"/>
      <c r="BNR136" s="105"/>
      <c r="BNS136" s="105"/>
      <c r="BNT136" s="105"/>
      <c r="BNU136" s="105"/>
      <c r="BNV136" s="105"/>
      <c r="BNW136" s="105"/>
      <c r="BNX136" s="105"/>
      <c r="BNY136" s="105"/>
      <c r="BNZ136" s="105"/>
      <c r="BOA136" s="105"/>
      <c r="BOB136" s="105"/>
      <c r="BOC136" s="105"/>
      <c r="BOD136" s="105"/>
      <c r="BOE136" s="105"/>
      <c r="BOF136" s="105"/>
      <c r="BOG136" s="105"/>
      <c r="BOH136" s="105"/>
      <c r="BOI136" s="105"/>
      <c r="BOJ136" s="105"/>
      <c r="BOK136" s="105"/>
      <c r="BOL136" s="105"/>
      <c r="BOM136" s="105"/>
      <c r="BON136" s="105"/>
      <c r="BOO136" s="105"/>
      <c r="BOP136" s="105"/>
      <c r="BOQ136" s="105"/>
      <c r="BOR136" s="105"/>
      <c r="BOS136" s="105"/>
      <c r="BOT136" s="105"/>
      <c r="BOU136" s="105"/>
      <c r="BOV136" s="105"/>
      <c r="BOW136" s="105"/>
      <c r="BOX136" s="105"/>
      <c r="BOY136" s="105"/>
      <c r="BOZ136" s="105"/>
      <c r="BPA136" s="105"/>
      <c r="BPB136" s="105"/>
      <c r="BPC136" s="105"/>
      <c r="BPD136" s="105"/>
      <c r="BPE136" s="105"/>
      <c r="BPF136" s="105"/>
      <c r="BPG136" s="105"/>
      <c r="BPH136" s="105"/>
      <c r="BPI136" s="105"/>
      <c r="BPJ136" s="105"/>
      <c r="BPK136" s="105"/>
      <c r="BPL136" s="105"/>
      <c r="BPM136" s="105"/>
      <c r="BPN136" s="105"/>
      <c r="BPO136" s="105"/>
      <c r="BPP136" s="105"/>
      <c r="BPQ136" s="105"/>
      <c r="BPR136" s="105"/>
      <c r="BPS136" s="105"/>
      <c r="BPT136" s="105"/>
      <c r="BPU136" s="105"/>
      <c r="BPV136" s="105"/>
      <c r="BPW136" s="105"/>
      <c r="BPX136" s="105"/>
      <c r="BPY136" s="105"/>
      <c r="BPZ136" s="105"/>
      <c r="BQA136" s="105"/>
      <c r="BQB136" s="105"/>
      <c r="BQC136" s="105"/>
      <c r="BQD136" s="105"/>
      <c r="BQE136" s="105"/>
      <c r="BQF136" s="105"/>
      <c r="BQG136" s="105"/>
      <c r="BQH136" s="105"/>
      <c r="BQI136" s="105"/>
      <c r="BQJ136" s="105"/>
      <c r="BQK136" s="105"/>
      <c r="BQL136" s="105"/>
      <c r="BQM136" s="105"/>
      <c r="BQN136" s="105"/>
      <c r="BQO136" s="105"/>
      <c r="BQP136" s="105"/>
      <c r="BQQ136" s="105"/>
      <c r="BQR136" s="105"/>
      <c r="BQS136" s="105"/>
      <c r="BQT136" s="105"/>
      <c r="BQU136" s="105"/>
      <c r="BQV136" s="105"/>
      <c r="BQW136" s="105"/>
      <c r="BQX136" s="105"/>
      <c r="BQY136" s="105"/>
      <c r="BQZ136" s="105"/>
      <c r="BRA136" s="105"/>
      <c r="BRB136" s="105"/>
      <c r="BRC136" s="105"/>
      <c r="BRD136" s="105"/>
      <c r="BRE136" s="105"/>
      <c r="BRF136" s="105"/>
      <c r="BRG136" s="105"/>
      <c r="BRH136" s="105"/>
      <c r="BRI136" s="105"/>
      <c r="BRJ136" s="105"/>
      <c r="BRK136" s="105"/>
      <c r="BRL136" s="105"/>
      <c r="BRM136" s="105"/>
      <c r="BRN136" s="105"/>
      <c r="BRO136" s="105"/>
      <c r="BRP136" s="105"/>
      <c r="BRQ136" s="105"/>
      <c r="BRR136" s="105"/>
      <c r="BRS136" s="105"/>
      <c r="BRT136" s="105"/>
      <c r="BRU136" s="105"/>
      <c r="BRV136" s="105"/>
      <c r="BRW136" s="105"/>
      <c r="BRX136" s="105"/>
      <c r="BRY136" s="105"/>
      <c r="BRZ136" s="105"/>
      <c r="BSA136" s="105"/>
      <c r="BSB136" s="105"/>
      <c r="BSC136" s="105"/>
      <c r="BSD136" s="105"/>
      <c r="BSE136" s="105"/>
      <c r="BSF136" s="105"/>
      <c r="BSG136" s="105"/>
      <c r="BSH136" s="105"/>
      <c r="BSI136" s="105"/>
      <c r="BSJ136" s="105"/>
      <c r="BSK136" s="105"/>
      <c r="BSL136" s="105"/>
      <c r="BSM136" s="105"/>
      <c r="BSN136" s="105"/>
      <c r="BSO136" s="105"/>
      <c r="BSP136" s="105"/>
      <c r="BSQ136" s="105"/>
      <c r="BSR136" s="105"/>
      <c r="BSS136" s="105"/>
      <c r="BST136" s="105"/>
      <c r="BSU136" s="105"/>
      <c r="BSV136" s="105"/>
      <c r="BSW136" s="105"/>
      <c r="BSX136" s="105"/>
      <c r="BSY136" s="105"/>
      <c r="BSZ136" s="105"/>
      <c r="BTA136" s="105"/>
      <c r="BTB136" s="105"/>
      <c r="BTC136" s="105"/>
      <c r="BTD136" s="105"/>
      <c r="BTE136" s="105"/>
      <c r="BTF136" s="105"/>
      <c r="BTG136" s="105"/>
      <c r="BTH136" s="105"/>
      <c r="BTI136" s="105"/>
      <c r="BTJ136" s="105"/>
      <c r="BTK136" s="105"/>
      <c r="BTL136" s="105"/>
      <c r="BTM136" s="105"/>
      <c r="BTN136" s="105"/>
      <c r="BTO136" s="105"/>
      <c r="BTP136" s="105"/>
      <c r="BTQ136" s="105"/>
      <c r="BTR136" s="105"/>
      <c r="BTS136" s="105"/>
      <c r="BTT136" s="105"/>
      <c r="BTU136" s="105"/>
      <c r="BTV136" s="105"/>
      <c r="BTW136" s="105"/>
      <c r="BTX136" s="105"/>
      <c r="BTY136" s="105"/>
      <c r="BTZ136" s="105"/>
      <c r="BUA136" s="105"/>
      <c r="BUB136" s="105"/>
      <c r="BUC136" s="105"/>
      <c r="BUD136" s="105"/>
      <c r="BUE136" s="105"/>
      <c r="BUF136" s="105"/>
      <c r="BUG136" s="105"/>
      <c r="BUH136" s="105"/>
      <c r="BUI136" s="105"/>
      <c r="BUJ136" s="105"/>
      <c r="BUK136" s="105"/>
      <c r="BUL136" s="105"/>
      <c r="BUM136" s="105"/>
      <c r="BUN136" s="105"/>
      <c r="BUO136" s="105"/>
      <c r="BUP136" s="105"/>
      <c r="BUQ136" s="105"/>
      <c r="BUR136" s="105"/>
      <c r="BUS136" s="105"/>
      <c r="BUT136" s="105"/>
      <c r="BUU136" s="105"/>
      <c r="BUV136" s="105"/>
      <c r="BUW136" s="105"/>
      <c r="BUX136" s="105"/>
      <c r="BUY136" s="105"/>
      <c r="BUZ136" s="105"/>
      <c r="BVA136" s="105"/>
      <c r="BVB136" s="105"/>
      <c r="BVC136" s="105"/>
      <c r="BVD136" s="105"/>
      <c r="BVE136" s="105"/>
      <c r="BVF136" s="105"/>
      <c r="BVG136" s="105"/>
      <c r="BVH136" s="105"/>
      <c r="BVI136" s="105"/>
      <c r="BVJ136" s="105"/>
      <c r="BVK136" s="105"/>
      <c r="BVL136" s="105"/>
      <c r="BVM136" s="105"/>
      <c r="BVN136" s="105"/>
      <c r="BVO136" s="105"/>
      <c r="BVP136" s="105"/>
      <c r="BVQ136" s="105"/>
      <c r="BVR136" s="105"/>
      <c r="BVS136" s="105"/>
      <c r="BVT136" s="105"/>
      <c r="BVU136" s="105"/>
      <c r="BVV136" s="105"/>
      <c r="BVW136" s="105"/>
      <c r="BVX136" s="105"/>
      <c r="BVY136" s="105"/>
      <c r="BVZ136" s="105"/>
      <c r="BWA136" s="105"/>
      <c r="BWB136" s="105"/>
      <c r="BWC136" s="105"/>
      <c r="BWD136" s="105"/>
      <c r="BWE136" s="105"/>
      <c r="BWF136" s="105"/>
      <c r="BWG136" s="105"/>
      <c r="BWH136" s="105"/>
      <c r="BWI136" s="105"/>
      <c r="BWJ136" s="105"/>
      <c r="BWK136" s="105"/>
      <c r="BWL136" s="105"/>
      <c r="BWM136" s="105"/>
      <c r="BWN136" s="105"/>
      <c r="BWO136" s="105"/>
      <c r="BWP136" s="105"/>
      <c r="BWQ136" s="105"/>
      <c r="BWR136" s="105"/>
      <c r="BWS136" s="105"/>
      <c r="BWT136" s="105"/>
      <c r="BWU136" s="105"/>
      <c r="BWV136" s="105"/>
      <c r="BWW136" s="105"/>
      <c r="BWX136" s="105"/>
      <c r="BWY136" s="105"/>
      <c r="BWZ136" s="105"/>
      <c r="BXA136" s="105"/>
      <c r="BXB136" s="105"/>
      <c r="BXC136" s="105"/>
      <c r="BXD136" s="105"/>
      <c r="BXE136" s="105"/>
      <c r="BXF136" s="105"/>
      <c r="BXG136" s="105"/>
      <c r="BXH136" s="105"/>
      <c r="BXI136" s="105"/>
      <c r="BXJ136" s="105"/>
      <c r="BXK136" s="105"/>
      <c r="BXL136" s="105"/>
      <c r="BXM136" s="105"/>
      <c r="BXN136" s="105"/>
      <c r="BXO136" s="105"/>
      <c r="BXP136" s="105"/>
      <c r="BXQ136" s="105"/>
      <c r="BXR136" s="105"/>
      <c r="BXS136" s="105"/>
      <c r="BXT136" s="105"/>
      <c r="BXU136" s="105"/>
      <c r="BXV136" s="105"/>
      <c r="BXW136" s="105"/>
      <c r="BXX136" s="105"/>
      <c r="BXY136" s="105"/>
      <c r="BXZ136" s="105"/>
      <c r="BYA136" s="105"/>
      <c r="BYB136" s="105"/>
      <c r="BYC136" s="105"/>
      <c r="BYD136" s="105"/>
      <c r="BYE136" s="105"/>
      <c r="BYF136" s="105"/>
      <c r="BYG136" s="105"/>
      <c r="BYH136" s="105"/>
      <c r="BYI136" s="105"/>
      <c r="BYJ136" s="105"/>
      <c r="BYK136" s="105"/>
      <c r="BYL136" s="105"/>
      <c r="BYM136" s="105"/>
      <c r="BYN136" s="105"/>
      <c r="BYO136" s="105"/>
      <c r="BYP136" s="105"/>
      <c r="BYQ136" s="105"/>
      <c r="BYR136" s="105"/>
      <c r="BYS136" s="105"/>
      <c r="BYT136" s="105"/>
      <c r="BYU136" s="105"/>
      <c r="BYV136" s="105"/>
      <c r="BYW136" s="105"/>
      <c r="BYX136" s="105"/>
      <c r="BYY136" s="105"/>
      <c r="BYZ136" s="105"/>
      <c r="BZA136" s="105"/>
      <c r="BZB136" s="105"/>
      <c r="BZC136" s="105"/>
      <c r="BZD136" s="105"/>
      <c r="BZE136" s="105"/>
      <c r="BZF136" s="105"/>
      <c r="BZG136" s="105"/>
      <c r="BZH136" s="105"/>
      <c r="BZI136" s="105"/>
      <c r="BZJ136" s="105"/>
      <c r="BZK136" s="105"/>
      <c r="BZL136" s="105"/>
      <c r="BZM136" s="105"/>
      <c r="BZN136" s="105"/>
      <c r="BZO136" s="105"/>
      <c r="BZP136" s="105"/>
      <c r="BZQ136" s="105"/>
      <c r="BZR136" s="105"/>
      <c r="BZS136" s="105"/>
      <c r="BZT136" s="105"/>
      <c r="BZU136" s="105"/>
      <c r="BZV136" s="105"/>
      <c r="BZW136" s="105"/>
      <c r="BZX136" s="105"/>
      <c r="BZY136" s="105"/>
      <c r="BZZ136" s="105"/>
      <c r="CAA136" s="105"/>
      <c r="CAB136" s="105"/>
      <c r="CAC136" s="105"/>
      <c r="CAD136" s="105"/>
      <c r="CAE136" s="105"/>
      <c r="CAF136" s="105"/>
      <c r="CAG136" s="105"/>
      <c r="CAH136" s="105"/>
      <c r="CAI136" s="105"/>
      <c r="CAJ136" s="105"/>
      <c r="CAK136" s="105"/>
      <c r="CAL136" s="105"/>
      <c r="CAM136" s="105"/>
      <c r="CAN136" s="105"/>
      <c r="CAO136" s="105"/>
      <c r="CAP136" s="105"/>
      <c r="CAQ136" s="105"/>
      <c r="CAR136" s="105"/>
      <c r="CAS136" s="105"/>
      <c r="CAT136" s="105"/>
      <c r="CAU136" s="105"/>
      <c r="CAV136" s="105"/>
      <c r="CAW136" s="105"/>
      <c r="CAX136" s="105"/>
      <c r="CAY136" s="105"/>
      <c r="CAZ136" s="105"/>
      <c r="CBA136" s="105"/>
      <c r="CBB136" s="105"/>
      <c r="CBC136" s="105"/>
      <c r="CBD136" s="105"/>
      <c r="CBE136" s="105"/>
      <c r="CBF136" s="105"/>
      <c r="CBG136" s="105"/>
      <c r="CBH136" s="105"/>
      <c r="CBI136" s="105"/>
      <c r="CBJ136" s="105"/>
      <c r="CBK136" s="105"/>
      <c r="CBL136" s="105"/>
      <c r="CBM136" s="105"/>
      <c r="CBN136" s="105"/>
      <c r="CBO136" s="105"/>
      <c r="CBP136" s="105"/>
      <c r="CBQ136" s="105"/>
      <c r="CBR136" s="105"/>
      <c r="CBS136" s="105"/>
      <c r="CBT136" s="105"/>
      <c r="CBU136" s="105"/>
      <c r="CBV136" s="105"/>
      <c r="CBW136" s="105"/>
      <c r="CBX136" s="105"/>
      <c r="CBY136" s="105"/>
      <c r="CBZ136" s="105"/>
      <c r="CCA136" s="105"/>
      <c r="CCB136" s="105"/>
      <c r="CCC136" s="105"/>
      <c r="CCD136" s="105"/>
      <c r="CCE136" s="105"/>
      <c r="CCF136" s="105"/>
      <c r="CCG136" s="105"/>
      <c r="CCH136" s="105"/>
      <c r="CCI136" s="105"/>
      <c r="CCJ136" s="105"/>
      <c r="CCK136" s="105"/>
      <c r="CCL136" s="105"/>
      <c r="CCM136" s="105"/>
      <c r="CCN136" s="105"/>
      <c r="CCO136" s="105"/>
      <c r="CCP136" s="105"/>
      <c r="CCQ136" s="105"/>
      <c r="CCR136" s="105"/>
      <c r="CCS136" s="105"/>
      <c r="CCT136" s="105"/>
      <c r="CCU136" s="105"/>
      <c r="CCV136" s="105"/>
      <c r="CCW136" s="105"/>
      <c r="CCX136" s="105"/>
      <c r="CCY136" s="105"/>
      <c r="CCZ136" s="105"/>
      <c r="CDA136" s="105"/>
      <c r="CDB136" s="105"/>
      <c r="CDC136" s="105"/>
      <c r="CDD136" s="105"/>
      <c r="CDE136" s="105"/>
      <c r="CDF136" s="105"/>
      <c r="CDG136" s="105"/>
      <c r="CDH136" s="105"/>
      <c r="CDI136" s="105"/>
      <c r="CDJ136" s="105"/>
      <c r="CDK136" s="105"/>
      <c r="CDL136" s="105"/>
      <c r="CDM136" s="105"/>
      <c r="CDN136" s="105"/>
      <c r="CDO136" s="105"/>
      <c r="CDP136" s="105"/>
      <c r="CDQ136" s="105"/>
      <c r="CDR136" s="105"/>
      <c r="CDS136" s="105"/>
      <c r="CDT136" s="105"/>
      <c r="CDU136" s="105"/>
      <c r="CDV136" s="105"/>
      <c r="CDW136" s="105"/>
      <c r="CDX136" s="105"/>
      <c r="CDY136" s="105"/>
      <c r="CDZ136" s="105"/>
      <c r="CEA136" s="105"/>
      <c r="CEB136" s="105"/>
      <c r="CEC136" s="105"/>
      <c r="CED136" s="105"/>
      <c r="CEE136" s="105"/>
      <c r="CEF136" s="105"/>
      <c r="CEG136" s="105"/>
      <c r="CEH136" s="105"/>
      <c r="CEI136" s="105"/>
      <c r="CEJ136" s="105"/>
      <c r="CEK136" s="105"/>
      <c r="CEL136" s="105"/>
      <c r="CEM136" s="105"/>
      <c r="CEN136" s="105"/>
      <c r="CEO136" s="105"/>
      <c r="CEP136" s="105"/>
      <c r="CEQ136" s="105"/>
      <c r="CER136" s="105"/>
      <c r="CES136" s="105"/>
      <c r="CET136" s="105"/>
      <c r="CEU136" s="105"/>
      <c r="CEV136" s="105"/>
      <c r="CEW136" s="105"/>
      <c r="CEX136" s="105"/>
      <c r="CEY136" s="105"/>
      <c r="CEZ136" s="105"/>
      <c r="CFA136" s="105"/>
      <c r="CFB136" s="105"/>
      <c r="CFC136" s="105"/>
      <c r="CFD136" s="105"/>
      <c r="CFE136" s="105"/>
      <c r="CFF136" s="105"/>
      <c r="CFG136" s="105"/>
      <c r="CFH136" s="105"/>
      <c r="CFI136" s="105"/>
      <c r="CFJ136" s="105"/>
      <c r="CFK136" s="105"/>
      <c r="CFL136" s="105"/>
      <c r="CFM136" s="105"/>
      <c r="CFN136" s="105"/>
      <c r="CFO136" s="105"/>
      <c r="CFP136" s="105"/>
      <c r="CFQ136" s="105"/>
      <c r="CFR136" s="105"/>
      <c r="CFS136" s="105"/>
      <c r="CFT136" s="105"/>
      <c r="CFU136" s="105"/>
      <c r="CFV136" s="105"/>
      <c r="CFW136" s="105"/>
      <c r="CFX136" s="105"/>
      <c r="CFY136" s="105"/>
      <c r="CFZ136" s="105"/>
      <c r="CGA136" s="105"/>
      <c r="CGB136" s="105"/>
      <c r="CGC136" s="105"/>
      <c r="CGD136" s="105"/>
      <c r="CGE136" s="105"/>
      <c r="CGF136" s="105"/>
      <c r="CGG136" s="105"/>
      <c r="CGH136" s="105"/>
      <c r="CGI136" s="105"/>
      <c r="CGJ136" s="105"/>
      <c r="CGK136" s="105"/>
      <c r="CGL136" s="105"/>
      <c r="CGM136" s="105"/>
      <c r="CGN136" s="105"/>
      <c r="CGO136" s="105"/>
      <c r="CGP136" s="105"/>
      <c r="CGQ136" s="105"/>
      <c r="CGR136" s="105"/>
      <c r="CGS136" s="105"/>
      <c r="CGT136" s="105"/>
      <c r="CGU136" s="105"/>
      <c r="CGV136" s="105"/>
      <c r="CGW136" s="105"/>
      <c r="CGX136" s="105"/>
      <c r="CGY136" s="105"/>
      <c r="CGZ136" s="105"/>
      <c r="CHA136" s="105"/>
      <c r="CHB136" s="105"/>
      <c r="CHC136" s="105"/>
      <c r="CHD136" s="105"/>
      <c r="CHE136" s="105"/>
      <c r="CHF136" s="105"/>
      <c r="CHG136" s="105"/>
      <c r="CHH136" s="105"/>
      <c r="CHI136" s="105"/>
      <c r="CHJ136" s="105"/>
      <c r="CHK136" s="105"/>
      <c r="CHL136" s="105"/>
      <c r="CHM136" s="105"/>
      <c r="CHN136" s="105"/>
      <c r="CHO136" s="105"/>
      <c r="CHP136" s="105"/>
      <c r="CHQ136" s="105"/>
      <c r="CHR136" s="105"/>
      <c r="CHS136" s="105"/>
      <c r="CHT136" s="105"/>
      <c r="CHU136" s="105"/>
      <c r="CHV136" s="105"/>
      <c r="CHW136" s="105"/>
      <c r="CHX136" s="105"/>
      <c r="CHY136" s="105"/>
      <c r="CHZ136" s="105"/>
      <c r="CIA136" s="105"/>
      <c r="CIB136" s="105"/>
      <c r="CIC136" s="105"/>
      <c r="CID136" s="105"/>
      <c r="CIE136" s="105"/>
      <c r="CIF136" s="105"/>
      <c r="CIG136" s="105"/>
      <c r="CIH136" s="105"/>
      <c r="CII136" s="105"/>
      <c r="CIJ136" s="105"/>
      <c r="CIK136" s="105"/>
      <c r="CIL136" s="105"/>
      <c r="CIM136" s="105"/>
      <c r="CIN136" s="105"/>
      <c r="CIO136" s="105"/>
      <c r="CIP136" s="105"/>
      <c r="CIQ136" s="105"/>
      <c r="CIR136" s="105"/>
      <c r="CIS136" s="105"/>
      <c r="CIT136" s="105"/>
      <c r="CIU136" s="105"/>
      <c r="CIV136" s="105"/>
      <c r="CIW136" s="105"/>
      <c r="CIX136" s="105"/>
      <c r="CIY136" s="105"/>
      <c r="CIZ136" s="105"/>
      <c r="CJA136" s="105"/>
      <c r="CJB136" s="105"/>
      <c r="CJC136" s="105"/>
      <c r="CJD136" s="105"/>
      <c r="CJE136" s="105"/>
      <c r="CJF136" s="105"/>
      <c r="CJG136" s="105"/>
      <c r="CJH136" s="105"/>
      <c r="CJI136" s="105"/>
      <c r="CJJ136" s="105"/>
      <c r="CJK136" s="105"/>
      <c r="CJL136" s="105"/>
      <c r="CJM136" s="105"/>
      <c r="CJN136" s="105"/>
      <c r="CJO136" s="105"/>
      <c r="CJP136" s="105"/>
      <c r="CJQ136" s="105"/>
      <c r="CJR136" s="105"/>
      <c r="CJS136" s="105"/>
      <c r="CJT136" s="105"/>
      <c r="CJU136" s="105"/>
      <c r="CJV136" s="105"/>
      <c r="CJW136" s="105"/>
      <c r="CJX136" s="105"/>
      <c r="CJY136" s="105"/>
      <c r="CJZ136" s="105"/>
      <c r="CKA136" s="105"/>
      <c r="CKB136" s="105"/>
      <c r="CKC136" s="105"/>
      <c r="CKD136" s="105"/>
      <c r="CKE136" s="105"/>
      <c r="CKF136" s="105"/>
      <c r="CKG136" s="105"/>
      <c r="CKH136" s="105"/>
      <c r="CKI136" s="105"/>
      <c r="CKJ136" s="105"/>
      <c r="CKK136" s="105"/>
      <c r="CKL136" s="105"/>
      <c r="CKM136" s="105"/>
      <c r="CKN136" s="105"/>
      <c r="CKO136" s="105"/>
      <c r="CKP136" s="105"/>
      <c r="CKQ136" s="105"/>
      <c r="CKR136" s="105"/>
      <c r="CKS136" s="105"/>
      <c r="CKT136" s="105"/>
      <c r="CKU136" s="105"/>
      <c r="CKV136" s="105"/>
      <c r="CKW136" s="105"/>
      <c r="CKX136" s="105"/>
      <c r="CKY136" s="105"/>
      <c r="CKZ136" s="105"/>
      <c r="CLA136" s="105"/>
      <c r="CLB136" s="105"/>
      <c r="CLC136" s="105"/>
      <c r="CLD136" s="105"/>
      <c r="CLE136" s="105"/>
      <c r="CLF136" s="105"/>
      <c r="CLG136" s="105"/>
      <c r="CLH136" s="105"/>
      <c r="CLI136" s="105"/>
      <c r="CLJ136" s="105"/>
      <c r="CLK136" s="105"/>
      <c r="CLL136" s="105"/>
      <c r="CLM136" s="105"/>
      <c r="CLN136" s="105"/>
      <c r="CLO136" s="105"/>
      <c r="CLP136" s="105"/>
      <c r="CLQ136" s="105"/>
      <c r="CLR136" s="105"/>
      <c r="CLS136" s="105"/>
      <c r="CLT136" s="105"/>
      <c r="CLU136" s="105"/>
      <c r="CLV136" s="105"/>
      <c r="CLW136" s="105"/>
      <c r="CLX136" s="105"/>
      <c r="CLY136" s="105"/>
      <c r="CLZ136" s="105"/>
      <c r="CMA136" s="105"/>
      <c r="CMB136" s="105"/>
      <c r="CMC136" s="105"/>
      <c r="CMD136" s="105"/>
      <c r="CME136" s="105"/>
      <c r="CMF136" s="105"/>
      <c r="CMG136" s="105"/>
      <c r="CMH136" s="105"/>
      <c r="CMI136" s="105"/>
      <c r="CMJ136" s="105"/>
      <c r="CMK136" s="105"/>
      <c r="CML136" s="105"/>
      <c r="CMM136" s="105"/>
      <c r="CMN136" s="105"/>
      <c r="CMO136" s="105"/>
      <c r="CMP136" s="105"/>
      <c r="CMQ136" s="105"/>
      <c r="CMR136" s="105"/>
      <c r="CMS136" s="105"/>
      <c r="CMT136" s="105"/>
      <c r="CMU136" s="105"/>
      <c r="CMV136" s="105"/>
      <c r="CMW136" s="105"/>
      <c r="CMX136" s="105"/>
      <c r="CMY136" s="105"/>
      <c r="CMZ136" s="105"/>
      <c r="CNA136" s="105"/>
      <c r="CNB136" s="105"/>
      <c r="CNC136" s="105"/>
      <c r="CND136" s="105"/>
      <c r="CNE136" s="105"/>
      <c r="CNF136" s="105"/>
      <c r="CNG136" s="105"/>
      <c r="CNH136" s="105"/>
      <c r="CNI136" s="105"/>
      <c r="CNJ136" s="105"/>
      <c r="CNK136" s="105"/>
      <c r="CNL136" s="105"/>
      <c r="CNM136" s="105"/>
      <c r="CNN136" s="105"/>
      <c r="CNO136" s="105"/>
      <c r="CNP136" s="105"/>
      <c r="CNQ136" s="105"/>
      <c r="CNR136" s="105"/>
      <c r="CNS136" s="105"/>
      <c r="CNT136" s="105"/>
      <c r="CNU136" s="105"/>
      <c r="CNV136" s="105"/>
      <c r="CNW136" s="105"/>
      <c r="CNX136" s="105"/>
      <c r="CNY136" s="105"/>
      <c r="CNZ136" s="105"/>
      <c r="COA136" s="105"/>
      <c r="COB136" s="105"/>
      <c r="COC136" s="105"/>
      <c r="COD136" s="105"/>
      <c r="COE136" s="105"/>
      <c r="COF136" s="105"/>
      <c r="COG136" s="105"/>
      <c r="COH136" s="105"/>
      <c r="COI136" s="105"/>
      <c r="COJ136" s="105"/>
      <c r="COK136" s="105"/>
      <c r="COL136" s="105"/>
      <c r="COM136" s="105"/>
      <c r="CON136" s="105"/>
      <c r="COO136" s="105"/>
      <c r="COP136" s="105"/>
      <c r="COQ136" s="105"/>
      <c r="COR136" s="105"/>
      <c r="COS136" s="105"/>
      <c r="COT136" s="105"/>
      <c r="COU136" s="105"/>
      <c r="COV136" s="105"/>
      <c r="COW136" s="105"/>
      <c r="COX136" s="105"/>
      <c r="COY136" s="105"/>
      <c r="COZ136" s="105"/>
      <c r="CPA136" s="105"/>
      <c r="CPB136" s="105"/>
      <c r="CPC136" s="105"/>
      <c r="CPD136" s="105"/>
      <c r="CPE136" s="105"/>
      <c r="CPF136" s="105"/>
      <c r="CPG136" s="105"/>
      <c r="CPH136" s="105"/>
      <c r="CPI136" s="105"/>
      <c r="CPJ136" s="105"/>
      <c r="CPK136" s="105"/>
      <c r="CPL136" s="105"/>
      <c r="CPM136" s="105"/>
      <c r="CPN136" s="105"/>
      <c r="CPO136" s="105"/>
      <c r="CPP136" s="105"/>
      <c r="CPQ136" s="105"/>
      <c r="CPR136" s="105"/>
      <c r="CPS136" s="105"/>
      <c r="CPT136" s="105"/>
      <c r="CPU136" s="105"/>
      <c r="CPV136" s="105"/>
      <c r="CPW136" s="105"/>
      <c r="CPX136" s="105"/>
      <c r="CPY136" s="105"/>
      <c r="CPZ136" s="105"/>
      <c r="CQA136" s="105"/>
      <c r="CQB136" s="105"/>
      <c r="CQC136" s="105"/>
      <c r="CQD136" s="105"/>
      <c r="CQE136" s="105"/>
      <c r="CQF136" s="105"/>
      <c r="CQG136" s="105"/>
      <c r="CQH136" s="105"/>
      <c r="CQI136" s="105"/>
      <c r="CQJ136" s="105"/>
      <c r="CQK136" s="105"/>
      <c r="CQL136" s="105"/>
      <c r="CQM136" s="105"/>
      <c r="CQN136" s="105"/>
      <c r="CQO136" s="105"/>
      <c r="CQP136" s="105"/>
      <c r="CQQ136" s="105"/>
      <c r="CQR136" s="105"/>
      <c r="CQS136" s="105"/>
      <c r="CQT136" s="105"/>
      <c r="CQU136" s="105"/>
      <c r="CQV136" s="105"/>
      <c r="CQW136" s="105"/>
      <c r="CQX136" s="105"/>
      <c r="CQY136" s="105"/>
      <c r="CQZ136" s="105"/>
      <c r="CRA136" s="105"/>
      <c r="CRB136" s="105"/>
      <c r="CRC136" s="105"/>
      <c r="CRD136" s="105"/>
      <c r="CRE136" s="105"/>
      <c r="CRF136" s="105"/>
      <c r="CRG136" s="105"/>
      <c r="CRH136" s="105"/>
      <c r="CRI136" s="105"/>
      <c r="CRJ136" s="105"/>
      <c r="CRK136" s="105"/>
      <c r="CRL136" s="105"/>
      <c r="CRM136" s="105"/>
      <c r="CRN136" s="105"/>
      <c r="CRO136" s="105"/>
      <c r="CRP136" s="105"/>
      <c r="CRQ136" s="105"/>
      <c r="CRR136" s="105"/>
      <c r="CRS136" s="105"/>
      <c r="CRT136" s="105"/>
      <c r="CRU136" s="105"/>
      <c r="CRV136" s="105"/>
      <c r="CRW136" s="105"/>
      <c r="CRX136" s="105"/>
      <c r="CRY136" s="105"/>
      <c r="CRZ136" s="105"/>
      <c r="CSA136" s="105"/>
      <c r="CSB136" s="105"/>
      <c r="CSC136" s="105"/>
      <c r="CSD136" s="105"/>
      <c r="CSE136" s="105"/>
      <c r="CSF136" s="105"/>
      <c r="CSG136" s="105"/>
      <c r="CSH136" s="105"/>
      <c r="CSI136" s="105"/>
      <c r="CSJ136" s="105"/>
      <c r="CSK136" s="105"/>
      <c r="CSL136" s="105"/>
      <c r="CSM136" s="105"/>
      <c r="CSN136" s="105"/>
      <c r="CSO136" s="105"/>
      <c r="CSP136" s="105"/>
      <c r="CSQ136" s="105"/>
      <c r="CSR136" s="105"/>
      <c r="CSS136" s="105"/>
      <c r="CST136" s="105"/>
      <c r="CSU136" s="105"/>
      <c r="CSV136" s="105"/>
      <c r="CSW136" s="105"/>
      <c r="CSX136" s="105"/>
      <c r="CSY136" s="105"/>
      <c r="CSZ136" s="105"/>
      <c r="CTA136" s="105"/>
      <c r="CTB136" s="105"/>
      <c r="CTC136" s="105"/>
      <c r="CTD136" s="105"/>
      <c r="CTE136" s="105"/>
      <c r="CTF136" s="105"/>
      <c r="CTG136" s="105"/>
      <c r="CTH136" s="105"/>
      <c r="CTI136" s="105"/>
      <c r="CTJ136" s="105"/>
      <c r="CTK136" s="105"/>
      <c r="CTL136" s="105"/>
      <c r="CTM136" s="105"/>
      <c r="CTN136" s="105"/>
      <c r="CTO136" s="105"/>
      <c r="CTP136" s="105"/>
      <c r="CTQ136" s="105"/>
      <c r="CTR136" s="105"/>
      <c r="CTS136" s="105"/>
      <c r="CTT136" s="105"/>
      <c r="CTU136" s="105"/>
      <c r="CTV136" s="105"/>
      <c r="CTW136" s="105"/>
      <c r="CTX136" s="105"/>
      <c r="CTY136" s="105"/>
      <c r="CTZ136" s="105"/>
      <c r="CUA136" s="105"/>
      <c r="CUB136" s="105"/>
      <c r="CUC136" s="105"/>
      <c r="CUD136" s="105"/>
      <c r="CUE136" s="105"/>
      <c r="CUF136" s="105"/>
      <c r="CUG136" s="105"/>
      <c r="CUH136" s="105"/>
      <c r="CUI136" s="105"/>
      <c r="CUJ136" s="105"/>
      <c r="CUK136" s="105"/>
      <c r="CUL136" s="105"/>
      <c r="CUM136" s="105"/>
      <c r="CUN136" s="105"/>
      <c r="CUO136" s="105"/>
      <c r="CUP136" s="105"/>
      <c r="CUQ136" s="105"/>
      <c r="CUR136" s="105"/>
      <c r="CUS136" s="105"/>
      <c r="CUT136" s="105"/>
      <c r="CUU136" s="105"/>
      <c r="CUV136" s="105"/>
      <c r="CUW136" s="105"/>
      <c r="CUX136" s="105"/>
      <c r="CUY136" s="105"/>
      <c r="CUZ136" s="105"/>
      <c r="CVA136" s="105"/>
      <c r="CVB136" s="105"/>
      <c r="CVC136" s="105"/>
      <c r="CVD136" s="105"/>
      <c r="CVE136" s="105"/>
      <c r="CVF136" s="105"/>
      <c r="CVG136" s="105"/>
      <c r="CVH136" s="105"/>
      <c r="CVI136" s="105"/>
      <c r="CVJ136" s="105"/>
      <c r="CVK136" s="105"/>
      <c r="CVL136" s="105"/>
      <c r="CVM136" s="105"/>
      <c r="CVN136" s="105"/>
      <c r="CVO136" s="105"/>
      <c r="CVP136" s="105"/>
      <c r="CVQ136" s="105"/>
      <c r="CVR136" s="105"/>
      <c r="CVS136" s="105"/>
      <c r="CVT136" s="105"/>
      <c r="CVU136" s="105"/>
      <c r="CVV136" s="105"/>
      <c r="CVW136" s="105"/>
      <c r="CVX136" s="105"/>
      <c r="CVY136" s="105"/>
      <c r="CVZ136" s="105"/>
      <c r="CWA136" s="105"/>
      <c r="CWB136" s="105"/>
      <c r="CWC136" s="105"/>
      <c r="CWD136" s="105"/>
      <c r="CWE136" s="105"/>
      <c r="CWF136" s="105"/>
      <c r="CWG136" s="105"/>
      <c r="CWH136" s="105"/>
      <c r="CWI136" s="105"/>
      <c r="CWJ136" s="105"/>
      <c r="CWK136" s="105"/>
      <c r="CWL136" s="105"/>
      <c r="CWM136" s="105"/>
      <c r="CWN136" s="105"/>
      <c r="CWO136" s="105"/>
      <c r="CWP136" s="105"/>
      <c r="CWQ136" s="105"/>
      <c r="CWR136" s="105"/>
      <c r="CWS136" s="105"/>
      <c r="CWT136" s="105"/>
      <c r="CWU136" s="105"/>
      <c r="CWV136" s="105"/>
      <c r="CWW136" s="105"/>
      <c r="CWX136" s="105"/>
      <c r="CWY136" s="105"/>
      <c r="CWZ136" s="105"/>
      <c r="CXA136" s="105"/>
      <c r="CXB136" s="105"/>
      <c r="CXC136" s="105"/>
      <c r="CXD136" s="105"/>
      <c r="CXE136" s="105"/>
      <c r="CXF136" s="105"/>
      <c r="CXG136" s="105"/>
      <c r="CXH136" s="105"/>
      <c r="CXI136" s="105"/>
      <c r="CXJ136" s="105"/>
      <c r="CXK136" s="105"/>
      <c r="CXL136" s="105"/>
      <c r="CXM136" s="105"/>
      <c r="CXN136" s="105"/>
      <c r="CXO136" s="105"/>
      <c r="CXP136" s="105"/>
      <c r="CXQ136" s="105"/>
      <c r="CXR136" s="105"/>
      <c r="CXS136" s="105"/>
      <c r="CXT136" s="105"/>
      <c r="CXU136" s="105"/>
      <c r="CXV136" s="105"/>
      <c r="CXW136" s="105"/>
      <c r="CXX136" s="105"/>
      <c r="CXY136" s="105"/>
      <c r="CXZ136" s="105"/>
      <c r="CYA136" s="105"/>
      <c r="CYB136" s="105"/>
      <c r="CYC136" s="105"/>
      <c r="CYD136" s="105"/>
      <c r="CYE136" s="105"/>
      <c r="CYF136" s="105"/>
      <c r="CYG136" s="105"/>
      <c r="CYH136" s="105"/>
      <c r="CYI136" s="105"/>
      <c r="CYJ136" s="105"/>
      <c r="CYK136" s="105"/>
      <c r="CYL136" s="105"/>
      <c r="CYM136" s="105"/>
      <c r="CYN136" s="105"/>
      <c r="CYO136" s="105"/>
      <c r="CYP136" s="105"/>
      <c r="CYQ136" s="105"/>
      <c r="CYR136" s="105"/>
      <c r="CYS136" s="105"/>
      <c r="CYT136" s="105"/>
      <c r="CYU136" s="105"/>
      <c r="CYV136" s="105"/>
      <c r="CYW136" s="105"/>
      <c r="CYX136" s="105"/>
      <c r="CYY136" s="105"/>
      <c r="CYZ136" s="105"/>
      <c r="CZA136" s="105"/>
      <c r="CZB136" s="105"/>
      <c r="CZC136" s="105"/>
      <c r="CZD136" s="105"/>
      <c r="CZE136" s="105"/>
      <c r="CZF136" s="105"/>
      <c r="CZG136" s="105"/>
      <c r="CZH136" s="105"/>
      <c r="CZI136" s="105"/>
      <c r="CZJ136" s="105"/>
      <c r="CZK136" s="105"/>
      <c r="CZL136" s="105"/>
      <c r="CZM136" s="105"/>
      <c r="CZN136" s="105"/>
      <c r="CZO136" s="105"/>
      <c r="CZP136" s="105"/>
      <c r="CZQ136" s="105"/>
      <c r="CZR136" s="105"/>
      <c r="CZS136" s="105"/>
      <c r="CZT136" s="105"/>
      <c r="CZU136" s="105"/>
      <c r="CZV136" s="105"/>
      <c r="CZW136" s="105"/>
      <c r="CZX136" s="105"/>
      <c r="CZY136" s="105"/>
      <c r="CZZ136" s="105"/>
      <c r="DAA136" s="105"/>
      <c r="DAB136" s="105"/>
      <c r="DAC136" s="105"/>
      <c r="DAD136" s="105"/>
      <c r="DAE136" s="105"/>
      <c r="DAF136" s="105"/>
      <c r="DAG136" s="105"/>
      <c r="DAH136" s="105"/>
      <c r="DAI136" s="105"/>
      <c r="DAJ136" s="105"/>
      <c r="DAK136" s="105"/>
      <c r="DAL136" s="105"/>
      <c r="DAM136" s="105"/>
      <c r="DAN136" s="105"/>
      <c r="DAO136" s="105"/>
      <c r="DAP136" s="105"/>
      <c r="DAQ136" s="105"/>
      <c r="DAR136" s="105"/>
      <c r="DAS136" s="105"/>
      <c r="DAT136" s="105"/>
      <c r="DAU136" s="105"/>
      <c r="DAV136" s="105"/>
      <c r="DAW136" s="105"/>
      <c r="DAX136" s="105"/>
      <c r="DAY136" s="105"/>
      <c r="DAZ136" s="105"/>
      <c r="DBA136" s="105"/>
      <c r="DBB136" s="105"/>
      <c r="DBC136" s="105"/>
      <c r="DBD136" s="105"/>
      <c r="DBE136" s="105"/>
      <c r="DBF136" s="105"/>
      <c r="DBG136" s="105"/>
      <c r="DBH136" s="105"/>
      <c r="DBI136" s="105"/>
      <c r="DBJ136" s="105"/>
      <c r="DBK136" s="105"/>
      <c r="DBL136" s="105"/>
      <c r="DBM136" s="105"/>
      <c r="DBN136" s="105"/>
      <c r="DBO136" s="105"/>
      <c r="DBP136" s="105"/>
      <c r="DBQ136" s="105"/>
      <c r="DBR136" s="105"/>
      <c r="DBS136" s="105"/>
      <c r="DBT136" s="105"/>
      <c r="DBU136" s="105"/>
      <c r="DBV136" s="105"/>
      <c r="DBW136" s="105"/>
      <c r="DBX136" s="105"/>
      <c r="DBY136" s="105"/>
      <c r="DBZ136" s="105"/>
      <c r="DCA136" s="105"/>
      <c r="DCB136" s="105"/>
      <c r="DCC136" s="105"/>
      <c r="DCD136" s="105"/>
      <c r="DCE136" s="105"/>
      <c r="DCF136" s="105"/>
      <c r="DCG136" s="105"/>
      <c r="DCH136" s="105"/>
      <c r="DCI136" s="105"/>
      <c r="DCJ136" s="105"/>
      <c r="DCK136" s="105"/>
      <c r="DCL136" s="105"/>
      <c r="DCM136" s="105"/>
      <c r="DCN136" s="105"/>
      <c r="DCO136" s="105"/>
      <c r="DCP136" s="105"/>
      <c r="DCQ136" s="105"/>
      <c r="DCR136" s="105"/>
      <c r="DCS136" s="105"/>
      <c r="DCT136" s="105"/>
      <c r="DCU136" s="105"/>
      <c r="DCV136" s="105"/>
      <c r="DCW136" s="105"/>
      <c r="DCX136" s="105"/>
      <c r="DCY136" s="105"/>
      <c r="DCZ136" s="105"/>
      <c r="DDA136" s="105"/>
      <c r="DDB136" s="105"/>
      <c r="DDC136" s="105"/>
      <c r="DDD136" s="105"/>
      <c r="DDE136" s="105"/>
      <c r="DDF136" s="105"/>
      <c r="DDG136" s="105"/>
      <c r="DDH136" s="105"/>
      <c r="DDI136" s="105"/>
      <c r="DDJ136" s="105"/>
      <c r="DDK136" s="105"/>
      <c r="DDL136" s="105"/>
      <c r="DDM136" s="105"/>
      <c r="DDN136" s="105"/>
      <c r="DDO136" s="105"/>
      <c r="DDP136" s="105"/>
      <c r="DDQ136" s="105"/>
      <c r="DDR136" s="105"/>
      <c r="DDS136" s="105"/>
      <c r="DDT136" s="105"/>
      <c r="DDU136" s="105"/>
      <c r="DDV136" s="105"/>
      <c r="DDW136" s="105"/>
      <c r="DDX136" s="105"/>
      <c r="DDY136" s="105"/>
      <c r="DDZ136" s="105"/>
      <c r="DEA136" s="105"/>
      <c r="DEB136" s="105"/>
      <c r="DEC136" s="105"/>
      <c r="DED136" s="105"/>
      <c r="DEE136" s="105"/>
      <c r="DEF136" s="105"/>
      <c r="DEG136" s="105"/>
      <c r="DEH136" s="105"/>
      <c r="DEI136" s="105"/>
      <c r="DEJ136" s="105"/>
      <c r="DEK136" s="105"/>
      <c r="DEL136" s="105"/>
      <c r="DEM136" s="105"/>
      <c r="DEN136" s="105"/>
      <c r="DEO136" s="105"/>
      <c r="DEP136" s="105"/>
      <c r="DEQ136" s="105"/>
      <c r="DER136" s="105"/>
      <c r="DES136" s="105"/>
      <c r="DET136" s="105"/>
      <c r="DEU136" s="105"/>
      <c r="DEV136" s="105"/>
      <c r="DEW136" s="105"/>
      <c r="DEX136" s="105"/>
      <c r="DEY136" s="105"/>
      <c r="DEZ136" s="105"/>
      <c r="DFA136" s="105"/>
      <c r="DFB136" s="105"/>
      <c r="DFC136" s="105"/>
      <c r="DFD136" s="105"/>
      <c r="DFE136" s="105"/>
      <c r="DFF136" s="105"/>
      <c r="DFG136" s="105"/>
      <c r="DFH136" s="105"/>
      <c r="DFI136" s="105"/>
      <c r="DFJ136" s="105"/>
      <c r="DFK136" s="105"/>
      <c r="DFL136" s="105"/>
      <c r="DFM136" s="105"/>
      <c r="DFN136" s="105"/>
      <c r="DFO136" s="105"/>
      <c r="DFP136" s="105"/>
      <c r="DFQ136" s="105"/>
      <c r="DFR136" s="105"/>
      <c r="DFS136" s="105"/>
      <c r="DFT136" s="105"/>
      <c r="DFU136" s="105"/>
      <c r="DFV136" s="105"/>
      <c r="DFW136" s="105"/>
      <c r="DFX136" s="105"/>
      <c r="DFY136" s="105"/>
      <c r="DFZ136" s="105"/>
      <c r="DGA136" s="105"/>
      <c r="DGB136" s="105"/>
      <c r="DGC136" s="105"/>
      <c r="DGD136" s="105"/>
      <c r="DGE136" s="105"/>
      <c r="DGF136" s="105"/>
      <c r="DGG136" s="105"/>
      <c r="DGH136" s="105"/>
      <c r="DGI136" s="105"/>
      <c r="DGJ136" s="105"/>
      <c r="DGK136" s="105"/>
      <c r="DGL136" s="105"/>
      <c r="DGM136" s="105"/>
      <c r="DGN136" s="105"/>
      <c r="DGO136" s="105"/>
      <c r="DGP136" s="105"/>
      <c r="DGQ136" s="105"/>
      <c r="DGR136" s="105"/>
      <c r="DGS136" s="105"/>
      <c r="DGT136" s="105"/>
      <c r="DGU136" s="105"/>
      <c r="DGV136" s="105"/>
      <c r="DGW136" s="105"/>
      <c r="DGX136" s="105"/>
      <c r="DGY136" s="105"/>
      <c r="DGZ136" s="105"/>
      <c r="DHA136" s="105"/>
      <c r="DHB136" s="105"/>
      <c r="DHC136" s="105"/>
      <c r="DHD136" s="105"/>
      <c r="DHE136" s="105"/>
      <c r="DHF136" s="105"/>
      <c r="DHG136" s="105"/>
      <c r="DHH136" s="105"/>
      <c r="DHI136" s="105"/>
      <c r="DHJ136" s="105"/>
      <c r="DHK136" s="105"/>
      <c r="DHL136" s="105"/>
      <c r="DHM136" s="105"/>
      <c r="DHN136" s="105"/>
      <c r="DHO136" s="105"/>
      <c r="DHP136" s="105"/>
      <c r="DHQ136" s="105"/>
      <c r="DHR136" s="105"/>
      <c r="DHS136" s="105"/>
      <c r="DHT136" s="105"/>
      <c r="DHU136" s="105"/>
      <c r="DHV136" s="105"/>
      <c r="DHW136" s="105"/>
      <c r="DHX136" s="105"/>
      <c r="DHY136" s="105"/>
      <c r="DHZ136" s="105"/>
      <c r="DIA136" s="105"/>
      <c r="DIB136" s="105"/>
      <c r="DIC136" s="105"/>
      <c r="DID136" s="105"/>
      <c r="DIE136" s="105"/>
      <c r="DIF136" s="105"/>
      <c r="DIG136" s="105"/>
      <c r="DIH136" s="105"/>
      <c r="DII136" s="105"/>
      <c r="DIJ136" s="105"/>
      <c r="DIK136" s="105"/>
      <c r="DIL136" s="105"/>
      <c r="DIM136" s="105"/>
      <c r="DIN136" s="105"/>
      <c r="DIO136" s="105"/>
      <c r="DIP136" s="105"/>
      <c r="DIQ136" s="105"/>
      <c r="DIR136" s="105"/>
      <c r="DIS136" s="105"/>
      <c r="DIT136" s="105"/>
      <c r="DIU136" s="105"/>
      <c r="DIV136" s="105"/>
      <c r="DIW136" s="105"/>
      <c r="DIX136" s="105"/>
      <c r="DIY136" s="105"/>
      <c r="DIZ136" s="105"/>
      <c r="DJA136" s="105"/>
      <c r="DJB136" s="105"/>
      <c r="DJC136" s="105"/>
      <c r="DJD136" s="105"/>
      <c r="DJE136" s="105"/>
      <c r="DJF136" s="105"/>
      <c r="DJG136" s="105"/>
      <c r="DJH136" s="105"/>
      <c r="DJI136" s="105"/>
      <c r="DJJ136" s="105"/>
      <c r="DJK136" s="105"/>
      <c r="DJL136" s="105"/>
      <c r="DJM136" s="105"/>
      <c r="DJN136" s="105"/>
      <c r="DJO136" s="105"/>
      <c r="DJP136" s="105"/>
      <c r="DJQ136" s="105"/>
      <c r="DJR136" s="105"/>
      <c r="DJS136" s="105"/>
      <c r="DJT136" s="105"/>
      <c r="DJU136" s="105"/>
      <c r="DJV136" s="105"/>
      <c r="DJW136" s="105"/>
      <c r="DJX136" s="105"/>
      <c r="DJY136" s="105"/>
      <c r="DJZ136" s="105"/>
      <c r="DKA136" s="105"/>
      <c r="DKB136" s="105"/>
      <c r="DKC136" s="105"/>
      <c r="DKD136" s="105"/>
      <c r="DKE136" s="105"/>
      <c r="DKF136" s="105"/>
      <c r="DKG136" s="105"/>
      <c r="DKH136" s="105"/>
      <c r="DKI136" s="105"/>
      <c r="DKJ136" s="105"/>
      <c r="DKK136" s="105"/>
      <c r="DKL136" s="105"/>
      <c r="DKM136" s="105"/>
      <c r="DKN136" s="105"/>
      <c r="DKO136" s="105"/>
      <c r="DKP136" s="105"/>
      <c r="DKQ136" s="105"/>
      <c r="DKR136" s="105"/>
      <c r="DKS136" s="105"/>
      <c r="DKT136" s="105"/>
      <c r="DKU136" s="105"/>
      <c r="DKV136" s="105"/>
      <c r="DKW136" s="105"/>
      <c r="DKX136" s="105"/>
      <c r="DKY136" s="105"/>
      <c r="DKZ136" s="105"/>
      <c r="DLA136" s="105"/>
      <c r="DLB136" s="105"/>
      <c r="DLC136" s="105"/>
      <c r="DLD136" s="105"/>
      <c r="DLE136" s="105"/>
      <c r="DLF136" s="105"/>
      <c r="DLG136" s="105"/>
      <c r="DLH136" s="105"/>
      <c r="DLI136" s="105"/>
      <c r="DLJ136" s="105"/>
      <c r="DLK136" s="105"/>
      <c r="DLL136" s="105"/>
      <c r="DLM136" s="105"/>
      <c r="DLN136" s="105"/>
      <c r="DLO136" s="105"/>
      <c r="DLP136" s="105"/>
      <c r="DLQ136" s="105"/>
      <c r="DLR136" s="105"/>
      <c r="DLS136" s="105"/>
      <c r="DLT136" s="105"/>
      <c r="DLU136" s="105"/>
      <c r="DLV136" s="105"/>
      <c r="DLW136" s="105"/>
      <c r="DLX136" s="105"/>
      <c r="DLY136" s="105"/>
      <c r="DLZ136" s="105"/>
      <c r="DMA136" s="105"/>
      <c r="DMB136" s="105"/>
      <c r="DMC136" s="105"/>
      <c r="DMD136" s="105"/>
      <c r="DME136" s="105"/>
      <c r="DMF136" s="105"/>
      <c r="DMG136" s="105"/>
      <c r="DMH136" s="105"/>
      <c r="DMI136" s="105"/>
      <c r="DMJ136" s="105"/>
      <c r="DMK136" s="105"/>
      <c r="DML136" s="105"/>
      <c r="DMM136" s="105"/>
      <c r="DMN136" s="105"/>
      <c r="DMO136" s="105"/>
      <c r="DMP136" s="105"/>
      <c r="DMQ136" s="105"/>
      <c r="DMR136" s="105"/>
      <c r="DMS136" s="105"/>
      <c r="DMT136" s="105"/>
      <c r="DMU136" s="105"/>
      <c r="DMV136" s="105"/>
      <c r="DMW136" s="105"/>
      <c r="DMX136" s="105"/>
      <c r="DMY136" s="105"/>
      <c r="DMZ136" s="105"/>
      <c r="DNA136" s="105"/>
      <c r="DNB136" s="105"/>
      <c r="DNC136" s="105"/>
      <c r="DND136" s="105"/>
      <c r="DNE136" s="105"/>
      <c r="DNF136" s="105"/>
      <c r="DNG136" s="105"/>
      <c r="DNH136" s="105"/>
      <c r="DNI136" s="105"/>
      <c r="DNJ136" s="105"/>
      <c r="DNK136" s="105"/>
      <c r="DNL136" s="105"/>
      <c r="DNM136" s="105"/>
      <c r="DNN136" s="105"/>
      <c r="DNO136" s="105"/>
      <c r="DNP136" s="105"/>
      <c r="DNQ136" s="105"/>
      <c r="DNR136" s="105"/>
      <c r="DNS136" s="105"/>
      <c r="DNT136" s="105"/>
      <c r="DNU136" s="105"/>
      <c r="DNV136" s="105"/>
      <c r="DNW136" s="105"/>
      <c r="DNX136" s="105"/>
      <c r="DNY136" s="105"/>
      <c r="DNZ136" s="105"/>
      <c r="DOA136" s="105"/>
      <c r="DOB136" s="105"/>
      <c r="DOC136" s="105"/>
      <c r="DOD136" s="105"/>
      <c r="DOE136" s="105"/>
      <c r="DOF136" s="105"/>
      <c r="DOG136" s="105"/>
      <c r="DOH136" s="105"/>
      <c r="DOI136" s="105"/>
      <c r="DOJ136" s="105"/>
      <c r="DOK136" s="105"/>
      <c r="DOL136" s="105"/>
      <c r="DOM136" s="105"/>
      <c r="DON136" s="105"/>
      <c r="DOO136" s="105"/>
      <c r="DOP136" s="105"/>
      <c r="DOQ136" s="105"/>
      <c r="DOR136" s="105"/>
      <c r="DOS136" s="105"/>
      <c r="DOT136" s="105"/>
      <c r="DOU136" s="105"/>
      <c r="DOV136" s="105"/>
      <c r="DOW136" s="105"/>
      <c r="DOX136" s="105"/>
      <c r="DOY136" s="105"/>
      <c r="DOZ136" s="105"/>
      <c r="DPA136" s="105"/>
      <c r="DPB136" s="105"/>
      <c r="DPC136" s="105"/>
      <c r="DPD136" s="105"/>
      <c r="DPE136" s="105"/>
      <c r="DPF136" s="105"/>
      <c r="DPG136" s="105"/>
      <c r="DPH136" s="105"/>
      <c r="DPI136" s="105"/>
      <c r="DPJ136" s="105"/>
      <c r="DPK136" s="105"/>
      <c r="DPL136" s="105"/>
      <c r="DPM136" s="105"/>
      <c r="DPN136" s="105"/>
      <c r="DPO136" s="105"/>
      <c r="DPP136" s="105"/>
      <c r="DPQ136" s="105"/>
      <c r="DPR136" s="105"/>
      <c r="DPS136" s="105"/>
      <c r="DPT136" s="105"/>
      <c r="DPU136" s="105"/>
      <c r="DPV136" s="105"/>
      <c r="DPW136" s="105"/>
      <c r="DPX136" s="105"/>
      <c r="DPY136" s="105"/>
      <c r="DPZ136" s="105"/>
      <c r="DQA136" s="105"/>
      <c r="DQB136" s="105"/>
      <c r="DQC136" s="105"/>
      <c r="DQD136" s="105"/>
      <c r="DQE136" s="105"/>
      <c r="DQF136" s="105"/>
      <c r="DQG136" s="105"/>
      <c r="DQH136" s="105"/>
      <c r="DQI136" s="105"/>
      <c r="DQJ136" s="105"/>
      <c r="DQK136" s="105"/>
      <c r="DQL136" s="105"/>
      <c r="DQM136" s="105"/>
      <c r="DQN136" s="105"/>
      <c r="DQO136" s="105"/>
      <c r="DQP136" s="105"/>
      <c r="DQQ136" s="105"/>
      <c r="DQR136" s="105"/>
      <c r="DQS136" s="105"/>
      <c r="DQT136" s="105"/>
      <c r="DQU136" s="105"/>
      <c r="DQV136" s="105"/>
      <c r="DQW136" s="105"/>
      <c r="DQX136" s="105"/>
      <c r="DQY136" s="105"/>
      <c r="DQZ136" s="105"/>
      <c r="DRA136" s="105"/>
      <c r="DRB136" s="105"/>
      <c r="DRC136" s="105"/>
      <c r="DRD136" s="105"/>
      <c r="DRE136" s="105"/>
      <c r="DRF136" s="105"/>
      <c r="DRG136" s="105"/>
      <c r="DRH136" s="105"/>
      <c r="DRI136" s="105"/>
      <c r="DRJ136" s="105"/>
      <c r="DRK136" s="105"/>
      <c r="DRL136" s="105"/>
      <c r="DRM136" s="105"/>
      <c r="DRN136" s="105"/>
      <c r="DRO136" s="105"/>
      <c r="DRP136" s="105"/>
      <c r="DRQ136" s="105"/>
      <c r="DRR136" s="105"/>
      <c r="DRS136" s="105"/>
      <c r="DRT136" s="105"/>
      <c r="DRU136" s="105"/>
      <c r="DRV136" s="105"/>
      <c r="DRW136" s="105"/>
      <c r="DRX136" s="105"/>
      <c r="DRY136" s="105"/>
      <c r="DRZ136" s="105"/>
      <c r="DSA136" s="105"/>
      <c r="DSB136" s="105"/>
      <c r="DSC136" s="105"/>
      <c r="DSD136" s="105"/>
      <c r="DSE136" s="105"/>
      <c r="DSF136" s="105"/>
      <c r="DSG136" s="105"/>
      <c r="DSH136" s="105"/>
      <c r="DSI136" s="105"/>
      <c r="DSJ136" s="105"/>
      <c r="DSK136" s="105"/>
      <c r="DSL136" s="105"/>
      <c r="DSM136" s="105"/>
      <c r="DSN136" s="105"/>
      <c r="DSO136" s="105"/>
      <c r="DSP136" s="105"/>
      <c r="DSQ136" s="105"/>
      <c r="DSR136" s="105"/>
      <c r="DSS136" s="105"/>
      <c r="DST136" s="105"/>
      <c r="DSU136" s="105"/>
      <c r="DSV136" s="105"/>
      <c r="DSW136" s="105"/>
      <c r="DSX136" s="105"/>
      <c r="DSY136" s="105"/>
      <c r="DSZ136" s="105"/>
      <c r="DTA136" s="105"/>
      <c r="DTB136" s="105"/>
      <c r="DTC136" s="105"/>
      <c r="DTD136" s="105"/>
      <c r="DTE136" s="105"/>
      <c r="DTF136" s="105"/>
      <c r="DTG136" s="105"/>
      <c r="DTH136" s="105"/>
      <c r="DTI136" s="105"/>
      <c r="DTJ136" s="105"/>
      <c r="DTK136" s="105"/>
      <c r="DTL136" s="105"/>
      <c r="DTM136" s="105"/>
      <c r="DTN136" s="105"/>
      <c r="DTO136" s="105"/>
      <c r="DTP136" s="105"/>
      <c r="DTQ136" s="105"/>
      <c r="DTR136" s="105"/>
      <c r="DTS136" s="105"/>
      <c r="DTT136" s="105"/>
      <c r="DTU136" s="105"/>
      <c r="DTV136" s="105"/>
      <c r="DTW136" s="105"/>
      <c r="DTX136" s="105"/>
      <c r="DTY136" s="105"/>
      <c r="DTZ136" s="105"/>
      <c r="DUA136" s="105"/>
      <c r="DUB136" s="105"/>
      <c r="DUC136" s="105"/>
      <c r="DUD136" s="105"/>
      <c r="DUE136" s="105"/>
      <c r="DUF136" s="105"/>
      <c r="DUG136" s="105"/>
      <c r="DUH136" s="105"/>
      <c r="DUI136" s="105"/>
      <c r="DUJ136" s="105"/>
      <c r="DUK136" s="105"/>
      <c r="DUL136" s="105"/>
      <c r="DUM136" s="105"/>
      <c r="DUN136" s="105"/>
      <c r="DUO136" s="105"/>
      <c r="DUP136" s="105"/>
      <c r="DUQ136" s="105"/>
      <c r="DUR136" s="105"/>
      <c r="DUS136" s="105"/>
      <c r="DUT136" s="105"/>
      <c r="DUU136" s="105"/>
      <c r="DUV136" s="105"/>
      <c r="DUW136" s="105"/>
      <c r="DUX136" s="105"/>
      <c r="DUY136" s="105"/>
      <c r="DUZ136" s="105"/>
      <c r="DVA136" s="105"/>
      <c r="DVB136" s="105"/>
      <c r="DVC136" s="105"/>
      <c r="DVD136" s="105"/>
      <c r="DVE136" s="105"/>
      <c r="DVF136" s="105"/>
      <c r="DVG136" s="105"/>
      <c r="DVH136" s="105"/>
      <c r="DVI136" s="105"/>
      <c r="DVJ136" s="105"/>
      <c r="DVK136" s="105"/>
      <c r="DVL136" s="105"/>
      <c r="DVM136" s="105"/>
      <c r="DVN136" s="105"/>
      <c r="DVO136" s="105"/>
      <c r="DVP136" s="105"/>
      <c r="DVQ136" s="105"/>
      <c r="DVR136" s="105"/>
      <c r="DVS136" s="105"/>
      <c r="DVT136" s="105"/>
      <c r="DVU136" s="105"/>
      <c r="DVV136" s="105"/>
      <c r="DVW136" s="105"/>
      <c r="DVX136" s="105"/>
      <c r="DVY136" s="105"/>
      <c r="DVZ136" s="105"/>
      <c r="DWA136" s="105"/>
      <c r="DWB136" s="105"/>
      <c r="DWC136" s="105"/>
      <c r="DWD136" s="105"/>
      <c r="DWE136" s="105"/>
      <c r="DWF136" s="105"/>
      <c r="DWG136" s="105"/>
      <c r="DWH136" s="105"/>
      <c r="DWI136" s="105"/>
      <c r="DWJ136" s="105"/>
      <c r="DWK136" s="105"/>
      <c r="DWL136" s="105"/>
      <c r="DWM136" s="105"/>
      <c r="DWN136" s="105"/>
      <c r="DWO136" s="105"/>
      <c r="DWP136" s="105"/>
      <c r="DWQ136" s="105"/>
      <c r="DWR136" s="105"/>
      <c r="DWS136" s="105"/>
      <c r="DWT136" s="105"/>
      <c r="DWU136" s="105"/>
      <c r="DWV136" s="105"/>
      <c r="DWW136" s="105"/>
      <c r="DWX136" s="105"/>
      <c r="DWY136" s="105"/>
      <c r="DWZ136" s="105"/>
      <c r="DXA136" s="105"/>
      <c r="DXB136" s="105"/>
      <c r="DXC136" s="105"/>
      <c r="DXD136" s="105"/>
      <c r="DXE136" s="105"/>
      <c r="DXF136" s="105"/>
      <c r="DXG136" s="105"/>
      <c r="DXH136" s="105"/>
      <c r="DXI136" s="105"/>
      <c r="DXJ136" s="105"/>
      <c r="DXK136" s="105"/>
      <c r="DXL136" s="105"/>
      <c r="DXM136" s="105"/>
      <c r="DXN136" s="105"/>
      <c r="DXO136" s="105"/>
      <c r="DXP136" s="105"/>
      <c r="DXQ136" s="105"/>
      <c r="DXR136" s="105"/>
      <c r="DXS136" s="105"/>
      <c r="DXT136" s="105"/>
      <c r="DXU136" s="105"/>
      <c r="DXV136" s="105"/>
      <c r="DXW136" s="105"/>
      <c r="DXX136" s="105"/>
      <c r="DXY136" s="105"/>
      <c r="DXZ136" s="105"/>
      <c r="DYA136" s="105"/>
      <c r="DYB136" s="105"/>
      <c r="DYC136" s="105"/>
      <c r="DYD136" s="105"/>
      <c r="DYE136" s="105"/>
      <c r="DYF136" s="105"/>
      <c r="DYG136" s="105"/>
      <c r="DYH136" s="105"/>
      <c r="DYI136" s="105"/>
      <c r="DYJ136" s="105"/>
      <c r="DYK136" s="105"/>
      <c r="DYL136" s="105"/>
      <c r="DYM136" s="105"/>
      <c r="DYN136" s="105"/>
      <c r="DYO136" s="105"/>
      <c r="DYP136" s="105"/>
      <c r="DYQ136" s="105"/>
      <c r="DYR136" s="105"/>
      <c r="DYS136" s="105"/>
      <c r="DYT136" s="105"/>
      <c r="DYU136" s="105"/>
      <c r="DYV136" s="105"/>
      <c r="DYW136" s="105"/>
      <c r="DYX136" s="105"/>
      <c r="DYY136" s="105"/>
      <c r="DYZ136" s="105"/>
      <c r="DZA136" s="105"/>
      <c r="DZB136" s="105"/>
      <c r="DZC136" s="105"/>
      <c r="DZD136" s="105"/>
      <c r="DZE136" s="105"/>
      <c r="DZF136" s="105"/>
      <c r="DZG136" s="105"/>
      <c r="DZH136" s="105"/>
      <c r="DZI136" s="105"/>
      <c r="DZJ136" s="105"/>
      <c r="DZK136" s="105"/>
      <c r="DZL136" s="105"/>
      <c r="DZM136" s="105"/>
      <c r="DZN136" s="105"/>
      <c r="DZO136" s="105"/>
      <c r="DZP136" s="105"/>
      <c r="DZQ136" s="105"/>
      <c r="DZR136" s="105"/>
      <c r="DZS136" s="105"/>
      <c r="DZT136" s="105"/>
      <c r="DZU136" s="105"/>
      <c r="DZV136" s="105"/>
      <c r="DZW136" s="105"/>
      <c r="DZX136" s="105"/>
      <c r="DZY136" s="105"/>
      <c r="DZZ136" s="105"/>
      <c r="EAA136" s="105"/>
      <c r="EAB136" s="105"/>
      <c r="EAC136" s="105"/>
      <c r="EAD136" s="105"/>
      <c r="EAE136" s="105"/>
      <c r="EAF136" s="105"/>
      <c r="EAG136" s="105"/>
      <c r="EAH136" s="105"/>
      <c r="EAI136" s="105"/>
      <c r="EAJ136" s="105"/>
      <c r="EAK136" s="105"/>
      <c r="EAL136" s="105"/>
      <c r="EAM136" s="105"/>
      <c r="EAN136" s="105"/>
      <c r="EAO136" s="105"/>
      <c r="EAP136" s="105"/>
      <c r="EAQ136" s="105"/>
      <c r="EAR136" s="105"/>
      <c r="EAS136" s="105"/>
      <c r="EAT136" s="105"/>
      <c r="EAU136" s="105"/>
      <c r="EAV136" s="105"/>
      <c r="EAW136" s="105"/>
      <c r="EAX136" s="105"/>
      <c r="EAY136" s="105"/>
      <c r="EAZ136" s="105"/>
      <c r="EBA136" s="105"/>
      <c r="EBB136" s="105"/>
      <c r="EBC136" s="105"/>
      <c r="EBD136" s="105"/>
      <c r="EBE136" s="105"/>
      <c r="EBF136" s="105"/>
      <c r="EBG136" s="105"/>
      <c r="EBH136" s="105"/>
      <c r="EBI136" s="105"/>
      <c r="EBJ136" s="105"/>
      <c r="EBK136" s="105"/>
      <c r="EBL136" s="105"/>
      <c r="EBM136" s="105"/>
      <c r="EBN136" s="105"/>
      <c r="EBO136" s="105"/>
      <c r="EBP136" s="105"/>
      <c r="EBQ136" s="105"/>
      <c r="EBR136" s="105"/>
      <c r="EBS136" s="105"/>
      <c r="EBT136" s="105"/>
      <c r="EBU136" s="105"/>
      <c r="EBV136" s="105"/>
      <c r="EBW136" s="105"/>
      <c r="EBX136" s="105"/>
      <c r="EBY136" s="105"/>
      <c r="EBZ136" s="105"/>
      <c r="ECA136" s="105"/>
      <c r="ECB136" s="105"/>
      <c r="ECC136" s="105"/>
      <c r="ECD136" s="105"/>
      <c r="ECE136" s="105"/>
      <c r="ECF136" s="105"/>
      <c r="ECG136" s="105"/>
      <c r="ECH136" s="105"/>
      <c r="ECI136" s="105"/>
      <c r="ECJ136" s="105"/>
      <c r="ECK136" s="105"/>
      <c r="ECL136" s="105"/>
      <c r="ECM136" s="105"/>
      <c r="ECN136" s="105"/>
      <c r="ECO136" s="105"/>
      <c r="ECP136" s="105"/>
      <c r="ECQ136" s="105"/>
      <c r="ECR136" s="105"/>
      <c r="ECS136" s="105"/>
      <c r="ECT136" s="105"/>
      <c r="ECU136" s="105"/>
      <c r="ECV136" s="105"/>
      <c r="ECW136" s="105"/>
      <c r="ECX136" s="105"/>
      <c r="ECY136" s="105"/>
      <c r="ECZ136" s="105"/>
      <c r="EDA136" s="105"/>
      <c r="EDB136" s="105"/>
      <c r="EDC136" s="105"/>
      <c r="EDD136" s="105"/>
      <c r="EDE136" s="105"/>
      <c r="EDF136" s="105"/>
      <c r="EDG136" s="105"/>
      <c r="EDH136" s="105"/>
      <c r="EDI136" s="105"/>
      <c r="EDJ136" s="105"/>
      <c r="EDK136" s="105"/>
      <c r="EDL136" s="105"/>
      <c r="EDM136" s="105"/>
      <c r="EDN136" s="105"/>
      <c r="EDO136" s="105"/>
      <c r="EDP136" s="105"/>
      <c r="EDQ136" s="105"/>
      <c r="EDR136" s="105"/>
      <c r="EDS136" s="105"/>
      <c r="EDT136" s="105"/>
      <c r="EDU136" s="105"/>
      <c r="EDV136" s="105"/>
      <c r="EDW136" s="105"/>
      <c r="EDX136" s="105"/>
      <c r="EDY136" s="105"/>
      <c r="EDZ136" s="105"/>
      <c r="EEA136" s="105"/>
      <c r="EEB136" s="105"/>
      <c r="EEC136" s="105"/>
      <c r="EED136" s="105"/>
      <c r="EEE136" s="105"/>
      <c r="EEF136" s="105"/>
      <c r="EEG136" s="105"/>
      <c r="EEH136" s="105"/>
      <c r="EEI136" s="105"/>
      <c r="EEJ136" s="105"/>
      <c r="EEK136" s="105"/>
      <c r="EEL136" s="105"/>
      <c r="EEM136" s="105"/>
      <c r="EEN136" s="105"/>
      <c r="EEO136" s="105"/>
      <c r="EEP136" s="105"/>
      <c r="EEQ136" s="105"/>
      <c r="EER136" s="105"/>
      <c r="EES136" s="105"/>
      <c r="EET136" s="105"/>
      <c r="EEU136" s="105"/>
      <c r="EEV136" s="105"/>
      <c r="EEW136" s="105"/>
      <c r="EEX136" s="105"/>
      <c r="EEY136" s="105"/>
      <c r="EEZ136" s="105"/>
      <c r="EFA136" s="105"/>
      <c r="EFB136" s="105"/>
      <c r="EFC136" s="105"/>
      <c r="EFD136" s="105"/>
      <c r="EFE136" s="105"/>
      <c r="EFF136" s="105"/>
      <c r="EFG136" s="105"/>
      <c r="EFH136" s="105"/>
      <c r="EFI136" s="105"/>
      <c r="EFJ136" s="105"/>
      <c r="EFK136" s="105"/>
      <c r="EFL136" s="105"/>
      <c r="EFM136" s="105"/>
      <c r="EFN136" s="105"/>
      <c r="EFO136" s="105"/>
      <c r="EFP136" s="105"/>
      <c r="EFQ136" s="105"/>
      <c r="EFR136" s="105"/>
      <c r="EFS136" s="105"/>
      <c r="EFT136" s="105"/>
      <c r="EFU136" s="105"/>
      <c r="EFV136" s="105"/>
      <c r="EFW136" s="105"/>
      <c r="EFX136" s="105"/>
      <c r="EFY136" s="105"/>
      <c r="EFZ136" s="105"/>
      <c r="EGA136" s="105"/>
      <c r="EGB136" s="105"/>
      <c r="EGC136" s="105"/>
      <c r="EGD136" s="105"/>
      <c r="EGE136" s="105"/>
      <c r="EGF136" s="105"/>
      <c r="EGG136" s="105"/>
      <c r="EGH136" s="105"/>
      <c r="EGI136" s="105"/>
      <c r="EGJ136" s="105"/>
      <c r="EGK136" s="105"/>
      <c r="EGL136" s="105"/>
      <c r="EGM136" s="105"/>
      <c r="EGN136" s="105"/>
      <c r="EGO136" s="105"/>
      <c r="EGP136" s="105"/>
      <c r="EGQ136" s="105"/>
      <c r="EGR136" s="105"/>
      <c r="EGS136" s="105"/>
      <c r="EGT136" s="105"/>
      <c r="EGU136" s="105"/>
      <c r="EGV136" s="105"/>
      <c r="EGW136" s="105"/>
      <c r="EGX136" s="105"/>
      <c r="EGY136" s="105"/>
      <c r="EGZ136" s="105"/>
      <c r="EHA136" s="105"/>
      <c r="EHB136" s="105"/>
      <c r="EHC136" s="105"/>
      <c r="EHD136" s="105"/>
      <c r="EHE136" s="105"/>
      <c r="EHF136" s="105"/>
      <c r="EHG136" s="105"/>
      <c r="EHH136" s="105"/>
      <c r="EHI136" s="105"/>
      <c r="EHJ136" s="105"/>
      <c r="EHK136" s="105"/>
      <c r="EHL136" s="105"/>
      <c r="EHM136" s="105"/>
      <c r="EHN136" s="105"/>
      <c r="EHO136" s="105"/>
      <c r="EHP136" s="105"/>
      <c r="EHQ136" s="105"/>
      <c r="EHR136" s="105"/>
      <c r="EHS136" s="105"/>
      <c r="EHT136" s="105"/>
      <c r="EHU136" s="105"/>
      <c r="EHV136" s="105"/>
      <c r="EHW136" s="105"/>
      <c r="EHX136" s="105"/>
      <c r="EHY136" s="105"/>
      <c r="EHZ136" s="105"/>
      <c r="EIA136" s="105"/>
      <c r="EIB136" s="105"/>
      <c r="EIC136" s="105"/>
      <c r="EID136" s="105"/>
      <c r="EIE136" s="105"/>
      <c r="EIF136" s="105"/>
      <c r="EIG136" s="105"/>
      <c r="EIH136" s="105"/>
      <c r="EII136" s="105"/>
      <c r="EIJ136" s="105"/>
      <c r="EIK136" s="105"/>
      <c r="EIL136" s="105"/>
      <c r="EIM136" s="105"/>
      <c r="EIN136" s="105"/>
      <c r="EIO136" s="105"/>
      <c r="EIP136" s="105"/>
      <c r="EIQ136" s="105"/>
      <c r="EIR136" s="105"/>
      <c r="EIS136" s="105"/>
      <c r="EIT136" s="105"/>
      <c r="EIU136" s="105"/>
      <c r="EIV136" s="105"/>
      <c r="EIW136" s="105"/>
      <c r="EIX136" s="105"/>
      <c r="EIY136" s="105"/>
      <c r="EIZ136" s="105"/>
      <c r="EJA136" s="105"/>
      <c r="EJB136" s="105"/>
      <c r="EJC136" s="105"/>
      <c r="EJD136" s="105"/>
      <c r="EJE136" s="105"/>
      <c r="EJF136" s="105"/>
      <c r="EJG136" s="105"/>
      <c r="EJH136" s="105"/>
      <c r="EJI136" s="105"/>
      <c r="EJJ136" s="105"/>
      <c r="EJK136" s="105"/>
      <c r="EJL136" s="105"/>
      <c r="EJM136" s="105"/>
      <c r="EJN136" s="105"/>
      <c r="EJO136" s="105"/>
      <c r="EJP136" s="105"/>
      <c r="EJQ136" s="105"/>
      <c r="EJR136" s="105"/>
      <c r="EJS136" s="105"/>
      <c r="EJT136" s="105"/>
      <c r="EJU136" s="105"/>
      <c r="EJV136" s="105"/>
      <c r="EJW136" s="105"/>
      <c r="EJX136" s="105"/>
      <c r="EJY136" s="105"/>
      <c r="EJZ136" s="105"/>
      <c r="EKA136" s="105"/>
      <c r="EKB136" s="105"/>
      <c r="EKC136" s="105"/>
      <c r="EKD136" s="105"/>
      <c r="EKE136" s="105"/>
      <c r="EKF136" s="105"/>
      <c r="EKG136" s="105"/>
      <c r="EKH136" s="105"/>
      <c r="EKI136" s="105"/>
      <c r="EKJ136" s="105"/>
      <c r="EKK136" s="105"/>
      <c r="EKL136" s="105"/>
      <c r="EKM136" s="105"/>
      <c r="EKN136" s="105"/>
      <c r="EKO136" s="105"/>
      <c r="EKP136" s="105"/>
      <c r="EKQ136" s="105"/>
      <c r="EKR136" s="105"/>
      <c r="EKS136" s="105"/>
      <c r="EKT136" s="105"/>
      <c r="EKU136" s="105"/>
      <c r="EKV136" s="105"/>
      <c r="EKW136" s="105"/>
      <c r="EKX136" s="105"/>
      <c r="EKY136" s="105"/>
      <c r="EKZ136" s="105"/>
      <c r="ELA136" s="105"/>
      <c r="ELB136" s="105"/>
      <c r="ELC136" s="105"/>
      <c r="ELD136" s="105"/>
      <c r="ELE136" s="105"/>
      <c r="ELF136" s="105"/>
      <c r="ELG136" s="105"/>
      <c r="ELH136" s="105"/>
      <c r="ELI136" s="105"/>
      <c r="ELJ136" s="105"/>
      <c r="ELK136" s="105"/>
      <c r="ELL136" s="105"/>
      <c r="ELM136" s="105"/>
      <c r="ELN136" s="105"/>
      <c r="ELO136" s="105"/>
      <c r="ELP136" s="105"/>
      <c r="ELQ136" s="105"/>
      <c r="ELR136" s="105"/>
      <c r="ELS136" s="105"/>
      <c r="ELT136" s="105"/>
      <c r="ELU136" s="105"/>
      <c r="ELV136" s="105"/>
      <c r="ELW136" s="105"/>
      <c r="ELX136" s="105"/>
      <c r="ELY136" s="105"/>
      <c r="ELZ136" s="105"/>
      <c r="EMA136" s="105"/>
      <c r="EMB136" s="105"/>
      <c r="EMC136" s="105"/>
      <c r="EMD136" s="105"/>
      <c r="EME136" s="105"/>
      <c r="EMF136" s="105"/>
      <c r="EMG136" s="105"/>
      <c r="EMH136" s="105"/>
      <c r="EMI136" s="105"/>
      <c r="EMJ136" s="105"/>
      <c r="EMK136" s="105"/>
      <c r="EML136" s="105"/>
      <c r="EMM136" s="105"/>
      <c r="EMN136" s="105"/>
      <c r="EMO136" s="105"/>
      <c r="EMP136" s="105"/>
      <c r="EMQ136" s="105"/>
      <c r="EMR136" s="105"/>
      <c r="EMS136" s="105"/>
      <c r="EMT136" s="105"/>
      <c r="EMU136" s="105"/>
      <c r="EMV136" s="105"/>
      <c r="EMW136" s="105"/>
      <c r="EMX136" s="105"/>
      <c r="EMY136" s="105"/>
      <c r="EMZ136" s="105"/>
      <c r="ENA136" s="105"/>
      <c r="ENB136" s="105"/>
      <c r="ENC136" s="105"/>
      <c r="END136" s="105"/>
      <c r="ENE136" s="105"/>
      <c r="ENF136" s="105"/>
      <c r="ENG136" s="105"/>
      <c r="ENH136" s="105"/>
      <c r="ENI136" s="105"/>
      <c r="ENJ136" s="105"/>
      <c r="ENK136" s="105"/>
      <c r="ENL136" s="105"/>
      <c r="ENM136" s="105"/>
      <c r="ENN136" s="105"/>
      <c r="ENO136" s="105"/>
      <c r="ENP136" s="105"/>
      <c r="ENQ136" s="105"/>
      <c r="ENR136" s="105"/>
      <c r="ENS136" s="105"/>
      <c r="ENT136" s="105"/>
      <c r="ENU136" s="105"/>
      <c r="ENV136" s="105"/>
      <c r="ENW136" s="105"/>
      <c r="ENX136" s="105"/>
      <c r="ENY136" s="105"/>
      <c r="ENZ136" s="105"/>
      <c r="EOA136" s="105"/>
      <c r="EOB136" s="105"/>
      <c r="EOC136" s="105"/>
      <c r="EOD136" s="105"/>
      <c r="EOE136" s="105"/>
      <c r="EOF136" s="105"/>
      <c r="EOG136" s="105"/>
      <c r="EOH136" s="105"/>
      <c r="EOI136" s="105"/>
      <c r="EOJ136" s="105"/>
      <c r="EOK136" s="105"/>
      <c r="EOL136" s="105"/>
      <c r="EOM136" s="105"/>
      <c r="EON136" s="105"/>
      <c r="EOO136" s="105"/>
      <c r="EOP136" s="105"/>
      <c r="EOQ136" s="105"/>
      <c r="EOR136" s="105"/>
      <c r="EOS136" s="105"/>
      <c r="EOT136" s="105"/>
      <c r="EOU136" s="105"/>
      <c r="EOV136" s="105"/>
      <c r="EOW136" s="105"/>
      <c r="EOX136" s="105"/>
      <c r="EOY136" s="105"/>
      <c r="EOZ136" s="105"/>
      <c r="EPA136" s="105"/>
      <c r="EPB136" s="105"/>
      <c r="EPC136" s="105"/>
      <c r="EPD136" s="105"/>
      <c r="EPE136" s="105"/>
      <c r="EPF136" s="105"/>
      <c r="EPG136" s="105"/>
      <c r="EPH136" s="105"/>
      <c r="EPI136" s="105"/>
      <c r="EPJ136" s="105"/>
      <c r="EPK136" s="105"/>
      <c r="EPL136" s="105"/>
      <c r="EPM136" s="105"/>
      <c r="EPN136" s="105"/>
      <c r="EPO136" s="105"/>
      <c r="EPP136" s="105"/>
      <c r="EPQ136" s="105"/>
      <c r="EPR136" s="105"/>
      <c r="EPS136" s="105"/>
      <c r="EPT136" s="105"/>
      <c r="EPU136" s="105"/>
      <c r="EPV136" s="105"/>
      <c r="EPW136" s="105"/>
      <c r="EPX136" s="105"/>
      <c r="EPY136" s="105"/>
      <c r="EPZ136" s="105"/>
      <c r="EQA136" s="105"/>
      <c r="EQB136" s="105"/>
      <c r="EQC136" s="105"/>
      <c r="EQD136" s="105"/>
      <c r="EQE136" s="105"/>
      <c r="EQF136" s="105"/>
      <c r="EQG136" s="105"/>
      <c r="EQH136" s="105"/>
      <c r="EQI136" s="105"/>
      <c r="EQJ136" s="105"/>
      <c r="EQK136" s="105"/>
      <c r="EQL136" s="105"/>
      <c r="EQM136" s="105"/>
      <c r="EQN136" s="105"/>
      <c r="EQO136" s="105"/>
      <c r="EQP136" s="105"/>
      <c r="EQQ136" s="105"/>
      <c r="EQR136" s="105"/>
      <c r="EQS136" s="105"/>
      <c r="EQT136" s="105"/>
      <c r="EQU136" s="105"/>
      <c r="EQV136" s="105"/>
      <c r="EQW136" s="105"/>
      <c r="EQX136" s="105"/>
      <c r="EQY136" s="105"/>
      <c r="EQZ136" s="105"/>
      <c r="ERA136" s="105"/>
      <c r="ERB136" s="105"/>
      <c r="ERC136" s="105"/>
      <c r="ERD136" s="105"/>
      <c r="ERE136" s="105"/>
      <c r="ERF136" s="105"/>
      <c r="ERG136" s="105"/>
      <c r="ERH136" s="105"/>
      <c r="ERI136" s="105"/>
      <c r="ERJ136" s="105"/>
      <c r="ERK136" s="105"/>
      <c r="ERL136" s="105"/>
      <c r="ERM136" s="105"/>
      <c r="ERN136" s="105"/>
      <c r="ERO136" s="105"/>
      <c r="ERP136" s="105"/>
      <c r="ERQ136" s="105"/>
      <c r="ERR136" s="105"/>
      <c r="ERS136" s="105"/>
      <c r="ERT136" s="105"/>
      <c r="ERU136" s="105"/>
      <c r="ERV136" s="105"/>
      <c r="ERW136" s="105"/>
      <c r="ERX136" s="105"/>
      <c r="ERY136" s="105"/>
      <c r="ERZ136" s="105"/>
      <c r="ESA136" s="105"/>
      <c r="ESB136" s="105"/>
      <c r="ESC136" s="105"/>
      <c r="ESD136" s="105"/>
      <c r="ESE136" s="105"/>
      <c r="ESF136" s="105"/>
      <c r="ESG136" s="105"/>
      <c r="ESH136" s="105"/>
      <c r="ESI136" s="105"/>
      <c r="ESJ136" s="105"/>
      <c r="ESK136" s="105"/>
      <c r="ESL136" s="105"/>
      <c r="ESM136" s="105"/>
      <c r="ESN136" s="105"/>
      <c r="ESO136" s="105"/>
      <c r="ESP136" s="105"/>
      <c r="ESQ136" s="105"/>
      <c r="ESR136" s="105"/>
      <c r="ESS136" s="105"/>
      <c r="EST136" s="105"/>
      <c r="ESU136" s="105"/>
      <c r="ESV136" s="105"/>
      <c r="ESW136" s="105"/>
      <c r="ESX136" s="105"/>
      <c r="ESY136" s="105"/>
      <c r="ESZ136" s="105"/>
      <c r="ETA136" s="105"/>
      <c r="ETB136" s="105"/>
      <c r="ETC136" s="105"/>
      <c r="ETD136" s="105"/>
      <c r="ETE136" s="105"/>
      <c r="ETF136" s="105"/>
      <c r="ETG136" s="105"/>
      <c r="ETH136" s="105"/>
      <c r="ETI136" s="105"/>
      <c r="ETJ136" s="105"/>
      <c r="ETK136" s="105"/>
      <c r="ETL136" s="105"/>
      <c r="ETM136" s="105"/>
      <c r="ETN136" s="105"/>
      <c r="ETO136" s="105"/>
      <c r="ETP136" s="105"/>
      <c r="ETQ136" s="105"/>
      <c r="ETR136" s="105"/>
      <c r="ETS136" s="105"/>
      <c r="ETT136" s="105"/>
      <c r="ETU136" s="105"/>
      <c r="ETV136" s="105"/>
      <c r="ETW136" s="105"/>
      <c r="ETX136" s="105"/>
      <c r="ETY136" s="105"/>
      <c r="ETZ136" s="105"/>
      <c r="EUA136" s="105"/>
      <c r="EUB136" s="105"/>
      <c r="EUC136" s="105"/>
      <c r="EUD136" s="105"/>
      <c r="EUE136" s="105"/>
      <c r="EUF136" s="105"/>
      <c r="EUG136" s="105"/>
      <c r="EUH136" s="105"/>
      <c r="EUI136" s="105"/>
      <c r="EUJ136" s="105"/>
      <c r="EUK136" s="105"/>
      <c r="EUL136" s="105"/>
      <c r="EUM136" s="105"/>
      <c r="EUN136" s="105"/>
      <c r="EUO136" s="105"/>
      <c r="EUP136" s="105"/>
      <c r="EUQ136" s="105"/>
      <c r="EUR136" s="105"/>
      <c r="EUS136" s="105"/>
      <c r="EUT136" s="105"/>
      <c r="EUU136" s="105"/>
      <c r="EUV136" s="105"/>
      <c r="EUW136" s="105"/>
      <c r="EUX136" s="105"/>
      <c r="EUY136" s="105"/>
      <c r="EUZ136" s="105"/>
      <c r="EVA136" s="105"/>
      <c r="EVB136" s="105"/>
      <c r="EVC136" s="105"/>
      <c r="EVD136" s="105"/>
      <c r="EVE136" s="105"/>
      <c r="EVF136" s="105"/>
      <c r="EVG136" s="105"/>
      <c r="EVH136" s="105"/>
      <c r="EVI136" s="105"/>
      <c r="EVJ136" s="105"/>
      <c r="EVK136" s="105"/>
      <c r="EVL136" s="105"/>
      <c r="EVM136" s="105"/>
      <c r="EVN136" s="105"/>
      <c r="EVO136" s="105"/>
      <c r="EVP136" s="105"/>
      <c r="EVQ136" s="105"/>
      <c r="EVR136" s="105"/>
      <c r="EVS136" s="105"/>
      <c r="EVT136" s="105"/>
      <c r="EVU136" s="105"/>
      <c r="EVV136" s="105"/>
      <c r="EVW136" s="105"/>
      <c r="EVX136" s="105"/>
      <c r="EVY136" s="105"/>
      <c r="EVZ136" s="105"/>
      <c r="EWA136" s="105"/>
      <c r="EWB136" s="105"/>
      <c r="EWC136" s="105"/>
      <c r="EWD136" s="105"/>
      <c r="EWE136" s="105"/>
      <c r="EWF136" s="105"/>
      <c r="EWG136" s="105"/>
      <c r="EWH136" s="105"/>
      <c r="EWI136" s="105"/>
      <c r="EWJ136" s="105"/>
      <c r="EWK136" s="105"/>
      <c r="EWL136" s="105"/>
      <c r="EWM136" s="105"/>
      <c r="EWN136" s="105"/>
      <c r="EWO136" s="105"/>
      <c r="EWP136" s="105"/>
      <c r="EWQ136" s="105"/>
      <c r="EWR136" s="105"/>
      <c r="EWS136" s="105"/>
      <c r="EWT136" s="105"/>
      <c r="EWU136" s="105"/>
      <c r="EWV136" s="105"/>
      <c r="EWW136" s="105"/>
      <c r="EWX136" s="105"/>
      <c r="EWY136" s="105"/>
      <c r="EWZ136" s="105"/>
      <c r="EXA136" s="105"/>
      <c r="EXB136" s="105"/>
      <c r="EXC136" s="105"/>
      <c r="EXD136" s="105"/>
      <c r="EXE136" s="105"/>
      <c r="EXF136" s="105"/>
      <c r="EXG136" s="105"/>
      <c r="EXH136" s="105"/>
      <c r="EXI136" s="105"/>
      <c r="EXJ136" s="105"/>
      <c r="EXK136" s="105"/>
      <c r="EXL136" s="105"/>
      <c r="EXM136" s="105"/>
      <c r="EXN136" s="105"/>
      <c r="EXO136" s="105"/>
      <c r="EXP136" s="105"/>
      <c r="EXQ136" s="105"/>
      <c r="EXR136" s="105"/>
      <c r="EXS136" s="105"/>
      <c r="EXT136" s="105"/>
      <c r="EXU136" s="105"/>
      <c r="EXV136" s="105"/>
      <c r="EXW136" s="105"/>
      <c r="EXX136" s="105"/>
      <c r="EXY136" s="105"/>
      <c r="EXZ136" s="105"/>
      <c r="EYA136" s="105"/>
      <c r="EYB136" s="105"/>
      <c r="EYC136" s="105"/>
      <c r="EYD136" s="105"/>
      <c r="EYE136" s="105"/>
      <c r="EYF136" s="105"/>
      <c r="EYG136" s="105"/>
      <c r="EYH136" s="105"/>
      <c r="EYI136" s="105"/>
      <c r="EYJ136" s="105"/>
      <c r="EYK136" s="105"/>
      <c r="EYL136" s="105"/>
      <c r="EYM136" s="105"/>
      <c r="EYN136" s="105"/>
      <c r="EYO136" s="105"/>
      <c r="EYP136" s="105"/>
      <c r="EYQ136" s="105"/>
      <c r="EYR136" s="105"/>
      <c r="EYS136" s="105"/>
      <c r="EYT136" s="105"/>
      <c r="EYU136" s="105"/>
      <c r="EYV136" s="105"/>
      <c r="EYW136" s="105"/>
      <c r="EYX136" s="105"/>
      <c r="EYY136" s="105"/>
      <c r="EYZ136" s="105"/>
      <c r="EZA136" s="105"/>
      <c r="EZB136" s="105"/>
      <c r="EZC136" s="105"/>
      <c r="EZD136" s="105"/>
      <c r="EZE136" s="105"/>
      <c r="EZF136" s="105"/>
      <c r="EZG136" s="105"/>
      <c r="EZH136" s="105"/>
      <c r="EZI136" s="105"/>
      <c r="EZJ136" s="105"/>
      <c r="EZK136" s="105"/>
      <c r="EZL136" s="105"/>
      <c r="EZM136" s="105"/>
      <c r="EZN136" s="105"/>
      <c r="EZO136" s="105"/>
      <c r="EZP136" s="105"/>
      <c r="EZQ136" s="105"/>
      <c r="EZR136" s="105"/>
      <c r="EZS136" s="105"/>
      <c r="EZT136" s="105"/>
      <c r="EZU136" s="105"/>
      <c r="EZV136" s="105"/>
      <c r="EZW136" s="105"/>
      <c r="EZX136" s="105"/>
      <c r="EZY136" s="105"/>
      <c r="EZZ136" s="105"/>
      <c r="FAA136" s="105"/>
      <c r="FAB136" s="105"/>
      <c r="FAC136" s="105"/>
      <c r="FAD136" s="105"/>
      <c r="FAE136" s="105"/>
      <c r="FAF136" s="105"/>
      <c r="FAG136" s="105"/>
      <c r="FAH136" s="105"/>
      <c r="FAI136" s="105"/>
      <c r="FAJ136" s="105"/>
      <c r="FAK136" s="105"/>
      <c r="FAL136" s="105"/>
      <c r="FAM136" s="105"/>
      <c r="FAN136" s="105"/>
      <c r="FAO136" s="105"/>
      <c r="FAP136" s="105"/>
      <c r="FAQ136" s="105"/>
      <c r="FAR136" s="105"/>
      <c r="FAS136" s="105"/>
      <c r="FAT136" s="105"/>
      <c r="FAU136" s="105"/>
      <c r="FAV136" s="105"/>
      <c r="FAW136" s="105"/>
      <c r="FAX136" s="105"/>
      <c r="FAY136" s="105"/>
      <c r="FAZ136" s="105"/>
      <c r="FBA136" s="105"/>
      <c r="FBB136" s="105"/>
      <c r="FBC136" s="105"/>
      <c r="FBD136" s="105"/>
      <c r="FBE136" s="105"/>
      <c r="FBF136" s="105"/>
      <c r="FBG136" s="105"/>
      <c r="FBH136" s="105"/>
      <c r="FBI136" s="105"/>
      <c r="FBJ136" s="105"/>
      <c r="FBK136" s="105"/>
      <c r="FBL136" s="105"/>
      <c r="FBM136" s="105"/>
      <c r="FBN136" s="105"/>
      <c r="FBO136" s="105"/>
      <c r="FBP136" s="105"/>
      <c r="FBQ136" s="105"/>
      <c r="FBR136" s="105"/>
      <c r="FBS136" s="105"/>
      <c r="FBT136" s="105"/>
      <c r="FBU136" s="105"/>
      <c r="FBV136" s="105"/>
      <c r="FBW136" s="105"/>
      <c r="FBX136" s="105"/>
      <c r="FBY136" s="105"/>
      <c r="FBZ136" s="105"/>
      <c r="FCA136" s="105"/>
      <c r="FCB136" s="105"/>
      <c r="FCC136" s="105"/>
      <c r="FCD136" s="105"/>
      <c r="FCE136" s="105"/>
      <c r="FCF136" s="105"/>
      <c r="FCG136" s="105"/>
      <c r="FCH136" s="105"/>
      <c r="FCI136" s="105"/>
      <c r="FCJ136" s="105"/>
      <c r="FCK136" s="105"/>
      <c r="FCL136" s="105"/>
      <c r="FCM136" s="105"/>
      <c r="FCN136" s="105"/>
      <c r="FCO136" s="105"/>
      <c r="FCP136" s="105"/>
      <c r="FCQ136" s="105"/>
      <c r="FCR136" s="105"/>
      <c r="FCS136" s="105"/>
      <c r="FCT136" s="105"/>
      <c r="FCU136" s="105"/>
      <c r="FCV136" s="105"/>
      <c r="FCW136" s="105"/>
      <c r="FCX136" s="105"/>
      <c r="FCY136" s="105"/>
      <c r="FCZ136" s="105"/>
      <c r="FDA136" s="105"/>
      <c r="FDB136" s="105"/>
      <c r="FDC136" s="105"/>
      <c r="FDD136" s="105"/>
      <c r="FDE136" s="105"/>
      <c r="FDF136" s="105"/>
      <c r="FDG136" s="105"/>
      <c r="FDH136" s="105"/>
      <c r="FDI136" s="105"/>
      <c r="FDJ136" s="105"/>
      <c r="FDK136" s="105"/>
      <c r="FDL136" s="105"/>
      <c r="FDM136" s="105"/>
      <c r="FDN136" s="105"/>
      <c r="FDO136" s="105"/>
      <c r="FDP136" s="105"/>
      <c r="FDQ136" s="105"/>
      <c r="FDR136" s="105"/>
      <c r="FDS136" s="105"/>
      <c r="FDT136" s="105"/>
      <c r="FDU136" s="105"/>
      <c r="FDV136" s="105"/>
      <c r="FDW136" s="105"/>
      <c r="FDX136" s="105"/>
      <c r="FDY136" s="105"/>
      <c r="FDZ136" s="105"/>
      <c r="FEA136" s="105"/>
      <c r="FEB136" s="105"/>
      <c r="FEC136" s="105"/>
      <c r="FED136" s="105"/>
      <c r="FEE136" s="105"/>
      <c r="FEF136" s="105"/>
      <c r="FEG136" s="105"/>
      <c r="FEH136" s="105"/>
      <c r="FEI136" s="105"/>
      <c r="FEJ136" s="105"/>
      <c r="FEK136" s="105"/>
      <c r="FEL136" s="105"/>
      <c r="FEM136" s="105"/>
      <c r="FEN136" s="105"/>
      <c r="FEO136" s="105"/>
      <c r="FEP136" s="105"/>
      <c r="FEQ136" s="105"/>
      <c r="FER136" s="105"/>
      <c r="FES136" s="105"/>
      <c r="FET136" s="105"/>
      <c r="FEU136" s="105"/>
      <c r="FEV136" s="105"/>
      <c r="FEW136" s="105"/>
      <c r="FEX136" s="105"/>
      <c r="FEY136" s="105"/>
      <c r="FEZ136" s="105"/>
      <c r="FFA136" s="105"/>
      <c r="FFB136" s="105"/>
      <c r="FFC136" s="105"/>
      <c r="FFD136" s="105"/>
      <c r="FFE136" s="105"/>
      <c r="FFF136" s="105"/>
      <c r="FFG136" s="105"/>
      <c r="FFH136" s="105"/>
      <c r="FFI136" s="105"/>
      <c r="FFJ136" s="105"/>
      <c r="FFK136" s="105"/>
      <c r="FFL136" s="105"/>
      <c r="FFM136" s="105"/>
      <c r="FFN136" s="105"/>
      <c r="FFO136" s="105"/>
      <c r="FFP136" s="105"/>
      <c r="FFQ136" s="105"/>
      <c r="FFR136" s="105"/>
      <c r="FFS136" s="105"/>
      <c r="FFT136" s="105"/>
      <c r="FFU136" s="105"/>
      <c r="FFV136" s="105"/>
      <c r="FFW136" s="105"/>
      <c r="FFX136" s="105"/>
      <c r="FFY136" s="105"/>
      <c r="FFZ136" s="105"/>
      <c r="FGA136" s="105"/>
      <c r="FGB136" s="105"/>
      <c r="FGC136" s="105"/>
      <c r="FGD136" s="105"/>
      <c r="FGE136" s="105"/>
      <c r="FGF136" s="105"/>
      <c r="FGG136" s="105"/>
      <c r="FGH136" s="105"/>
      <c r="FGI136" s="105"/>
      <c r="FGJ136" s="105"/>
      <c r="FGK136" s="105"/>
      <c r="FGL136" s="105"/>
      <c r="FGM136" s="105"/>
      <c r="FGN136" s="105"/>
      <c r="FGO136" s="105"/>
      <c r="FGP136" s="105"/>
      <c r="FGQ136" s="105"/>
      <c r="FGR136" s="105"/>
      <c r="FGS136" s="105"/>
      <c r="FGT136" s="105"/>
      <c r="FGU136" s="105"/>
      <c r="FGV136" s="105"/>
      <c r="FGW136" s="105"/>
      <c r="FGX136" s="105"/>
      <c r="FGY136" s="105"/>
      <c r="FGZ136" s="105"/>
      <c r="FHA136" s="105"/>
      <c r="FHB136" s="105"/>
      <c r="FHC136" s="105"/>
      <c r="FHD136" s="105"/>
      <c r="FHE136" s="105"/>
      <c r="FHF136" s="105"/>
      <c r="FHG136" s="105"/>
      <c r="FHH136" s="105"/>
      <c r="FHI136" s="105"/>
      <c r="FHJ136" s="105"/>
      <c r="FHK136" s="105"/>
      <c r="FHL136" s="105"/>
      <c r="FHM136" s="105"/>
      <c r="FHN136" s="105"/>
      <c r="FHO136" s="105"/>
      <c r="FHP136" s="105"/>
      <c r="FHQ136" s="105"/>
      <c r="FHR136" s="105"/>
      <c r="FHS136" s="105"/>
      <c r="FHT136" s="105"/>
      <c r="FHU136" s="105"/>
      <c r="FHV136" s="105"/>
      <c r="FHW136" s="105"/>
      <c r="FHX136" s="105"/>
      <c r="FHY136" s="105"/>
      <c r="FHZ136" s="105"/>
      <c r="FIA136" s="105"/>
      <c r="FIB136" s="105"/>
      <c r="FIC136" s="105"/>
      <c r="FID136" s="105"/>
      <c r="FIE136" s="105"/>
      <c r="FIF136" s="105"/>
      <c r="FIG136" s="105"/>
      <c r="FIH136" s="105"/>
      <c r="FII136" s="105"/>
      <c r="FIJ136" s="105"/>
      <c r="FIK136" s="105"/>
      <c r="FIL136" s="105"/>
      <c r="FIM136" s="105"/>
      <c r="FIN136" s="105"/>
      <c r="FIO136" s="105"/>
      <c r="FIP136" s="105"/>
      <c r="FIQ136" s="105"/>
      <c r="FIR136" s="105"/>
      <c r="FIS136" s="105"/>
      <c r="FIT136" s="105"/>
      <c r="FIU136" s="105"/>
      <c r="FIV136" s="105"/>
      <c r="FIW136" s="105"/>
      <c r="FIX136" s="105"/>
      <c r="FIY136" s="105"/>
      <c r="FIZ136" s="105"/>
      <c r="FJA136" s="105"/>
      <c r="FJB136" s="105"/>
      <c r="FJC136" s="105"/>
      <c r="FJD136" s="105"/>
      <c r="FJE136" s="105"/>
      <c r="FJF136" s="105"/>
      <c r="FJG136" s="105"/>
      <c r="FJH136" s="105"/>
      <c r="FJI136" s="105"/>
      <c r="FJJ136" s="105"/>
      <c r="FJK136" s="105"/>
      <c r="FJL136" s="105"/>
      <c r="FJM136" s="105"/>
      <c r="FJN136" s="105"/>
      <c r="FJO136" s="105"/>
      <c r="FJP136" s="105"/>
      <c r="FJQ136" s="105"/>
      <c r="FJR136" s="105"/>
      <c r="FJS136" s="105"/>
      <c r="FJT136" s="105"/>
      <c r="FJU136" s="105"/>
      <c r="FJV136" s="105"/>
      <c r="FJW136" s="105"/>
      <c r="FJX136" s="105"/>
      <c r="FJY136" s="105"/>
      <c r="FJZ136" s="105"/>
      <c r="FKA136" s="105"/>
      <c r="FKB136" s="105"/>
      <c r="FKC136" s="105"/>
      <c r="FKD136" s="105"/>
      <c r="FKE136" s="105"/>
      <c r="FKF136" s="105"/>
      <c r="FKG136" s="105"/>
      <c r="FKH136" s="105"/>
      <c r="FKI136" s="105"/>
      <c r="FKJ136" s="105"/>
      <c r="FKK136" s="105"/>
      <c r="FKL136" s="105"/>
      <c r="FKM136" s="105"/>
      <c r="FKN136" s="105"/>
      <c r="FKO136" s="105"/>
      <c r="FKP136" s="105"/>
      <c r="FKQ136" s="105"/>
      <c r="FKR136" s="105"/>
      <c r="FKS136" s="105"/>
      <c r="FKT136" s="105"/>
      <c r="FKU136" s="105"/>
      <c r="FKV136" s="105"/>
      <c r="FKW136" s="105"/>
      <c r="FKX136" s="105"/>
      <c r="FKY136" s="105"/>
      <c r="FKZ136" s="105"/>
      <c r="FLA136" s="105"/>
      <c r="FLB136" s="105"/>
      <c r="FLC136" s="105"/>
      <c r="FLD136" s="105"/>
      <c r="FLE136" s="105"/>
      <c r="FLF136" s="105"/>
      <c r="FLG136" s="105"/>
      <c r="FLH136" s="105"/>
      <c r="FLI136" s="105"/>
      <c r="FLJ136" s="105"/>
      <c r="FLK136" s="105"/>
      <c r="FLL136" s="105"/>
      <c r="FLM136" s="105"/>
      <c r="FLN136" s="105"/>
      <c r="FLO136" s="105"/>
      <c r="FLP136" s="105"/>
      <c r="FLQ136" s="105"/>
      <c r="FLR136" s="105"/>
      <c r="FLS136" s="105"/>
      <c r="FLT136" s="105"/>
      <c r="FLU136" s="105"/>
      <c r="FLV136" s="105"/>
      <c r="FLW136" s="105"/>
      <c r="FLX136" s="105"/>
      <c r="FLY136" s="105"/>
      <c r="FLZ136" s="105"/>
      <c r="FMA136" s="105"/>
      <c r="FMB136" s="105"/>
      <c r="FMC136" s="105"/>
      <c r="FMD136" s="105"/>
      <c r="FME136" s="105"/>
      <c r="FMF136" s="105"/>
      <c r="FMG136" s="105"/>
      <c r="FMH136" s="105"/>
      <c r="FMI136" s="105"/>
      <c r="FMJ136" s="105"/>
      <c r="FMK136" s="105"/>
      <c r="FML136" s="105"/>
      <c r="FMM136" s="105"/>
      <c r="FMN136" s="105"/>
      <c r="FMO136" s="105"/>
      <c r="FMP136" s="105"/>
      <c r="FMQ136" s="105"/>
      <c r="FMR136" s="105"/>
      <c r="FMS136" s="105"/>
      <c r="FMT136" s="105"/>
      <c r="FMU136" s="105"/>
      <c r="FMV136" s="105"/>
      <c r="FMW136" s="105"/>
      <c r="FMX136" s="105"/>
      <c r="FMY136" s="105"/>
      <c r="FMZ136" s="105"/>
      <c r="FNA136" s="105"/>
      <c r="FNB136" s="105"/>
      <c r="FNC136" s="105"/>
      <c r="FND136" s="105"/>
      <c r="FNE136" s="105"/>
      <c r="FNF136" s="105"/>
      <c r="FNG136" s="105"/>
      <c r="FNH136" s="105"/>
      <c r="FNI136" s="105"/>
      <c r="FNJ136" s="105"/>
      <c r="FNK136" s="105"/>
      <c r="FNL136" s="105"/>
      <c r="FNM136" s="105"/>
      <c r="FNN136" s="105"/>
      <c r="FNO136" s="105"/>
      <c r="FNP136" s="105"/>
      <c r="FNQ136" s="105"/>
      <c r="FNR136" s="105"/>
      <c r="FNS136" s="105"/>
      <c r="FNT136" s="105"/>
      <c r="FNU136" s="105"/>
      <c r="FNV136" s="105"/>
      <c r="FNW136" s="105"/>
      <c r="FNX136" s="105"/>
      <c r="FNY136" s="105"/>
      <c r="FNZ136" s="105"/>
      <c r="FOA136" s="105"/>
      <c r="FOB136" s="105"/>
      <c r="FOC136" s="105"/>
      <c r="FOD136" s="105"/>
      <c r="FOE136" s="105"/>
      <c r="FOF136" s="105"/>
      <c r="FOG136" s="105"/>
      <c r="FOH136" s="105"/>
      <c r="FOI136" s="105"/>
      <c r="FOJ136" s="105"/>
      <c r="FOK136" s="105"/>
      <c r="FOL136" s="105"/>
      <c r="FOM136" s="105"/>
      <c r="FON136" s="105"/>
      <c r="FOO136" s="105"/>
      <c r="FOP136" s="105"/>
      <c r="FOQ136" s="105"/>
      <c r="FOR136" s="105"/>
      <c r="FOS136" s="105"/>
      <c r="FOT136" s="105"/>
      <c r="FOU136" s="105"/>
      <c r="FOV136" s="105"/>
      <c r="FOW136" s="105"/>
      <c r="FOX136" s="105"/>
      <c r="FOY136" s="105"/>
      <c r="FOZ136" s="105"/>
      <c r="FPA136" s="105"/>
      <c r="FPB136" s="105"/>
      <c r="FPC136" s="105"/>
      <c r="FPD136" s="105"/>
      <c r="FPE136" s="105"/>
      <c r="FPF136" s="105"/>
      <c r="FPG136" s="105"/>
      <c r="FPH136" s="105"/>
      <c r="FPI136" s="105"/>
      <c r="FPJ136" s="105"/>
      <c r="FPK136" s="105"/>
      <c r="FPL136" s="105"/>
      <c r="FPM136" s="105"/>
      <c r="FPN136" s="105"/>
      <c r="FPO136" s="105"/>
      <c r="FPP136" s="105"/>
      <c r="FPQ136" s="105"/>
      <c r="FPR136" s="105"/>
      <c r="FPS136" s="105"/>
      <c r="FPT136" s="105"/>
      <c r="FPU136" s="105"/>
      <c r="FPV136" s="105"/>
      <c r="FPW136" s="105"/>
      <c r="FPX136" s="105"/>
      <c r="FPY136" s="105"/>
      <c r="FPZ136" s="105"/>
      <c r="FQA136" s="105"/>
      <c r="FQB136" s="105"/>
      <c r="FQC136" s="105"/>
      <c r="FQD136" s="105"/>
      <c r="FQE136" s="105"/>
      <c r="FQF136" s="105"/>
      <c r="FQG136" s="105"/>
      <c r="FQH136" s="105"/>
      <c r="FQI136" s="105"/>
      <c r="FQJ136" s="105"/>
      <c r="FQK136" s="105"/>
      <c r="FQL136" s="105"/>
      <c r="FQM136" s="105"/>
      <c r="FQN136" s="105"/>
      <c r="FQO136" s="105"/>
      <c r="FQP136" s="105"/>
      <c r="FQQ136" s="105"/>
      <c r="FQR136" s="105"/>
      <c r="FQS136" s="105"/>
      <c r="FQT136" s="105"/>
      <c r="FQU136" s="105"/>
      <c r="FQV136" s="105"/>
      <c r="FQW136" s="105"/>
      <c r="FQX136" s="105"/>
      <c r="FQY136" s="105"/>
      <c r="FQZ136" s="105"/>
      <c r="FRA136" s="105"/>
      <c r="FRB136" s="105"/>
      <c r="FRC136" s="105"/>
      <c r="FRD136" s="105"/>
      <c r="FRE136" s="105"/>
      <c r="FRF136" s="105"/>
      <c r="FRG136" s="105"/>
      <c r="FRH136" s="105"/>
      <c r="FRI136" s="105"/>
      <c r="FRJ136" s="105"/>
      <c r="FRK136" s="105"/>
      <c r="FRL136" s="105"/>
      <c r="FRM136" s="105"/>
      <c r="FRN136" s="105"/>
      <c r="FRO136" s="105"/>
      <c r="FRP136" s="105"/>
      <c r="FRQ136" s="105"/>
      <c r="FRR136" s="105"/>
      <c r="FRS136" s="105"/>
      <c r="FRT136" s="105"/>
      <c r="FRU136" s="105"/>
      <c r="FRV136" s="105"/>
      <c r="FRW136" s="105"/>
      <c r="FRX136" s="105"/>
      <c r="FRY136" s="105"/>
      <c r="FRZ136" s="105"/>
      <c r="FSA136" s="105"/>
      <c r="FSB136" s="105"/>
      <c r="FSC136" s="105"/>
      <c r="FSD136" s="105"/>
      <c r="FSE136" s="105"/>
      <c r="FSF136" s="105"/>
      <c r="FSG136" s="105"/>
      <c r="FSH136" s="105"/>
      <c r="FSI136" s="105"/>
      <c r="FSJ136" s="105"/>
      <c r="FSK136" s="105"/>
      <c r="FSL136" s="105"/>
      <c r="FSM136" s="105"/>
      <c r="FSN136" s="105"/>
      <c r="FSO136" s="105"/>
      <c r="FSP136" s="105"/>
      <c r="FSQ136" s="105"/>
      <c r="FSR136" s="105"/>
      <c r="FSS136" s="105"/>
      <c r="FST136" s="105"/>
      <c r="FSU136" s="105"/>
      <c r="FSV136" s="105"/>
      <c r="FSW136" s="105"/>
      <c r="FSX136" s="105"/>
      <c r="FSY136" s="105"/>
      <c r="FSZ136" s="105"/>
      <c r="FTA136" s="105"/>
      <c r="FTB136" s="105"/>
      <c r="FTC136" s="105"/>
      <c r="FTD136" s="105"/>
      <c r="FTE136" s="105"/>
      <c r="FTF136" s="105"/>
      <c r="FTG136" s="105"/>
      <c r="FTH136" s="105"/>
      <c r="FTI136" s="105"/>
      <c r="FTJ136" s="105"/>
      <c r="FTK136" s="105"/>
      <c r="FTL136" s="105"/>
      <c r="FTM136" s="105"/>
      <c r="FTN136" s="105"/>
      <c r="FTO136" s="105"/>
      <c r="FTP136" s="105"/>
      <c r="FTQ136" s="105"/>
      <c r="FTR136" s="105"/>
      <c r="FTS136" s="105"/>
      <c r="FTT136" s="105"/>
      <c r="FTU136" s="105"/>
      <c r="FTV136" s="105"/>
      <c r="FTW136" s="105"/>
      <c r="FTX136" s="105"/>
      <c r="FTY136" s="105"/>
      <c r="FTZ136" s="105"/>
      <c r="FUA136" s="105"/>
      <c r="FUB136" s="105"/>
      <c r="FUC136" s="105"/>
      <c r="FUD136" s="105"/>
      <c r="FUE136" s="105"/>
      <c r="FUF136" s="105"/>
      <c r="FUG136" s="105"/>
      <c r="FUH136" s="105"/>
      <c r="FUI136" s="105"/>
      <c r="FUJ136" s="105"/>
      <c r="FUK136" s="105"/>
      <c r="FUL136" s="105"/>
      <c r="FUM136" s="105"/>
      <c r="FUN136" s="105"/>
      <c r="FUO136" s="105"/>
      <c r="FUP136" s="105"/>
      <c r="FUQ136" s="105"/>
      <c r="FUR136" s="105"/>
      <c r="FUS136" s="105"/>
      <c r="FUT136" s="105"/>
      <c r="FUU136" s="105"/>
      <c r="FUV136" s="105"/>
      <c r="FUW136" s="105"/>
      <c r="FUX136" s="105"/>
      <c r="FUY136" s="105"/>
      <c r="FUZ136" s="105"/>
      <c r="FVA136" s="105"/>
      <c r="FVB136" s="105"/>
      <c r="FVC136" s="105"/>
      <c r="FVD136" s="105"/>
      <c r="FVE136" s="105"/>
      <c r="FVF136" s="105"/>
      <c r="FVG136" s="105"/>
      <c r="FVH136" s="105"/>
      <c r="FVI136" s="105"/>
      <c r="FVJ136" s="105"/>
      <c r="FVK136" s="105"/>
      <c r="FVL136" s="105"/>
      <c r="FVM136" s="105"/>
      <c r="FVN136" s="105"/>
      <c r="FVO136" s="105"/>
      <c r="FVP136" s="105"/>
      <c r="FVQ136" s="105"/>
      <c r="FVR136" s="105"/>
      <c r="FVS136" s="105"/>
      <c r="FVT136" s="105"/>
      <c r="FVU136" s="105"/>
      <c r="FVV136" s="105"/>
      <c r="FVW136" s="105"/>
      <c r="FVX136" s="105"/>
      <c r="FVY136" s="105"/>
      <c r="FVZ136" s="105"/>
      <c r="FWA136" s="105"/>
      <c r="FWB136" s="105"/>
      <c r="FWC136" s="105"/>
      <c r="FWD136" s="105"/>
      <c r="FWE136" s="105"/>
      <c r="FWF136" s="105"/>
      <c r="FWG136" s="105"/>
      <c r="FWH136" s="105"/>
      <c r="FWI136" s="105"/>
      <c r="FWJ136" s="105"/>
      <c r="FWK136" s="105"/>
      <c r="FWL136" s="105"/>
      <c r="FWM136" s="105"/>
      <c r="FWN136" s="105"/>
      <c r="FWO136" s="105"/>
      <c r="FWP136" s="105"/>
      <c r="FWQ136" s="105"/>
      <c r="FWR136" s="105"/>
      <c r="FWS136" s="105"/>
      <c r="FWT136" s="105"/>
      <c r="FWU136" s="105"/>
      <c r="FWV136" s="105"/>
      <c r="FWW136" s="105"/>
      <c r="FWX136" s="105"/>
      <c r="FWY136" s="105"/>
      <c r="FWZ136" s="105"/>
      <c r="FXA136" s="105"/>
      <c r="FXB136" s="105"/>
      <c r="FXC136" s="105"/>
      <c r="FXD136" s="105"/>
      <c r="FXE136" s="105"/>
      <c r="FXF136" s="105"/>
      <c r="FXG136" s="105"/>
      <c r="FXH136" s="105"/>
      <c r="FXI136" s="105"/>
      <c r="FXJ136" s="105"/>
      <c r="FXK136" s="105"/>
      <c r="FXL136" s="105"/>
      <c r="FXM136" s="105"/>
      <c r="FXN136" s="105"/>
      <c r="FXO136" s="105"/>
      <c r="FXP136" s="105"/>
      <c r="FXQ136" s="105"/>
      <c r="FXR136" s="105"/>
      <c r="FXS136" s="105"/>
      <c r="FXT136" s="105"/>
      <c r="FXU136" s="105"/>
      <c r="FXV136" s="105"/>
      <c r="FXW136" s="105"/>
      <c r="FXX136" s="105"/>
      <c r="FXY136" s="105"/>
      <c r="FXZ136" s="105"/>
      <c r="FYA136" s="105"/>
      <c r="FYB136" s="105"/>
      <c r="FYC136" s="105"/>
      <c r="FYD136" s="105"/>
      <c r="FYE136" s="105"/>
      <c r="FYF136" s="105"/>
      <c r="FYG136" s="105"/>
      <c r="FYH136" s="105"/>
      <c r="FYI136" s="105"/>
      <c r="FYJ136" s="105"/>
      <c r="FYK136" s="105"/>
      <c r="FYL136" s="105"/>
      <c r="FYM136" s="105"/>
      <c r="FYN136" s="105"/>
      <c r="FYO136" s="105"/>
      <c r="FYP136" s="105"/>
      <c r="FYQ136" s="105"/>
      <c r="FYR136" s="105"/>
      <c r="FYS136" s="105"/>
      <c r="FYT136" s="105"/>
      <c r="FYU136" s="105"/>
      <c r="FYV136" s="105"/>
      <c r="FYW136" s="105"/>
      <c r="FYX136" s="105"/>
      <c r="FYY136" s="105"/>
      <c r="FYZ136" s="105"/>
      <c r="FZA136" s="105"/>
      <c r="FZB136" s="105"/>
      <c r="FZC136" s="105"/>
      <c r="FZD136" s="105"/>
      <c r="FZE136" s="105"/>
      <c r="FZF136" s="105"/>
      <c r="FZG136" s="105"/>
      <c r="FZH136" s="105"/>
      <c r="FZI136" s="105"/>
      <c r="FZJ136" s="105"/>
      <c r="FZK136" s="105"/>
      <c r="FZL136" s="105"/>
      <c r="FZM136" s="105"/>
      <c r="FZN136" s="105"/>
      <c r="FZO136" s="105"/>
      <c r="FZP136" s="105"/>
      <c r="FZQ136" s="105"/>
      <c r="FZR136" s="105"/>
      <c r="FZS136" s="105"/>
      <c r="FZT136" s="105"/>
      <c r="FZU136" s="105"/>
      <c r="FZV136" s="105"/>
      <c r="FZW136" s="105"/>
      <c r="FZX136" s="105"/>
      <c r="FZY136" s="105"/>
      <c r="FZZ136" s="105"/>
      <c r="GAA136" s="105"/>
      <c r="GAB136" s="105"/>
      <c r="GAC136" s="105"/>
      <c r="GAD136" s="105"/>
      <c r="GAE136" s="105"/>
      <c r="GAF136" s="105"/>
      <c r="GAG136" s="105"/>
      <c r="GAH136" s="105"/>
      <c r="GAI136" s="105"/>
      <c r="GAJ136" s="105"/>
      <c r="GAK136" s="105"/>
      <c r="GAL136" s="105"/>
      <c r="GAM136" s="105"/>
      <c r="GAN136" s="105"/>
      <c r="GAO136" s="105"/>
      <c r="GAP136" s="105"/>
      <c r="GAQ136" s="105"/>
      <c r="GAR136" s="105"/>
      <c r="GAS136" s="105"/>
      <c r="GAT136" s="105"/>
      <c r="GAU136" s="105"/>
      <c r="GAV136" s="105"/>
      <c r="GAW136" s="105"/>
      <c r="GAX136" s="105"/>
      <c r="GAY136" s="105"/>
      <c r="GAZ136" s="105"/>
      <c r="GBA136" s="105"/>
      <c r="GBB136" s="105"/>
      <c r="GBC136" s="105"/>
      <c r="GBD136" s="105"/>
      <c r="GBE136" s="105"/>
      <c r="GBF136" s="105"/>
      <c r="GBG136" s="105"/>
      <c r="GBH136" s="105"/>
      <c r="GBI136" s="105"/>
      <c r="GBJ136" s="105"/>
      <c r="GBK136" s="105"/>
      <c r="GBL136" s="105"/>
      <c r="GBM136" s="105"/>
      <c r="GBN136" s="105"/>
      <c r="GBO136" s="105"/>
      <c r="GBP136" s="105"/>
      <c r="GBQ136" s="105"/>
      <c r="GBR136" s="105"/>
      <c r="GBS136" s="105"/>
      <c r="GBT136" s="105"/>
      <c r="GBU136" s="105"/>
      <c r="GBV136" s="105"/>
      <c r="GBW136" s="105"/>
      <c r="GBX136" s="105"/>
      <c r="GBY136" s="105"/>
      <c r="GBZ136" s="105"/>
      <c r="GCA136" s="105"/>
      <c r="GCB136" s="105"/>
      <c r="GCC136" s="105"/>
      <c r="GCD136" s="105"/>
      <c r="GCE136" s="105"/>
      <c r="GCF136" s="105"/>
      <c r="GCG136" s="105"/>
      <c r="GCH136" s="105"/>
      <c r="GCI136" s="105"/>
      <c r="GCJ136" s="105"/>
      <c r="GCK136" s="105"/>
      <c r="GCL136" s="105"/>
      <c r="GCM136" s="105"/>
      <c r="GCN136" s="105"/>
      <c r="GCO136" s="105"/>
      <c r="GCP136" s="105"/>
      <c r="GCQ136" s="105"/>
      <c r="GCR136" s="105"/>
      <c r="GCS136" s="105"/>
      <c r="GCT136" s="105"/>
      <c r="GCU136" s="105"/>
      <c r="GCV136" s="105"/>
      <c r="GCW136" s="105"/>
      <c r="GCX136" s="105"/>
      <c r="GCY136" s="105"/>
      <c r="GCZ136" s="105"/>
      <c r="GDA136" s="105"/>
      <c r="GDB136" s="105"/>
      <c r="GDC136" s="105"/>
      <c r="GDD136" s="105"/>
      <c r="GDE136" s="105"/>
      <c r="GDF136" s="105"/>
      <c r="GDG136" s="105"/>
      <c r="GDH136" s="105"/>
      <c r="GDI136" s="105"/>
      <c r="GDJ136" s="105"/>
      <c r="GDK136" s="105"/>
      <c r="GDL136" s="105"/>
      <c r="GDM136" s="105"/>
      <c r="GDN136" s="105"/>
      <c r="GDO136" s="105"/>
      <c r="GDP136" s="105"/>
      <c r="GDQ136" s="105"/>
      <c r="GDR136" s="105"/>
      <c r="GDS136" s="105"/>
      <c r="GDT136" s="105"/>
      <c r="GDU136" s="105"/>
      <c r="GDV136" s="105"/>
      <c r="GDW136" s="105"/>
      <c r="GDX136" s="105"/>
      <c r="GDY136" s="105"/>
      <c r="GDZ136" s="105"/>
      <c r="GEA136" s="105"/>
      <c r="GEB136" s="105"/>
      <c r="GEC136" s="105"/>
      <c r="GED136" s="105"/>
      <c r="GEE136" s="105"/>
      <c r="GEF136" s="105"/>
      <c r="GEG136" s="105"/>
      <c r="GEH136" s="105"/>
      <c r="GEI136" s="105"/>
      <c r="GEJ136" s="105"/>
      <c r="GEK136" s="105"/>
      <c r="GEL136" s="105"/>
      <c r="GEM136" s="105"/>
      <c r="GEN136" s="105"/>
      <c r="GEO136" s="105"/>
      <c r="GEP136" s="105"/>
      <c r="GEQ136" s="105"/>
      <c r="GER136" s="105"/>
      <c r="GES136" s="105"/>
      <c r="GET136" s="105"/>
      <c r="GEU136" s="105"/>
      <c r="GEV136" s="105"/>
      <c r="GEW136" s="105"/>
      <c r="GEX136" s="105"/>
      <c r="GEY136" s="105"/>
      <c r="GEZ136" s="105"/>
      <c r="GFA136" s="105"/>
      <c r="GFB136" s="105"/>
      <c r="GFC136" s="105"/>
      <c r="GFD136" s="105"/>
      <c r="GFE136" s="105"/>
      <c r="GFF136" s="105"/>
      <c r="GFG136" s="105"/>
      <c r="GFH136" s="105"/>
      <c r="GFI136" s="105"/>
      <c r="GFJ136" s="105"/>
      <c r="GFK136" s="105"/>
      <c r="GFL136" s="105"/>
      <c r="GFM136" s="105"/>
      <c r="GFN136" s="105"/>
      <c r="GFO136" s="105"/>
      <c r="GFP136" s="105"/>
      <c r="GFQ136" s="105"/>
      <c r="GFR136" s="105"/>
      <c r="GFS136" s="105"/>
      <c r="GFT136" s="105"/>
      <c r="GFU136" s="105"/>
      <c r="GFV136" s="105"/>
      <c r="GFW136" s="105"/>
      <c r="GFX136" s="105"/>
      <c r="GFY136" s="105"/>
      <c r="GFZ136" s="105"/>
      <c r="GGA136" s="105"/>
      <c r="GGB136" s="105"/>
      <c r="GGC136" s="105"/>
      <c r="GGD136" s="105"/>
      <c r="GGE136" s="105"/>
      <c r="GGF136" s="105"/>
      <c r="GGG136" s="105"/>
      <c r="GGH136" s="105"/>
      <c r="GGI136" s="105"/>
      <c r="GGJ136" s="105"/>
      <c r="GGK136" s="105"/>
      <c r="GGL136" s="105"/>
      <c r="GGM136" s="105"/>
      <c r="GGN136" s="105"/>
      <c r="GGO136" s="105"/>
      <c r="GGP136" s="105"/>
      <c r="GGQ136" s="105"/>
      <c r="GGR136" s="105"/>
      <c r="GGS136" s="105"/>
      <c r="GGT136" s="105"/>
      <c r="GGU136" s="105"/>
      <c r="GGV136" s="105"/>
      <c r="GGW136" s="105"/>
      <c r="GGX136" s="105"/>
      <c r="GGY136" s="105"/>
      <c r="GGZ136" s="105"/>
      <c r="GHA136" s="105"/>
      <c r="GHB136" s="105"/>
      <c r="GHC136" s="105"/>
      <c r="GHD136" s="105"/>
      <c r="GHE136" s="105"/>
      <c r="GHF136" s="105"/>
      <c r="GHG136" s="105"/>
      <c r="GHH136" s="105"/>
      <c r="GHI136" s="105"/>
      <c r="GHJ136" s="105"/>
      <c r="GHK136" s="105"/>
      <c r="GHL136" s="105"/>
      <c r="GHM136" s="105"/>
      <c r="GHN136" s="105"/>
      <c r="GHO136" s="105"/>
      <c r="GHP136" s="105"/>
      <c r="GHQ136" s="105"/>
      <c r="GHR136" s="105"/>
      <c r="GHS136" s="105"/>
      <c r="GHT136" s="105"/>
      <c r="GHU136" s="105"/>
      <c r="GHV136" s="105"/>
      <c r="GHW136" s="105"/>
      <c r="GHX136" s="105"/>
      <c r="GHY136" s="105"/>
      <c r="GHZ136" s="105"/>
      <c r="GIA136" s="105"/>
      <c r="GIB136" s="105"/>
      <c r="GIC136" s="105"/>
      <c r="GID136" s="105"/>
      <c r="GIE136" s="105"/>
      <c r="GIF136" s="105"/>
      <c r="GIG136" s="105"/>
      <c r="GIH136" s="105"/>
      <c r="GII136" s="105"/>
      <c r="GIJ136" s="105"/>
      <c r="GIK136" s="105"/>
      <c r="GIL136" s="105"/>
      <c r="GIM136" s="105"/>
      <c r="GIN136" s="105"/>
      <c r="GIO136" s="105"/>
      <c r="GIP136" s="105"/>
      <c r="GIQ136" s="105"/>
      <c r="GIR136" s="105"/>
      <c r="GIS136" s="105"/>
      <c r="GIT136" s="105"/>
      <c r="GIU136" s="105"/>
      <c r="GIV136" s="105"/>
      <c r="GIW136" s="105"/>
      <c r="GIX136" s="105"/>
      <c r="GIY136" s="105"/>
      <c r="GIZ136" s="105"/>
      <c r="GJA136" s="105"/>
      <c r="GJB136" s="105"/>
      <c r="GJC136" s="105"/>
      <c r="GJD136" s="105"/>
      <c r="GJE136" s="105"/>
      <c r="GJF136" s="105"/>
      <c r="GJG136" s="105"/>
      <c r="GJH136" s="105"/>
      <c r="GJI136" s="105"/>
      <c r="GJJ136" s="105"/>
      <c r="GJK136" s="105"/>
      <c r="GJL136" s="105"/>
      <c r="GJM136" s="105"/>
      <c r="GJN136" s="105"/>
      <c r="GJO136" s="105"/>
      <c r="GJP136" s="105"/>
      <c r="GJQ136" s="105"/>
      <c r="GJR136" s="105"/>
      <c r="GJS136" s="105"/>
      <c r="GJT136" s="105"/>
      <c r="GJU136" s="105"/>
      <c r="GJV136" s="105"/>
      <c r="GJW136" s="105"/>
      <c r="GJX136" s="105"/>
      <c r="GJY136" s="105"/>
      <c r="GJZ136" s="105"/>
      <c r="GKA136" s="105"/>
      <c r="GKB136" s="105"/>
      <c r="GKC136" s="105"/>
      <c r="GKD136" s="105"/>
      <c r="GKE136" s="105"/>
      <c r="GKF136" s="105"/>
      <c r="GKG136" s="105"/>
      <c r="GKH136" s="105"/>
      <c r="GKI136" s="105"/>
      <c r="GKJ136" s="105"/>
      <c r="GKK136" s="105"/>
      <c r="GKL136" s="105"/>
      <c r="GKM136" s="105"/>
      <c r="GKN136" s="105"/>
      <c r="GKO136" s="105"/>
      <c r="GKP136" s="105"/>
      <c r="GKQ136" s="105"/>
      <c r="GKR136" s="105"/>
      <c r="GKS136" s="105"/>
      <c r="GKT136" s="105"/>
      <c r="GKU136" s="105"/>
      <c r="GKV136" s="105"/>
      <c r="GKW136" s="105"/>
      <c r="GKX136" s="105"/>
      <c r="GKY136" s="105"/>
      <c r="GKZ136" s="105"/>
      <c r="GLA136" s="105"/>
      <c r="GLB136" s="105"/>
      <c r="GLC136" s="105"/>
      <c r="GLD136" s="105"/>
      <c r="GLE136" s="105"/>
      <c r="GLF136" s="105"/>
      <c r="GLG136" s="105"/>
      <c r="GLH136" s="105"/>
      <c r="GLI136" s="105"/>
      <c r="GLJ136" s="105"/>
      <c r="GLK136" s="105"/>
      <c r="GLL136" s="105"/>
      <c r="GLM136" s="105"/>
      <c r="GLN136" s="105"/>
      <c r="GLO136" s="105"/>
      <c r="GLP136" s="105"/>
      <c r="GLQ136" s="105"/>
      <c r="GLR136" s="105"/>
      <c r="GLS136" s="105"/>
      <c r="GLT136" s="105"/>
      <c r="GLU136" s="105"/>
      <c r="GLV136" s="105"/>
      <c r="GLW136" s="105"/>
      <c r="GLX136" s="105"/>
      <c r="GLY136" s="105"/>
      <c r="GLZ136" s="105"/>
      <c r="GMA136" s="105"/>
      <c r="GMB136" s="105"/>
      <c r="GMC136" s="105"/>
      <c r="GMD136" s="105"/>
      <c r="GME136" s="105"/>
      <c r="GMF136" s="105"/>
      <c r="GMG136" s="105"/>
      <c r="GMH136" s="105"/>
      <c r="GMI136" s="105"/>
      <c r="GMJ136" s="105"/>
      <c r="GMK136" s="105"/>
      <c r="GML136" s="105"/>
      <c r="GMM136" s="105"/>
      <c r="GMN136" s="105"/>
      <c r="GMO136" s="105"/>
      <c r="GMP136" s="105"/>
      <c r="GMQ136" s="105"/>
      <c r="GMR136" s="105"/>
      <c r="GMS136" s="105"/>
      <c r="GMT136" s="105"/>
      <c r="GMU136" s="105"/>
      <c r="GMV136" s="105"/>
      <c r="GMW136" s="105"/>
      <c r="GMX136" s="105"/>
      <c r="GMY136" s="105"/>
      <c r="GMZ136" s="105"/>
      <c r="GNA136" s="105"/>
      <c r="GNB136" s="105"/>
      <c r="GNC136" s="105"/>
      <c r="GND136" s="105"/>
      <c r="GNE136" s="105"/>
      <c r="GNF136" s="105"/>
      <c r="GNG136" s="105"/>
      <c r="GNH136" s="105"/>
      <c r="GNI136" s="105"/>
      <c r="GNJ136" s="105"/>
      <c r="GNK136" s="105"/>
      <c r="GNL136" s="105"/>
      <c r="GNM136" s="105"/>
      <c r="GNN136" s="105"/>
      <c r="GNO136" s="105"/>
      <c r="GNP136" s="105"/>
      <c r="GNQ136" s="105"/>
      <c r="GNR136" s="105"/>
      <c r="GNS136" s="105"/>
      <c r="GNT136" s="105"/>
      <c r="GNU136" s="105"/>
      <c r="GNV136" s="105"/>
      <c r="GNW136" s="105"/>
      <c r="GNX136" s="105"/>
      <c r="GNY136" s="105"/>
      <c r="GNZ136" s="105"/>
      <c r="GOA136" s="105"/>
      <c r="GOB136" s="105"/>
      <c r="GOC136" s="105"/>
      <c r="GOD136" s="105"/>
      <c r="GOE136" s="105"/>
      <c r="GOF136" s="105"/>
      <c r="GOG136" s="105"/>
      <c r="GOH136" s="105"/>
      <c r="GOI136" s="105"/>
      <c r="GOJ136" s="105"/>
      <c r="GOK136" s="105"/>
      <c r="GOL136" s="105"/>
      <c r="GOM136" s="105"/>
      <c r="GON136" s="105"/>
      <c r="GOO136" s="105"/>
      <c r="GOP136" s="105"/>
      <c r="GOQ136" s="105"/>
      <c r="GOR136" s="105"/>
      <c r="GOS136" s="105"/>
      <c r="GOT136" s="105"/>
      <c r="GOU136" s="105"/>
      <c r="GOV136" s="105"/>
      <c r="GOW136" s="105"/>
      <c r="GOX136" s="105"/>
      <c r="GOY136" s="105"/>
      <c r="GOZ136" s="105"/>
      <c r="GPA136" s="105"/>
      <c r="GPB136" s="105"/>
      <c r="GPC136" s="105"/>
      <c r="GPD136" s="105"/>
      <c r="GPE136" s="105"/>
      <c r="GPF136" s="105"/>
      <c r="GPG136" s="105"/>
      <c r="GPH136" s="105"/>
      <c r="GPI136" s="105"/>
      <c r="GPJ136" s="105"/>
      <c r="GPK136" s="105"/>
      <c r="GPL136" s="105"/>
      <c r="GPM136" s="105"/>
      <c r="GPN136" s="105"/>
      <c r="GPO136" s="105"/>
      <c r="GPP136" s="105"/>
      <c r="GPQ136" s="105"/>
      <c r="GPR136" s="105"/>
      <c r="GPS136" s="105"/>
      <c r="GPT136" s="105"/>
      <c r="GPU136" s="105"/>
      <c r="GPV136" s="105"/>
      <c r="GPW136" s="105"/>
      <c r="GPX136" s="105"/>
      <c r="GPY136" s="105"/>
      <c r="GPZ136" s="105"/>
      <c r="GQA136" s="105"/>
      <c r="GQB136" s="105"/>
      <c r="GQC136" s="105"/>
      <c r="GQD136" s="105"/>
      <c r="GQE136" s="105"/>
      <c r="GQF136" s="105"/>
      <c r="GQG136" s="105"/>
      <c r="GQH136" s="105"/>
      <c r="GQI136" s="105"/>
      <c r="GQJ136" s="105"/>
      <c r="GQK136" s="105"/>
      <c r="GQL136" s="105"/>
      <c r="GQM136" s="105"/>
      <c r="GQN136" s="105"/>
      <c r="GQO136" s="105"/>
      <c r="GQP136" s="105"/>
      <c r="GQQ136" s="105"/>
      <c r="GQR136" s="105"/>
      <c r="GQS136" s="105"/>
      <c r="GQT136" s="105"/>
      <c r="GQU136" s="105"/>
      <c r="GQV136" s="105"/>
      <c r="GQW136" s="105"/>
      <c r="GQX136" s="105"/>
      <c r="GQY136" s="105"/>
      <c r="GQZ136" s="105"/>
      <c r="GRA136" s="105"/>
      <c r="GRB136" s="105"/>
      <c r="GRC136" s="105"/>
      <c r="GRD136" s="105"/>
      <c r="GRE136" s="105"/>
      <c r="GRF136" s="105"/>
      <c r="GRG136" s="105"/>
      <c r="GRH136" s="105"/>
      <c r="GRI136" s="105"/>
      <c r="GRJ136" s="105"/>
      <c r="GRK136" s="105"/>
      <c r="GRL136" s="105"/>
      <c r="GRM136" s="105"/>
      <c r="GRN136" s="105"/>
      <c r="GRO136" s="105"/>
      <c r="GRP136" s="105"/>
      <c r="GRQ136" s="105"/>
      <c r="GRR136" s="105"/>
      <c r="GRS136" s="105"/>
      <c r="GRT136" s="105"/>
      <c r="GRU136" s="105"/>
      <c r="GRV136" s="105"/>
      <c r="GRW136" s="105"/>
      <c r="GRX136" s="105"/>
      <c r="GRY136" s="105"/>
      <c r="GRZ136" s="105"/>
      <c r="GSA136" s="105"/>
      <c r="GSB136" s="105"/>
      <c r="GSC136" s="105"/>
      <c r="GSD136" s="105"/>
      <c r="GSE136" s="105"/>
      <c r="GSF136" s="105"/>
      <c r="GSG136" s="105"/>
      <c r="GSH136" s="105"/>
      <c r="GSI136" s="105"/>
      <c r="GSJ136" s="105"/>
      <c r="GSK136" s="105"/>
      <c r="GSL136" s="105"/>
      <c r="GSM136" s="105"/>
      <c r="GSN136" s="105"/>
      <c r="GSO136" s="105"/>
      <c r="GSP136" s="105"/>
      <c r="GSQ136" s="105"/>
      <c r="GSR136" s="105"/>
      <c r="GSS136" s="105"/>
      <c r="GST136" s="105"/>
      <c r="GSU136" s="105"/>
      <c r="GSV136" s="105"/>
      <c r="GSW136" s="105"/>
      <c r="GSX136" s="105"/>
      <c r="GSY136" s="105"/>
      <c r="GSZ136" s="105"/>
      <c r="GTA136" s="105"/>
      <c r="GTB136" s="105"/>
      <c r="GTC136" s="105"/>
      <c r="GTD136" s="105"/>
      <c r="GTE136" s="105"/>
      <c r="GTF136" s="105"/>
      <c r="GTG136" s="105"/>
      <c r="GTH136" s="105"/>
      <c r="GTI136" s="105"/>
      <c r="GTJ136" s="105"/>
      <c r="GTK136" s="105"/>
      <c r="GTL136" s="105"/>
      <c r="GTM136" s="105"/>
      <c r="GTN136" s="105"/>
      <c r="GTO136" s="105"/>
      <c r="GTP136" s="105"/>
      <c r="GTQ136" s="105"/>
      <c r="GTR136" s="105"/>
      <c r="GTS136" s="105"/>
      <c r="GTT136" s="105"/>
      <c r="GTU136" s="105"/>
      <c r="GTV136" s="105"/>
      <c r="GTW136" s="105"/>
      <c r="GTX136" s="105"/>
      <c r="GTY136" s="105"/>
      <c r="GTZ136" s="105"/>
      <c r="GUA136" s="105"/>
      <c r="GUB136" s="105"/>
      <c r="GUC136" s="105"/>
      <c r="GUD136" s="105"/>
      <c r="GUE136" s="105"/>
      <c r="GUF136" s="105"/>
      <c r="GUG136" s="105"/>
      <c r="GUH136" s="105"/>
      <c r="GUI136" s="105"/>
      <c r="GUJ136" s="105"/>
      <c r="GUK136" s="105"/>
      <c r="GUL136" s="105"/>
      <c r="GUM136" s="105"/>
      <c r="GUN136" s="105"/>
      <c r="GUO136" s="105"/>
      <c r="GUP136" s="105"/>
      <c r="GUQ136" s="105"/>
      <c r="GUR136" s="105"/>
      <c r="GUS136" s="105"/>
      <c r="GUT136" s="105"/>
      <c r="GUU136" s="105"/>
      <c r="GUV136" s="105"/>
      <c r="GUW136" s="105"/>
      <c r="GUX136" s="105"/>
      <c r="GUY136" s="105"/>
      <c r="GUZ136" s="105"/>
      <c r="GVA136" s="105"/>
      <c r="GVB136" s="105"/>
      <c r="GVC136" s="105"/>
      <c r="GVD136" s="105"/>
      <c r="GVE136" s="105"/>
      <c r="GVF136" s="105"/>
      <c r="GVG136" s="105"/>
      <c r="GVH136" s="105"/>
      <c r="GVI136" s="105"/>
      <c r="GVJ136" s="105"/>
      <c r="GVK136" s="105"/>
      <c r="GVL136" s="105"/>
      <c r="GVM136" s="105"/>
      <c r="GVN136" s="105"/>
      <c r="GVO136" s="105"/>
      <c r="GVP136" s="105"/>
      <c r="GVQ136" s="105"/>
      <c r="GVR136" s="105"/>
      <c r="GVS136" s="105"/>
      <c r="GVT136" s="105"/>
      <c r="GVU136" s="105"/>
      <c r="GVV136" s="105"/>
      <c r="GVW136" s="105"/>
      <c r="GVX136" s="105"/>
      <c r="GVY136" s="105"/>
      <c r="GVZ136" s="105"/>
      <c r="GWA136" s="105"/>
      <c r="GWB136" s="105"/>
      <c r="GWC136" s="105"/>
      <c r="GWD136" s="105"/>
      <c r="GWE136" s="105"/>
      <c r="GWF136" s="105"/>
      <c r="GWG136" s="105"/>
      <c r="GWH136" s="105"/>
      <c r="GWI136" s="105"/>
      <c r="GWJ136" s="105"/>
      <c r="GWK136" s="105"/>
      <c r="GWL136" s="105"/>
      <c r="GWM136" s="105"/>
      <c r="GWN136" s="105"/>
      <c r="GWO136" s="105"/>
      <c r="GWP136" s="105"/>
      <c r="GWQ136" s="105"/>
      <c r="GWR136" s="105"/>
      <c r="GWS136" s="105"/>
      <c r="GWT136" s="105"/>
      <c r="GWU136" s="105"/>
      <c r="GWV136" s="105"/>
      <c r="GWW136" s="105"/>
      <c r="GWX136" s="105"/>
      <c r="GWY136" s="105"/>
      <c r="GWZ136" s="105"/>
      <c r="GXA136" s="105"/>
      <c r="GXB136" s="105"/>
      <c r="GXC136" s="105"/>
      <c r="GXD136" s="105"/>
      <c r="GXE136" s="105"/>
      <c r="GXF136" s="105"/>
      <c r="GXG136" s="105"/>
      <c r="GXH136" s="105"/>
      <c r="GXI136" s="105"/>
      <c r="GXJ136" s="105"/>
      <c r="GXK136" s="105"/>
      <c r="GXL136" s="105"/>
      <c r="GXM136" s="105"/>
      <c r="GXN136" s="105"/>
      <c r="GXO136" s="105"/>
      <c r="GXP136" s="105"/>
      <c r="GXQ136" s="105"/>
      <c r="GXR136" s="105"/>
      <c r="GXS136" s="105"/>
      <c r="GXT136" s="105"/>
      <c r="GXU136" s="105"/>
      <c r="GXV136" s="105"/>
      <c r="GXW136" s="105"/>
      <c r="GXX136" s="105"/>
      <c r="GXY136" s="105"/>
      <c r="GXZ136" s="105"/>
      <c r="GYA136" s="105"/>
      <c r="GYB136" s="105"/>
      <c r="GYC136" s="105"/>
      <c r="GYD136" s="105"/>
      <c r="GYE136" s="105"/>
      <c r="GYF136" s="105"/>
      <c r="GYG136" s="105"/>
      <c r="GYH136" s="105"/>
      <c r="GYI136" s="105"/>
      <c r="GYJ136" s="105"/>
      <c r="GYK136" s="105"/>
      <c r="GYL136" s="105"/>
      <c r="GYM136" s="105"/>
      <c r="GYN136" s="105"/>
      <c r="GYO136" s="105"/>
      <c r="GYP136" s="105"/>
      <c r="GYQ136" s="105"/>
      <c r="GYR136" s="105"/>
      <c r="GYS136" s="105"/>
      <c r="GYT136" s="105"/>
      <c r="GYU136" s="105"/>
      <c r="GYV136" s="105"/>
      <c r="GYW136" s="105"/>
      <c r="GYX136" s="105"/>
      <c r="GYY136" s="105"/>
      <c r="GYZ136" s="105"/>
      <c r="GZA136" s="105"/>
      <c r="GZB136" s="105"/>
      <c r="GZC136" s="105"/>
      <c r="GZD136" s="105"/>
      <c r="GZE136" s="105"/>
      <c r="GZF136" s="105"/>
      <c r="GZG136" s="105"/>
      <c r="GZH136" s="105"/>
      <c r="GZI136" s="105"/>
      <c r="GZJ136" s="105"/>
      <c r="GZK136" s="105"/>
      <c r="GZL136" s="105"/>
      <c r="GZM136" s="105"/>
      <c r="GZN136" s="105"/>
      <c r="GZO136" s="105"/>
      <c r="GZP136" s="105"/>
      <c r="GZQ136" s="105"/>
      <c r="GZR136" s="105"/>
      <c r="GZS136" s="105"/>
      <c r="GZT136" s="105"/>
      <c r="GZU136" s="105"/>
      <c r="GZV136" s="105"/>
      <c r="GZW136" s="105"/>
      <c r="GZX136" s="105"/>
      <c r="GZY136" s="105"/>
      <c r="GZZ136" s="105"/>
      <c r="HAA136" s="105"/>
      <c r="HAB136" s="105"/>
      <c r="HAC136" s="105"/>
      <c r="HAD136" s="105"/>
      <c r="HAE136" s="105"/>
      <c r="HAF136" s="105"/>
      <c r="HAG136" s="105"/>
      <c r="HAH136" s="105"/>
      <c r="HAI136" s="105"/>
      <c r="HAJ136" s="105"/>
      <c r="HAK136" s="105"/>
      <c r="HAL136" s="105"/>
      <c r="HAM136" s="105"/>
      <c r="HAN136" s="105"/>
      <c r="HAO136" s="105"/>
      <c r="HAP136" s="105"/>
      <c r="HAQ136" s="105"/>
      <c r="HAR136" s="105"/>
      <c r="HAS136" s="105"/>
      <c r="HAT136" s="105"/>
      <c r="HAU136" s="105"/>
      <c r="HAV136" s="105"/>
      <c r="HAW136" s="105"/>
      <c r="HAX136" s="105"/>
      <c r="HAY136" s="105"/>
      <c r="HAZ136" s="105"/>
      <c r="HBA136" s="105"/>
      <c r="HBB136" s="105"/>
      <c r="HBC136" s="105"/>
      <c r="HBD136" s="105"/>
      <c r="HBE136" s="105"/>
      <c r="HBF136" s="105"/>
      <c r="HBG136" s="105"/>
      <c r="HBH136" s="105"/>
      <c r="HBI136" s="105"/>
      <c r="HBJ136" s="105"/>
      <c r="HBK136" s="105"/>
      <c r="HBL136" s="105"/>
      <c r="HBM136" s="105"/>
      <c r="HBN136" s="105"/>
      <c r="HBO136" s="105"/>
      <c r="HBP136" s="105"/>
      <c r="HBQ136" s="105"/>
      <c r="HBR136" s="105"/>
      <c r="HBS136" s="105"/>
      <c r="HBT136" s="105"/>
      <c r="HBU136" s="105"/>
      <c r="HBV136" s="105"/>
      <c r="HBW136" s="105"/>
      <c r="HBX136" s="105"/>
      <c r="HBY136" s="105"/>
      <c r="HBZ136" s="105"/>
      <c r="HCA136" s="105"/>
      <c r="HCB136" s="105"/>
      <c r="HCC136" s="105"/>
      <c r="HCD136" s="105"/>
      <c r="HCE136" s="105"/>
      <c r="HCF136" s="105"/>
      <c r="HCG136" s="105"/>
      <c r="HCH136" s="105"/>
      <c r="HCI136" s="105"/>
      <c r="HCJ136" s="105"/>
      <c r="HCK136" s="105"/>
      <c r="HCL136" s="105"/>
      <c r="HCM136" s="105"/>
      <c r="HCN136" s="105"/>
      <c r="HCO136" s="105"/>
      <c r="HCP136" s="105"/>
      <c r="HCQ136" s="105"/>
      <c r="HCR136" s="105"/>
      <c r="HCS136" s="105"/>
      <c r="HCT136" s="105"/>
      <c r="HCU136" s="105"/>
      <c r="HCV136" s="105"/>
      <c r="HCW136" s="105"/>
      <c r="HCX136" s="105"/>
      <c r="HCY136" s="105"/>
      <c r="HCZ136" s="105"/>
      <c r="HDA136" s="105"/>
      <c r="HDB136" s="105"/>
      <c r="HDC136" s="105"/>
      <c r="HDD136" s="105"/>
      <c r="HDE136" s="105"/>
      <c r="HDF136" s="105"/>
      <c r="HDG136" s="105"/>
      <c r="HDH136" s="105"/>
      <c r="HDI136" s="105"/>
      <c r="HDJ136" s="105"/>
      <c r="HDK136" s="105"/>
      <c r="HDL136" s="105"/>
      <c r="HDM136" s="105"/>
      <c r="HDN136" s="105"/>
      <c r="HDO136" s="105"/>
      <c r="HDP136" s="105"/>
      <c r="HDQ136" s="105"/>
      <c r="HDR136" s="105"/>
      <c r="HDS136" s="105"/>
      <c r="HDT136" s="105"/>
      <c r="HDU136" s="105"/>
      <c r="HDV136" s="105"/>
      <c r="HDW136" s="105"/>
      <c r="HDX136" s="105"/>
      <c r="HDY136" s="105"/>
      <c r="HDZ136" s="105"/>
      <c r="HEA136" s="105"/>
      <c r="HEB136" s="105"/>
      <c r="HEC136" s="105"/>
      <c r="HED136" s="105"/>
      <c r="HEE136" s="105"/>
      <c r="HEF136" s="105"/>
      <c r="HEG136" s="105"/>
      <c r="HEH136" s="105"/>
      <c r="HEI136" s="105"/>
      <c r="HEJ136" s="105"/>
      <c r="HEK136" s="105"/>
      <c r="HEL136" s="105"/>
      <c r="HEM136" s="105"/>
      <c r="HEN136" s="105"/>
      <c r="HEO136" s="105"/>
      <c r="HEP136" s="105"/>
      <c r="HEQ136" s="105"/>
      <c r="HER136" s="105"/>
      <c r="HES136" s="105"/>
      <c r="HET136" s="105"/>
      <c r="HEU136" s="105"/>
      <c r="HEV136" s="105"/>
      <c r="HEW136" s="105"/>
      <c r="HEX136" s="105"/>
      <c r="HEY136" s="105"/>
      <c r="HEZ136" s="105"/>
      <c r="HFA136" s="105"/>
      <c r="HFB136" s="105"/>
      <c r="HFC136" s="105"/>
      <c r="HFD136" s="105"/>
      <c r="HFE136" s="105"/>
      <c r="HFF136" s="105"/>
      <c r="HFG136" s="105"/>
      <c r="HFH136" s="105"/>
      <c r="HFI136" s="105"/>
      <c r="HFJ136" s="105"/>
      <c r="HFK136" s="105"/>
      <c r="HFL136" s="105"/>
      <c r="HFM136" s="105"/>
      <c r="HFN136" s="105"/>
      <c r="HFO136" s="105"/>
      <c r="HFP136" s="105"/>
      <c r="HFQ136" s="105"/>
      <c r="HFR136" s="105"/>
      <c r="HFS136" s="105"/>
      <c r="HFT136" s="105"/>
      <c r="HFU136" s="105"/>
      <c r="HFV136" s="105"/>
      <c r="HFW136" s="105"/>
      <c r="HFX136" s="105"/>
      <c r="HFY136" s="105"/>
      <c r="HFZ136" s="105"/>
      <c r="HGA136" s="105"/>
      <c r="HGB136" s="105"/>
      <c r="HGC136" s="105"/>
      <c r="HGD136" s="105"/>
      <c r="HGE136" s="105"/>
      <c r="HGF136" s="105"/>
      <c r="HGG136" s="105"/>
      <c r="HGH136" s="105"/>
      <c r="HGI136" s="105"/>
      <c r="HGJ136" s="105"/>
      <c r="HGK136" s="105"/>
      <c r="HGL136" s="105"/>
      <c r="HGM136" s="105"/>
      <c r="HGN136" s="105"/>
      <c r="HGO136" s="105"/>
      <c r="HGP136" s="105"/>
      <c r="HGQ136" s="105"/>
      <c r="HGR136" s="105"/>
      <c r="HGS136" s="105"/>
      <c r="HGT136" s="105"/>
      <c r="HGU136" s="105"/>
      <c r="HGV136" s="105"/>
      <c r="HGW136" s="105"/>
      <c r="HGX136" s="105"/>
      <c r="HGY136" s="105"/>
      <c r="HGZ136" s="105"/>
      <c r="HHA136" s="105"/>
      <c r="HHB136" s="105"/>
      <c r="HHC136" s="105"/>
      <c r="HHD136" s="105"/>
      <c r="HHE136" s="105"/>
      <c r="HHF136" s="105"/>
      <c r="HHG136" s="105"/>
      <c r="HHH136" s="105"/>
      <c r="HHI136" s="105"/>
      <c r="HHJ136" s="105"/>
      <c r="HHK136" s="105"/>
      <c r="HHL136" s="105"/>
      <c r="HHM136" s="105"/>
      <c r="HHN136" s="105"/>
      <c r="HHO136" s="105"/>
      <c r="HHP136" s="105"/>
      <c r="HHQ136" s="105"/>
      <c r="HHR136" s="105"/>
      <c r="HHS136" s="105"/>
      <c r="HHT136" s="105"/>
      <c r="HHU136" s="105"/>
      <c r="HHV136" s="105"/>
      <c r="HHW136" s="105"/>
      <c r="HHX136" s="105"/>
      <c r="HHY136" s="105"/>
      <c r="HHZ136" s="105"/>
      <c r="HIA136" s="105"/>
      <c r="HIB136" s="105"/>
      <c r="HIC136" s="105"/>
      <c r="HID136" s="105"/>
      <c r="HIE136" s="105"/>
      <c r="HIF136" s="105"/>
      <c r="HIG136" s="105"/>
      <c r="HIH136" s="105"/>
      <c r="HII136" s="105"/>
      <c r="HIJ136" s="105"/>
      <c r="HIK136" s="105"/>
      <c r="HIL136" s="105"/>
      <c r="HIM136" s="105"/>
      <c r="HIN136" s="105"/>
      <c r="HIO136" s="105"/>
      <c r="HIP136" s="105"/>
      <c r="HIQ136" s="105"/>
      <c r="HIR136" s="105"/>
      <c r="HIS136" s="105"/>
      <c r="HIT136" s="105"/>
      <c r="HIU136" s="105"/>
      <c r="HIV136" s="105"/>
      <c r="HIW136" s="105"/>
      <c r="HIX136" s="105"/>
      <c r="HIY136" s="105"/>
      <c r="HIZ136" s="105"/>
      <c r="HJA136" s="105"/>
      <c r="HJB136" s="105"/>
      <c r="HJC136" s="105"/>
      <c r="HJD136" s="105"/>
      <c r="HJE136" s="105"/>
      <c r="HJF136" s="105"/>
      <c r="HJG136" s="105"/>
      <c r="HJH136" s="105"/>
      <c r="HJI136" s="105"/>
      <c r="HJJ136" s="105"/>
      <c r="HJK136" s="105"/>
      <c r="HJL136" s="105"/>
      <c r="HJM136" s="105"/>
      <c r="HJN136" s="105"/>
      <c r="HJO136" s="105"/>
      <c r="HJP136" s="105"/>
      <c r="HJQ136" s="105"/>
      <c r="HJR136" s="105"/>
      <c r="HJS136" s="105"/>
      <c r="HJT136" s="105"/>
      <c r="HJU136" s="105"/>
      <c r="HJV136" s="105"/>
      <c r="HJW136" s="105"/>
      <c r="HJX136" s="105"/>
      <c r="HJY136" s="105"/>
      <c r="HJZ136" s="105"/>
      <c r="HKA136" s="105"/>
      <c r="HKB136" s="105"/>
      <c r="HKC136" s="105"/>
      <c r="HKD136" s="105"/>
      <c r="HKE136" s="105"/>
      <c r="HKF136" s="105"/>
      <c r="HKG136" s="105"/>
      <c r="HKH136" s="105"/>
      <c r="HKI136" s="105"/>
      <c r="HKJ136" s="105"/>
      <c r="HKK136" s="105"/>
      <c r="HKL136" s="105"/>
      <c r="HKM136" s="105"/>
      <c r="HKN136" s="105"/>
      <c r="HKO136" s="105"/>
      <c r="HKP136" s="105"/>
      <c r="HKQ136" s="105"/>
      <c r="HKR136" s="105"/>
      <c r="HKS136" s="105"/>
      <c r="HKT136" s="105"/>
      <c r="HKU136" s="105"/>
      <c r="HKV136" s="105"/>
      <c r="HKW136" s="105"/>
      <c r="HKX136" s="105"/>
      <c r="HKY136" s="105"/>
      <c r="HKZ136" s="105"/>
      <c r="HLA136" s="105"/>
      <c r="HLB136" s="105"/>
      <c r="HLC136" s="105"/>
      <c r="HLD136" s="105"/>
      <c r="HLE136" s="105"/>
      <c r="HLF136" s="105"/>
      <c r="HLG136" s="105"/>
      <c r="HLH136" s="105"/>
      <c r="HLI136" s="105"/>
      <c r="HLJ136" s="105"/>
      <c r="HLK136" s="105"/>
      <c r="HLL136" s="105"/>
      <c r="HLM136" s="105"/>
      <c r="HLN136" s="105"/>
      <c r="HLO136" s="105"/>
      <c r="HLP136" s="105"/>
      <c r="HLQ136" s="105"/>
      <c r="HLR136" s="105"/>
      <c r="HLS136" s="105"/>
      <c r="HLT136" s="105"/>
      <c r="HLU136" s="105"/>
      <c r="HLV136" s="105"/>
      <c r="HLW136" s="105"/>
      <c r="HLX136" s="105"/>
      <c r="HLY136" s="105"/>
      <c r="HLZ136" s="105"/>
      <c r="HMA136" s="105"/>
      <c r="HMB136" s="105"/>
      <c r="HMC136" s="105"/>
      <c r="HMD136" s="105"/>
      <c r="HME136" s="105"/>
      <c r="HMF136" s="105"/>
      <c r="HMG136" s="105"/>
      <c r="HMH136" s="105"/>
      <c r="HMI136" s="105"/>
      <c r="HMJ136" s="105"/>
      <c r="HMK136" s="105"/>
      <c r="HML136" s="105"/>
      <c r="HMM136" s="105"/>
      <c r="HMN136" s="105"/>
      <c r="HMO136" s="105"/>
      <c r="HMP136" s="105"/>
      <c r="HMQ136" s="105"/>
      <c r="HMR136" s="105"/>
      <c r="HMS136" s="105"/>
      <c r="HMT136" s="105"/>
      <c r="HMU136" s="105"/>
      <c r="HMV136" s="105"/>
      <c r="HMW136" s="105"/>
      <c r="HMX136" s="105"/>
      <c r="HMY136" s="105"/>
      <c r="HMZ136" s="105"/>
      <c r="HNA136" s="105"/>
      <c r="HNB136" s="105"/>
      <c r="HNC136" s="105"/>
      <c r="HND136" s="105"/>
      <c r="HNE136" s="105"/>
      <c r="HNF136" s="105"/>
      <c r="HNG136" s="105"/>
      <c r="HNH136" s="105"/>
      <c r="HNI136" s="105"/>
      <c r="HNJ136" s="105"/>
      <c r="HNK136" s="105"/>
      <c r="HNL136" s="105"/>
      <c r="HNM136" s="105"/>
      <c r="HNN136" s="105"/>
      <c r="HNO136" s="105"/>
      <c r="HNP136" s="105"/>
      <c r="HNQ136" s="105"/>
      <c r="HNR136" s="105"/>
      <c r="HNS136" s="105"/>
      <c r="HNT136" s="105"/>
      <c r="HNU136" s="105"/>
      <c r="HNV136" s="105"/>
      <c r="HNW136" s="105"/>
      <c r="HNX136" s="105"/>
      <c r="HNY136" s="105"/>
      <c r="HNZ136" s="105"/>
      <c r="HOA136" s="105"/>
      <c r="HOB136" s="105"/>
      <c r="HOC136" s="105"/>
      <c r="HOD136" s="105"/>
      <c r="HOE136" s="105"/>
      <c r="HOF136" s="105"/>
      <c r="HOG136" s="105"/>
      <c r="HOH136" s="105"/>
      <c r="HOI136" s="105"/>
      <c r="HOJ136" s="105"/>
      <c r="HOK136" s="105"/>
      <c r="HOL136" s="105"/>
      <c r="HOM136" s="105"/>
      <c r="HON136" s="105"/>
      <c r="HOO136" s="105"/>
      <c r="HOP136" s="105"/>
      <c r="HOQ136" s="105"/>
      <c r="HOR136" s="105"/>
      <c r="HOS136" s="105"/>
      <c r="HOT136" s="105"/>
      <c r="HOU136" s="105"/>
      <c r="HOV136" s="105"/>
      <c r="HOW136" s="105"/>
      <c r="HOX136" s="105"/>
      <c r="HOY136" s="105"/>
      <c r="HOZ136" s="105"/>
      <c r="HPA136" s="105"/>
      <c r="HPB136" s="105"/>
      <c r="HPC136" s="105"/>
      <c r="HPD136" s="105"/>
      <c r="HPE136" s="105"/>
      <c r="HPF136" s="105"/>
      <c r="HPG136" s="105"/>
      <c r="HPH136" s="105"/>
      <c r="HPI136" s="105"/>
      <c r="HPJ136" s="105"/>
      <c r="HPK136" s="105"/>
      <c r="HPL136" s="105"/>
      <c r="HPM136" s="105"/>
      <c r="HPN136" s="105"/>
      <c r="HPO136" s="105"/>
      <c r="HPP136" s="105"/>
      <c r="HPQ136" s="105"/>
      <c r="HPR136" s="105"/>
      <c r="HPS136" s="105"/>
      <c r="HPT136" s="105"/>
      <c r="HPU136" s="105"/>
      <c r="HPV136" s="105"/>
      <c r="HPW136" s="105"/>
      <c r="HPX136" s="105"/>
      <c r="HPY136" s="105"/>
      <c r="HPZ136" s="105"/>
      <c r="HQA136" s="105"/>
      <c r="HQB136" s="105"/>
      <c r="HQC136" s="105"/>
      <c r="HQD136" s="105"/>
      <c r="HQE136" s="105"/>
      <c r="HQF136" s="105"/>
      <c r="HQG136" s="105"/>
      <c r="HQH136" s="105"/>
      <c r="HQI136" s="105"/>
      <c r="HQJ136" s="105"/>
      <c r="HQK136" s="105"/>
      <c r="HQL136" s="105"/>
      <c r="HQM136" s="105"/>
      <c r="HQN136" s="105"/>
      <c r="HQO136" s="105"/>
      <c r="HQP136" s="105"/>
      <c r="HQQ136" s="105"/>
      <c r="HQR136" s="105"/>
      <c r="HQS136" s="105"/>
      <c r="HQT136" s="105"/>
      <c r="HQU136" s="105"/>
      <c r="HQV136" s="105"/>
      <c r="HQW136" s="105"/>
      <c r="HQX136" s="105"/>
      <c r="HQY136" s="105"/>
      <c r="HQZ136" s="105"/>
      <c r="HRA136" s="105"/>
      <c r="HRB136" s="105"/>
      <c r="HRC136" s="105"/>
      <c r="HRD136" s="105"/>
      <c r="HRE136" s="105"/>
      <c r="HRF136" s="105"/>
      <c r="HRG136" s="105"/>
      <c r="HRH136" s="105"/>
      <c r="HRI136" s="105"/>
      <c r="HRJ136" s="105"/>
      <c r="HRK136" s="105"/>
      <c r="HRL136" s="105"/>
      <c r="HRM136" s="105"/>
      <c r="HRN136" s="105"/>
      <c r="HRO136" s="105"/>
      <c r="HRP136" s="105"/>
      <c r="HRQ136" s="105"/>
      <c r="HRR136" s="105"/>
      <c r="HRS136" s="105"/>
      <c r="HRT136" s="105"/>
      <c r="HRU136" s="105"/>
      <c r="HRV136" s="105"/>
      <c r="HRW136" s="105"/>
      <c r="HRX136" s="105"/>
      <c r="HRY136" s="105"/>
      <c r="HRZ136" s="105"/>
      <c r="HSA136" s="105"/>
      <c r="HSB136" s="105"/>
      <c r="HSC136" s="105"/>
      <c r="HSD136" s="105"/>
      <c r="HSE136" s="105"/>
      <c r="HSF136" s="105"/>
      <c r="HSG136" s="105"/>
      <c r="HSH136" s="105"/>
      <c r="HSI136" s="105"/>
      <c r="HSJ136" s="105"/>
      <c r="HSK136" s="105"/>
      <c r="HSL136" s="105"/>
      <c r="HSM136" s="105"/>
      <c r="HSN136" s="105"/>
      <c r="HSO136" s="105"/>
      <c r="HSP136" s="105"/>
      <c r="HSQ136" s="105"/>
      <c r="HSR136" s="105"/>
      <c r="HSS136" s="105"/>
      <c r="HST136" s="105"/>
      <c r="HSU136" s="105"/>
      <c r="HSV136" s="105"/>
      <c r="HSW136" s="105"/>
      <c r="HSX136" s="105"/>
      <c r="HSY136" s="105"/>
      <c r="HSZ136" s="105"/>
      <c r="HTA136" s="105"/>
      <c r="HTB136" s="105"/>
      <c r="HTC136" s="105"/>
      <c r="HTD136" s="105"/>
      <c r="HTE136" s="105"/>
      <c r="HTF136" s="105"/>
      <c r="HTG136" s="105"/>
      <c r="HTH136" s="105"/>
      <c r="HTI136" s="105"/>
      <c r="HTJ136" s="105"/>
      <c r="HTK136" s="105"/>
      <c r="HTL136" s="105"/>
      <c r="HTM136" s="105"/>
      <c r="HTN136" s="105"/>
      <c r="HTO136" s="105"/>
      <c r="HTP136" s="105"/>
      <c r="HTQ136" s="105"/>
      <c r="HTR136" s="105"/>
      <c r="HTS136" s="105"/>
      <c r="HTT136" s="105"/>
      <c r="HTU136" s="105"/>
      <c r="HTV136" s="105"/>
      <c r="HTW136" s="105"/>
      <c r="HTX136" s="105"/>
      <c r="HTY136" s="105"/>
      <c r="HTZ136" s="105"/>
      <c r="HUA136" s="105"/>
      <c r="HUB136" s="105"/>
      <c r="HUC136" s="105"/>
      <c r="HUD136" s="105"/>
      <c r="HUE136" s="105"/>
      <c r="HUF136" s="105"/>
      <c r="HUG136" s="105"/>
      <c r="HUH136" s="105"/>
      <c r="HUI136" s="105"/>
      <c r="HUJ136" s="105"/>
      <c r="HUK136" s="105"/>
      <c r="HUL136" s="105"/>
      <c r="HUM136" s="105"/>
      <c r="HUN136" s="105"/>
      <c r="HUO136" s="105"/>
      <c r="HUP136" s="105"/>
      <c r="HUQ136" s="105"/>
      <c r="HUR136" s="105"/>
      <c r="HUS136" s="105"/>
      <c r="HUT136" s="105"/>
      <c r="HUU136" s="105"/>
      <c r="HUV136" s="105"/>
      <c r="HUW136" s="105"/>
      <c r="HUX136" s="105"/>
      <c r="HUY136" s="105"/>
      <c r="HUZ136" s="105"/>
      <c r="HVA136" s="105"/>
      <c r="HVB136" s="105"/>
      <c r="HVC136" s="105"/>
      <c r="HVD136" s="105"/>
      <c r="HVE136" s="105"/>
      <c r="HVF136" s="105"/>
      <c r="HVG136" s="105"/>
      <c r="HVH136" s="105"/>
      <c r="HVI136" s="105"/>
      <c r="HVJ136" s="105"/>
      <c r="HVK136" s="105"/>
      <c r="HVL136" s="105"/>
      <c r="HVM136" s="105"/>
      <c r="HVN136" s="105"/>
      <c r="HVO136" s="105"/>
      <c r="HVP136" s="105"/>
      <c r="HVQ136" s="105"/>
      <c r="HVR136" s="105"/>
      <c r="HVS136" s="105"/>
      <c r="HVT136" s="105"/>
      <c r="HVU136" s="105"/>
      <c r="HVV136" s="105"/>
      <c r="HVW136" s="105"/>
      <c r="HVX136" s="105"/>
      <c r="HVY136" s="105"/>
      <c r="HVZ136" s="105"/>
      <c r="HWA136" s="105"/>
      <c r="HWB136" s="105"/>
      <c r="HWC136" s="105"/>
      <c r="HWD136" s="105"/>
      <c r="HWE136" s="105"/>
      <c r="HWF136" s="105"/>
      <c r="HWG136" s="105"/>
      <c r="HWH136" s="105"/>
      <c r="HWI136" s="105"/>
      <c r="HWJ136" s="105"/>
      <c r="HWK136" s="105"/>
      <c r="HWL136" s="105"/>
      <c r="HWM136" s="105"/>
      <c r="HWN136" s="105"/>
      <c r="HWO136" s="105"/>
      <c r="HWP136" s="105"/>
      <c r="HWQ136" s="105"/>
      <c r="HWR136" s="105"/>
      <c r="HWS136" s="105"/>
      <c r="HWT136" s="105"/>
      <c r="HWU136" s="105"/>
      <c r="HWV136" s="105"/>
      <c r="HWW136" s="105"/>
      <c r="HWX136" s="105"/>
      <c r="HWY136" s="105"/>
      <c r="HWZ136" s="105"/>
      <c r="HXA136" s="105"/>
      <c r="HXB136" s="105"/>
      <c r="HXC136" s="105"/>
      <c r="HXD136" s="105"/>
      <c r="HXE136" s="105"/>
      <c r="HXF136" s="105"/>
      <c r="HXG136" s="105"/>
      <c r="HXH136" s="105"/>
      <c r="HXI136" s="105"/>
      <c r="HXJ136" s="105"/>
      <c r="HXK136" s="105"/>
      <c r="HXL136" s="105"/>
      <c r="HXM136" s="105"/>
      <c r="HXN136" s="105"/>
      <c r="HXO136" s="105"/>
      <c r="HXP136" s="105"/>
      <c r="HXQ136" s="105"/>
      <c r="HXR136" s="105"/>
      <c r="HXS136" s="105"/>
      <c r="HXT136" s="105"/>
      <c r="HXU136" s="105"/>
      <c r="HXV136" s="105"/>
      <c r="HXW136" s="105"/>
      <c r="HXX136" s="105"/>
      <c r="HXY136" s="105"/>
      <c r="HXZ136" s="105"/>
      <c r="HYA136" s="105"/>
      <c r="HYB136" s="105"/>
      <c r="HYC136" s="105"/>
      <c r="HYD136" s="105"/>
      <c r="HYE136" s="105"/>
      <c r="HYF136" s="105"/>
      <c r="HYG136" s="105"/>
      <c r="HYH136" s="105"/>
      <c r="HYI136" s="105"/>
      <c r="HYJ136" s="105"/>
      <c r="HYK136" s="105"/>
      <c r="HYL136" s="105"/>
      <c r="HYM136" s="105"/>
      <c r="HYN136" s="105"/>
      <c r="HYO136" s="105"/>
      <c r="HYP136" s="105"/>
      <c r="HYQ136" s="105"/>
      <c r="HYR136" s="105"/>
      <c r="HYS136" s="105"/>
      <c r="HYT136" s="105"/>
      <c r="HYU136" s="105"/>
      <c r="HYV136" s="105"/>
      <c r="HYW136" s="105"/>
      <c r="HYX136" s="105"/>
      <c r="HYY136" s="105"/>
      <c r="HYZ136" s="105"/>
      <c r="HZA136" s="105"/>
      <c r="HZB136" s="105"/>
      <c r="HZC136" s="105"/>
      <c r="HZD136" s="105"/>
      <c r="HZE136" s="105"/>
      <c r="HZF136" s="105"/>
      <c r="HZG136" s="105"/>
      <c r="HZH136" s="105"/>
      <c r="HZI136" s="105"/>
      <c r="HZJ136" s="105"/>
      <c r="HZK136" s="105"/>
      <c r="HZL136" s="105"/>
      <c r="HZM136" s="105"/>
      <c r="HZN136" s="105"/>
      <c r="HZO136" s="105"/>
      <c r="HZP136" s="105"/>
      <c r="HZQ136" s="105"/>
      <c r="HZR136" s="105"/>
      <c r="HZS136" s="105"/>
      <c r="HZT136" s="105"/>
      <c r="HZU136" s="105"/>
      <c r="HZV136" s="105"/>
      <c r="HZW136" s="105"/>
      <c r="HZX136" s="105"/>
      <c r="HZY136" s="105"/>
      <c r="HZZ136" s="105"/>
      <c r="IAA136" s="105"/>
      <c r="IAB136" s="105"/>
      <c r="IAC136" s="105"/>
      <c r="IAD136" s="105"/>
      <c r="IAE136" s="105"/>
      <c r="IAF136" s="105"/>
      <c r="IAG136" s="105"/>
      <c r="IAH136" s="105"/>
      <c r="IAI136" s="105"/>
      <c r="IAJ136" s="105"/>
      <c r="IAK136" s="105"/>
      <c r="IAL136" s="105"/>
      <c r="IAM136" s="105"/>
      <c r="IAN136" s="105"/>
      <c r="IAO136" s="105"/>
      <c r="IAP136" s="105"/>
      <c r="IAQ136" s="105"/>
      <c r="IAR136" s="105"/>
      <c r="IAS136" s="105"/>
      <c r="IAT136" s="105"/>
      <c r="IAU136" s="105"/>
      <c r="IAV136" s="105"/>
      <c r="IAW136" s="105"/>
      <c r="IAX136" s="105"/>
      <c r="IAY136" s="105"/>
      <c r="IAZ136" s="105"/>
      <c r="IBA136" s="105"/>
      <c r="IBB136" s="105"/>
      <c r="IBC136" s="105"/>
      <c r="IBD136" s="105"/>
      <c r="IBE136" s="105"/>
      <c r="IBF136" s="105"/>
      <c r="IBG136" s="105"/>
      <c r="IBH136" s="105"/>
      <c r="IBI136" s="105"/>
      <c r="IBJ136" s="105"/>
      <c r="IBK136" s="105"/>
      <c r="IBL136" s="105"/>
      <c r="IBM136" s="105"/>
      <c r="IBN136" s="105"/>
      <c r="IBO136" s="105"/>
      <c r="IBP136" s="105"/>
      <c r="IBQ136" s="105"/>
      <c r="IBR136" s="105"/>
      <c r="IBS136" s="105"/>
      <c r="IBT136" s="105"/>
      <c r="IBU136" s="105"/>
      <c r="IBV136" s="105"/>
      <c r="IBW136" s="105"/>
      <c r="IBX136" s="105"/>
      <c r="IBY136" s="105"/>
      <c r="IBZ136" s="105"/>
      <c r="ICA136" s="105"/>
      <c r="ICB136" s="105"/>
      <c r="ICC136" s="105"/>
      <c r="ICD136" s="105"/>
      <c r="ICE136" s="105"/>
      <c r="ICF136" s="105"/>
      <c r="ICG136" s="105"/>
      <c r="ICH136" s="105"/>
      <c r="ICI136" s="105"/>
      <c r="ICJ136" s="105"/>
      <c r="ICK136" s="105"/>
      <c r="ICL136" s="105"/>
      <c r="ICM136" s="105"/>
      <c r="ICN136" s="105"/>
      <c r="ICO136" s="105"/>
      <c r="ICP136" s="105"/>
      <c r="ICQ136" s="105"/>
      <c r="ICR136" s="105"/>
      <c r="ICS136" s="105"/>
      <c r="ICT136" s="105"/>
      <c r="ICU136" s="105"/>
      <c r="ICV136" s="105"/>
      <c r="ICW136" s="105"/>
      <c r="ICX136" s="105"/>
      <c r="ICY136" s="105"/>
      <c r="ICZ136" s="105"/>
      <c r="IDA136" s="105"/>
      <c r="IDB136" s="105"/>
      <c r="IDC136" s="105"/>
      <c r="IDD136" s="105"/>
      <c r="IDE136" s="105"/>
      <c r="IDF136" s="105"/>
      <c r="IDG136" s="105"/>
      <c r="IDH136" s="105"/>
      <c r="IDI136" s="105"/>
      <c r="IDJ136" s="105"/>
      <c r="IDK136" s="105"/>
      <c r="IDL136" s="105"/>
      <c r="IDM136" s="105"/>
      <c r="IDN136" s="105"/>
      <c r="IDO136" s="105"/>
      <c r="IDP136" s="105"/>
      <c r="IDQ136" s="105"/>
      <c r="IDR136" s="105"/>
      <c r="IDS136" s="105"/>
      <c r="IDT136" s="105"/>
      <c r="IDU136" s="105"/>
      <c r="IDV136" s="105"/>
      <c r="IDW136" s="105"/>
      <c r="IDX136" s="105"/>
      <c r="IDY136" s="105"/>
      <c r="IDZ136" s="105"/>
      <c r="IEA136" s="105"/>
      <c r="IEB136" s="105"/>
      <c r="IEC136" s="105"/>
      <c r="IED136" s="105"/>
      <c r="IEE136" s="105"/>
      <c r="IEF136" s="105"/>
      <c r="IEG136" s="105"/>
      <c r="IEH136" s="105"/>
      <c r="IEI136" s="105"/>
      <c r="IEJ136" s="105"/>
      <c r="IEK136" s="105"/>
      <c r="IEL136" s="105"/>
      <c r="IEM136" s="105"/>
      <c r="IEN136" s="105"/>
      <c r="IEO136" s="105"/>
      <c r="IEP136" s="105"/>
      <c r="IEQ136" s="105"/>
      <c r="IER136" s="105"/>
      <c r="IES136" s="105"/>
      <c r="IET136" s="105"/>
      <c r="IEU136" s="105"/>
      <c r="IEV136" s="105"/>
      <c r="IEW136" s="105"/>
      <c r="IEX136" s="105"/>
      <c r="IEY136" s="105"/>
      <c r="IEZ136" s="105"/>
      <c r="IFA136" s="105"/>
      <c r="IFB136" s="105"/>
      <c r="IFC136" s="105"/>
      <c r="IFD136" s="105"/>
      <c r="IFE136" s="105"/>
      <c r="IFF136" s="105"/>
      <c r="IFG136" s="105"/>
      <c r="IFH136" s="105"/>
      <c r="IFI136" s="105"/>
      <c r="IFJ136" s="105"/>
      <c r="IFK136" s="105"/>
      <c r="IFL136" s="105"/>
      <c r="IFM136" s="105"/>
      <c r="IFN136" s="105"/>
      <c r="IFO136" s="105"/>
      <c r="IFP136" s="105"/>
      <c r="IFQ136" s="105"/>
      <c r="IFR136" s="105"/>
      <c r="IFS136" s="105"/>
      <c r="IFT136" s="105"/>
      <c r="IFU136" s="105"/>
      <c r="IFV136" s="105"/>
      <c r="IFW136" s="105"/>
      <c r="IFX136" s="105"/>
      <c r="IFY136" s="105"/>
      <c r="IFZ136" s="105"/>
      <c r="IGA136" s="105"/>
      <c r="IGB136" s="105"/>
      <c r="IGC136" s="105"/>
      <c r="IGD136" s="105"/>
      <c r="IGE136" s="105"/>
      <c r="IGF136" s="105"/>
      <c r="IGG136" s="105"/>
      <c r="IGH136" s="105"/>
      <c r="IGI136" s="105"/>
      <c r="IGJ136" s="105"/>
      <c r="IGK136" s="105"/>
      <c r="IGL136" s="105"/>
      <c r="IGM136" s="105"/>
      <c r="IGN136" s="105"/>
      <c r="IGO136" s="105"/>
      <c r="IGP136" s="105"/>
      <c r="IGQ136" s="105"/>
      <c r="IGR136" s="105"/>
      <c r="IGS136" s="105"/>
      <c r="IGT136" s="105"/>
      <c r="IGU136" s="105"/>
      <c r="IGV136" s="105"/>
      <c r="IGW136" s="105"/>
      <c r="IGX136" s="105"/>
      <c r="IGY136" s="105"/>
      <c r="IGZ136" s="105"/>
      <c r="IHA136" s="105"/>
      <c r="IHB136" s="105"/>
      <c r="IHC136" s="105"/>
      <c r="IHD136" s="105"/>
      <c r="IHE136" s="105"/>
      <c r="IHF136" s="105"/>
      <c r="IHG136" s="105"/>
      <c r="IHH136" s="105"/>
      <c r="IHI136" s="105"/>
      <c r="IHJ136" s="105"/>
      <c r="IHK136" s="105"/>
      <c r="IHL136" s="105"/>
      <c r="IHM136" s="105"/>
      <c r="IHN136" s="105"/>
      <c r="IHO136" s="105"/>
      <c r="IHP136" s="105"/>
      <c r="IHQ136" s="105"/>
      <c r="IHR136" s="105"/>
      <c r="IHS136" s="105"/>
      <c r="IHT136" s="105"/>
      <c r="IHU136" s="105"/>
      <c r="IHV136" s="105"/>
      <c r="IHW136" s="105"/>
      <c r="IHX136" s="105"/>
      <c r="IHY136" s="105"/>
      <c r="IHZ136" s="105"/>
      <c r="IIA136" s="105"/>
      <c r="IIB136" s="105"/>
      <c r="IIC136" s="105"/>
      <c r="IID136" s="105"/>
      <c r="IIE136" s="105"/>
      <c r="IIF136" s="105"/>
      <c r="IIG136" s="105"/>
      <c r="IIH136" s="105"/>
      <c r="III136" s="105"/>
      <c r="IIJ136" s="105"/>
      <c r="IIK136" s="105"/>
      <c r="IIL136" s="105"/>
      <c r="IIM136" s="105"/>
      <c r="IIN136" s="105"/>
      <c r="IIO136" s="105"/>
      <c r="IIP136" s="105"/>
      <c r="IIQ136" s="105"/>
      <c r="IIR136" s="105"/>
      <c r="IIS136" s="105"/>
      <c r="IIT136" s="105"/>
      <c r="IIU136" s="105"/>
      <c r="IIV136" s="105"/>
      <c r="IIW136" s="105"/>
      <c r="IIX136" s="105"/>
      <c r="IIY136" s="105"/>
      <c r="IIZ136" s="105"/>
      <c r="IJA136" s="105"/>
      <c r="IJB136" s="105"/>
      <c r="IJC136" s="105"/>
      <c r="IJD136" s="105"/>
      <c r="IJE136" s="105"/>
      <c r="IJF136" s="105"/>
      <c r="IJG136" s="105"/>
      <c r="IJH136" s="105"/>
      <c r="IJI136" s="105"/>
      <c r="IJJ136" s="105"/>
      <c r="IJK136" s="105"/>
      <c r="IJL136" s="105"/>
      <c r="IJM136" s="105"/>
      <c r="IJN136" s="105"/>
      <c r="IJO136" s="105"/>
      <c r="IJP136" s="105"/>
      <c r="IJQ136" s="105"/>
      <c r="IJR136" s="105"/>
      <c r="IJS136" s="105"/>
      <c r="IJT136" s="105"/>
      <c r="IJU136" s="105"/>
      <c r="IJV136" s="105"/>
      <c r="IJW136" s="105"/>
      <c r="IJX136" s="105"/>
      <c r="IJY136" s="105"/>
      <c r="IJZ136" s="105"/>
      <c r="IKA136" s="105"/>
      <c r="IKB136" s="105"/>
      <c r="IKC136" s="105"/>
      <c r="IKD136" s="105"/>
      <c r="IKE136" s="105"/>
      <c r="IKF136" s="105"/>
      <c r="IKG136" s="105"/>
      <c r="IKH136" s="105"/>
      <c r="IKI136" s="105"/>
      <c r="IKJ136" s="105"/>
      <c r="IKK136" s="105"/>
      <c r="IKL136" s="105"/>
      <c r="IKM136" s="105"/>
      <c r="IKN136" s="105"/>
      <c r="IKO136" s="105"/>
      <c r="IKP136" s="105"/>
      <c r="IKQ136" s="105"/>
      <c r="IKR136" s="105"/>
      <c r="IKS136" s="105"/>
      <c r="IKT136" s="105"/>
      <c r="IKU136" s="105"/>
      <c r="IKV136" s="105"/>
      <c r="IKW136" s="105"/>
      <c r="IKX136" s="105"/>
      <c r="IKY136" s="105"/>
      <c r="IKZ136" s="105"/>
      <c r="ILA136" s="105"/>
      <c r="ILB136" s="105"/>
      <c r="ILC136" s="105"/>
      <c r="ILD136" s="105"/>
      <c r="ILE136" s="105"/>
      <c r="ILF136" s="105"/>
      <c r="ILG136" s="105"/>
      <c r="ILH136" s="105"/>
      <c r="ILI136" s="105"/>
      <c r="ILJ136" s="105"/>
      <c r="ILK136" s="105"/>
      <c r="ILL136" s="105"/>
      <c r="ILM136" s="105"/>
      <c r="ILN136" s="105"/>
      <c r="ILO136" s="105"/>
      <c r="ILP136" s="105"/>
      <c r="ILQ136" s="105"/>
      <c r="ILR136" s="105"/>
      <c r="ILS136" s="105"/>
      <c r="ILT136" s="105"/>
      <c r="ILU136" s="105"/>
      <c r="ILV136" s="105"/>
      <c r="ILW136" s="105"/>
      <c r="ILX136" s="105"/>
      <c r="ILY136" s="105"/>
      <c r="ILZ136" s="105"/>
      <c r="IMA136" s="105"/>
      <c r="IMB136" s="105"/>
      <c r="IMC136" s="105"/>
      <c r="IMD136" s="105"/>
      <c r="IME136" s="105"/>
      <c r="IMF136" s="105"/>
      <c r="IMG136" s="105"/>
      <c r="IMH136" s="105"/>
      <c r="IMI136" s="105"/>
      <c r="IMJ136" s="105"/>
      <c r="IMK136" s="105"/>
      <c r="IML136" s="105"/>
      <c r="IMM136" s="105"/>
      <c r="IMN136" s="105"/>
      <c r="IMO136" s="105"/>
      <c r="IMP136" s="105"/>
      <c r="IMQ136" s="105"/>
      <c r="IMR136" s="105"/>
      <c r="IMS136" s="105"/>
      <c r="IMT136" s="105"/>
      <c r="IMU136" s="105"/>
      <c r="IMV136" s="105"/>
      <c r="IMW136" s="105"/>
      <c r="IMX136" s="105"/>
      <c r="IMY136" s="105"/>
      <c r="IMZ136" s="105"/>
      <c r="INA136" s="105"/>
      <c r="INB136" s="105"/>
      <c r="INC136" s="105"/>
      <c r="IND136" s="105"/>
      <c r="INE136" s="105"/>
      <c r="INF136" s="105"/>
      <c r="ING136" s="105"/>
      <c r="INH136" s="105"/>
      <c r="INI136" s="105"/>
      <c r="INJ136" s="105"/>
      <c r="INK136" s="105"/>
      <c r="INL136" s="105"/>
      <c r="INM136" s="105"/>
      <c r="INN136" s="105"/>
      <c r="INO136" s="105"/>
      <c r="INP136" s="105"/>
      <c r="INQ136" s="105"/>
      <c r="INR136" s="105"/>
      <c r="INS136" s="105"/>
      <c r="INT136" s="105"/>
      <c r="INU136" s="105"/>
      <c r="INV136" s="105"/>
      <c r="INW136" s="105"/>
      <c r="INX136" s="105"/>
      <c r="INY136" s="105"/>
      <c r="INZ136" s="105"/>
      <c r="IOA136" s="105"/>
      <c r="IOB136" s="105"/>
      <c r="IOC136" s="105"/>
      <c r="IOD136" s="105"/>
      <c r="IOE136" s="105"/>
      <c r="IOF136" s="105"/>
      <c r="IOG136" s="105"/>
      <c r="IOH136" s="105"/>
      <c r="IOI136" s="105"/>
      <c r="IOJ136" s="105"/>
      <c r="IOK136" s="105"/>
      <c r="IOL136" s="105"/>
      <c r="IOM136" s="105"/>
      <c r="ION136" s="105"/>
      <c r="IOO136" s="105"/>
      <c r="IOP136" s="105"/>
      <c r="IOQ136" s="105"/>
      <c r="IOR136" s="105"/>
      <c r="IOS136" s="105"/>
      <c r="IOT136" s="105"/>
      <c r="IOU136" s="105"/>
      <c r="IOV136" s="105"/>
      <c r="IOW136" s="105"/>
      <c r="IOX136" s="105"/>
      <c r="IOY136" s="105"/>
      <c r="IOZ136" s="105"/>
      <c r="IPA136" s="105"/>
      <c r="IPB136" s="105"/>
      <c r="IPC136" s="105"/>
      <c r="IPD136" s="105"/>
      <c r="IPE136" s="105"/>
      <c r="IPF136" s="105"/>
      <c r="IPG136" s="105"/>
      <c r="IPH136" s="105"/>
      <c r="IPI136" s="105"/>
      <c r="IPJ136" s="105"/>
      <c r="IPK136" s="105"/>
      <c r="IPL136" s="105"/>
      <c r="IPM136" s="105"/>
      <c r="IPN136" s="105"/>
      <c r="IPO136" s="105"/>
      <c r="IPP136" s="105"/>
      <c r="IPQ136" s="105"/>
      <c r="IPR136" s="105"/>
      <c r="IPS136" s="105"/>
      <c r="IPT136" s="105"/>
      <c r="IPU136" s="105"/>
      <c r="IPV136" s="105"/>
      <c r="IPW136" s="105"/>
      <c r="IPX136" s="105"/>
      <c r="IPY136" s="105"/>
      <c r="IPZ136" s="105"/>
      <c r="IQA136" s="105"/>
      <c r="IQB136" s="105"/>
      <c r="IQC136" s="105"/>
      <c r="IQD136" s="105"/>
      <c r="IQE136" s="105"/>
      <c r="IQF136" s="105"/>
      <c r="IQG136" s="105"/>
      <c r="IQH136" s="105"/>
      <c r="IQI136" s="105"/>
      <c r="IQJ136" s="105"/>
      <c r="IQK136" s="105"/>
      <c r="IQL136" s="105"/>
      <c r="IQM136" s="105"/>
      <c r="IQN136" s="105"/>
      <c r="IQO136" s="105"/>
      <c r="IQP136" s="105"/>
      <c r="IQQ136" s="105"/>
      <c r="IQR136" s="105"/>
      <c r="IQS136" s="105"/>
      <c r="IQT136" s="105"/>
      <c r="IQU136" s="105"/>
      <c r="IQV136" s="105"/>
      <c r="IQW136" s="105"/>
      <c r="IQX136" s="105"/>
      <c r="IQY136" s="105"/>
      <c r="IQZ136" s="105"/>
      <c r="IRA136" s="105"/>
      <c r="IRB136" s="105"/>
      <c r="IRC136" s="105"/>
      <c r="IRD136" s="105"/>
      <c r="IRE136" s="105"/>
      <c r="IRF136" s="105"/>
      <c r="IRG136" s="105"/>
      <c r="IRH136" s="105"/>
      <c r="IRI136" s="105"/>
      <c r="IRJ136" s="105"/>
      <c r="IRK136" s="105"/>
      <c r="IRL136" s="105"/>
      <c r="IRM136" s="105"/>
      <c r="IRN136" s="105"/>
      <c r="IRO136" s="105"/>
      <c r="IRP136" s="105"/>
      <c r="IRQ136" s="105"/>
      <c r="IRR136" s="105"/>
      <c r="IRS136" s="105"/>
      <c r="IRT136" s="105"/>
      <c r="IRU136" s="105"/>
      <c r="IRV136" s="105"/>
      <c r="IRW136" s="105"/>
      <c r="IRX136" s="105"/>
      <c r="IRY136" s="105"/>
      <c r="IRZ136" s="105"/>
      <c r="ISA136" s="105"/>
      <c r="ISB136" s="105"/>
      <c r="ISC136" s="105"/>
      <c r="ISD136" s="105"/>
      <c r="ISE136" s="105"/>
      <c r="ISF136" s="105"/>
      <c r="ISG136" s="105"/>
      <c r="ISH136" s="105"/>
      <c r="ISI136" s="105"/>
      <c r="ISJ136" s="105"/>
      <c r="ISK136" s="105"/>
      <c r="ISL136" s="105"/>
      <c r="ISM136" s="105"/>
      <c r="ISN136" s="105"/>
      <c r="ISO136" s="105"/>
      <c r="ISP136" s="105"/>
      <c r="ISQ136" s="105"/>
      <c r="ISR136" s="105"/>
      <c r="ISS136" s="105"/>
      <c r="IST136" s="105"/>
      <c r="ISU136" s="105"/>
      <c r="ISV136" s="105"/>
      <c r="ISW136" s="105"/>
      <c r="ISX136" s="105"/>
      <c r="ISY136" s="105"/>
      <c r="ISZ136" s="105"/>
      <c r="ITA136" s="105"/>
      <c r="ITB136" s="105"/>
      <c r="ITC136" s="105"/>
      <c r="ITD136" s="105"/>
      <c r="ITE136" s="105"/>
      <c r="ITF136" s="105"/>
      <c r="ITG136" s="105"/>
      <c r="ITH136" s="105"/>
      <c r="ITI136" s="105"/>
      <c r="ITJ136" s="105"/>
      <c r="ITK136" s="105"/>
      <c r="ITL136" s="105"/>
      <c r="ITM136" s="105"/>
      <c r="ITN136" s="105"/>
      <c r="ITO136" s="105"/>
      <c r="ITP136" s="105"/>
      <c r="ITQ136" s="105"/>
      <c r="ITR136" s="105"/>
      <c r="ITS136" s="105"/>
      <c r="ITT136" s="105"/>
      <c r="ITU136" s="105"/>
      <c r="ITV136" s="105"/>
      <c r="ITW136" s="105"/>
      <c r="ITX136" s="105"/>
      <c r="ITY136" s="105"/>
      <c r="ITZ136" s="105"/>
      <c r="IUA136" s="105"/>
      <c r="IUB136" s="105"/>
      <c r="IUC136" s="105"/>
      <c r="IUD136" s="105"/>
      <c r="IUE136" s="105"/>
      <c r="IUF136" s="105"/>
      <c r="IUG136" s="105"/>
      <c r="IUH136" s="105"/>
      <c r="IUI136" s="105"/>
      <c r="IUJ136" s="105"/>
      <c r="IUK136" s="105"/>
      <c r="IUL136" s="105"/>
      <c r="IUM136" s="105"/>
      <c r="IUN136" s="105"/>
      <c r="IUO136" s="105"/>
      <c r="IUP136" s="105"/>
      <c r="IUQ136" s="105"/>
      <c r="IUR136" s="105"/>
      <c r="IUS136" s="105"/>
      <c r="IUT136" s="105"/>
      <c r="IUU136" s="105"/>
      <c r="IUV136" s="105"/>
      <c r="IUW136" s="105"/>
      <c r="IUX136" s="105"/>
      <c r="IUY136" s="105"/>
      <c r="IUZ136" s="105"/>
      <c r="IVA136" s="105"/>
      <c r="IVB136" s="105"/>
      <c r="IVC136" s="105"/>
      <c r="IVD136" s="105"/>
      <c r="IVE136" s="105"/>
      <c r="IVF136" s="105"/>
      <c r="IVG136" s="105"/>
      <c r="IVH136" s="105"/>
      <c r="IVI136" s="105"/>
      <c r="IVJ136" s="105"/>
      <c r="IVK136" s="105"/>
      <c r="IVL136" s="105"/>
      <c r="IVM136" s="105"/>
      <c r="IVN136" s="105"/>
      <c r="IVO136" s="105"/>
      <c r="IVP136" s="105"/>
      <c r="IVQ136" s="105"/>
      <c r="IVR136" s="105"/>
      <c r="IVS136" s="105"/>
      <c r="IVT136" s="105"/>
      <c r="IVU136" s="105"/>
      <c r="IVV136" s="105"/>
      <c r="IVW136" s="105"/>
      <c r="IVX136" s="105"/>
      <c r="IVY136" s="105"/>
      <c r="IVZ136" s="105"/>
      <c r="IWA136" s="105"/>
      <c r="IWB136" s="105"/>
      <c r="IWC136" s="105"/>
      <c r="IWD136" s="105"/>
      <c r="IWE136" s="105"/>
      <c r="IWF136" s="105"/>
      <c r="IWG136" s="105"/>
      <c r="IWH136" s="105"/>
      <c r="IWI136" s="105"/>
      <c r="IWJ136" s="105"/>
      <c r="IWK136" s="105"/>
      <c r="IWL136" s="105"/>
      <c r="IWM136" s="105"/>
      <c r="IWN136" s="105"/>
      <c r="IWO136" s="105"/>
      <c r="IWP136" s="105"/>
      <c r="IWQ136" s="105"/>
      <c r="IWR136" s="105"/>
      <c r="IWS136" s="105"/>
      <c r="IWT136" s="105"/>
      <c r="IWU136" s="105"/>
      <c r="IWV136" s="105"/>
      <c r="IWW136" s="105"/>
      <c r="IWX136" s="105"/>
      <c r="IWY136" s="105"/>
      <c r="IWZ136" s="105"/>
      <c r="IXA136" s="105"/>
      <c r="IXB136" s="105"/>
      <c r="IXC136" s="105"/>
      <c r="IXD136" s="105"/>
      <c r="IXE136" s="105"/>
      <c r="IXF136" s="105"/>
      <c r="IXG136" s="105"/>
      <c r="IXH136" s="105"/>
      <c r="IXI136" s="105"/>
      <c r="IXJ136" s="105"/>
      <c r="IXK136" s="105"/>
      <c r="IXL136" s="105"/>
      <c r="IXM136" s="105"/>
      <c r="IXN136" s="105"/>
      <c r="IXO136" s="105"/>
      <c r="IXP136" s="105"/>
      <c r="IXQ136" s="105"/>
      <c r="IXR136" s="105"/>
      <c r="IXS136" s="105"/>
      <c r="IXT136" s="105"/>
      <c r="IXU136" s="105"/>
      <c r="IXV136" s="105"/>
      <c r="IXW136" s="105"/>
      <c r="IXX136" s="105"/>
      <c r="IXY136" s="105"/>
      <c r="IXZ136" s="105"/>
      <c r="IYA136" s="105"/>
      <c r="IYB136" s="105"/>
      <c r="IYC136" s="105"/>
      <c r="IYD136" s="105"/>
      <c r="IYE136" s="105"/>
      <c r="IYF136" s="105"/>
      <c r="IYG136" s="105"/>
      <c r="IYH136" s="105"/>
      <c r="IYI136" s="105"/>
      <c r="IYJ136" s="105"/>
      <c r="IYK136" s="105"/>
      <c r="IYL136" s="105"/>
      <c r="IYM136" s="105"/>
      <c r="IYN136" s="105"/>
      <c r="IYO136" s="105"/>
      <c r="IYP136" s="105"/>
      <c r="IYQ136" s="105"/>
      <c r="IYR136" s="105"/>
      <c r="IYS136" s="105"/>
      <c r="IYT136" s="105"/>
      <c r="IYU136" s="105"/>
      <c r="IYV136" s="105"/>
      <c r="IYW136" s="105"/>
      <c r="IYX136" s="105"/>
      <c r="IYY136" s="105"/>
      <c r="IYZ136" s="105"/>
      <c r="IZA136" s="105"/>
      <c r="IZB136" s="105"/>
      <c r="IZC136" s="105"/>
      <c r="IZD136" s="105"/>
      <c r="IZE136" s="105"/>
      <c r="IZF136" s="105"/>
      <c r="IZG136" s="105"/>
      <c r="IZH136" s="105"/>
      <c r="IZI136" s="105"/>
      <c r="IZJ136" s="105"/>
      <c r="IZK136" s="105"/>
      <c r="IZL136" s="105"/>
      <c r="IZM136" s="105"/>
      <c r="IZN136" s="105"/>
      <c r="IZO136" s="105"/>
      <c r="IZP136" s="105"/>
      <c r="IZQ136" s="105"/>
      <c r="IZR136" s="105"/>
      <c r="IZS136" s="105"/>
      <c r="IZT136" s="105"/>
      <c r="IZU136" s="105"/>
      <c r="IZV136" s="105"/>
      <c r="IZW136" s="105"/>
      <c r="IZX136" s="105"/>
      <c r="IZY136" s="105"/>
      <c r="IZZ136" s="105"/>
      <c r="JAA136" s="105"/>
      <c r="JAB136" s="105"/>
      <c r="JAC136" s="105"/>
      <c r="JAD136" s="105"/>
      <c r="JAE136" s="105"/>
      <c r="JAF136" s="105"/>
      <c r="JAG136" s="105"/>
      <c r="JAH136" s="105"/>
      <c r="JAI136" s="105"/>
      <c r="JAJ136" s="105"/>
      <c r="JAK136" s="105"/>
      <c r="JAL136" s="105"/>
      <c r="JAM136" s="105"/>
      <c r="JAN136" s="105"/>
      <c r="JAO136" s="105"/>
      <c r="JAP136" s="105"/>
      <c r="JAQ136" s="105"/>
      <c r="JAR136" s="105"/>
      <c r="JAS136" s="105"/>
      <c r="JAT136" s="105"/>
      <c r="JAU136" s="105"/>
      <c r="JAV136" s="105"/>
      <c r="JAW136" s="105"/>
      <c r="JAX136" s="105"/>
      <c r="JAY136" s="105"/>
      <c r="JAZ136" s="105"/>
      <c r="JBA136" s="105"/>
      <c r="JBB136" s="105"/>
      <c r="JBC136" s="105"/>
      <c r="JBD136" s="105"/>
      <c r="JBE136" s="105"/>
      <c r="JBF136" s="105"/>
      <c r="JBG136" s="105"/>
      <c r="JBH136" s="105"/>
      <c r="JBI136" s="105"/>
      <c r="JBJ136" s="105"/>
      <c r="JBK136" s="105"/>
      <c r="JBL136" s="105"/>
      <c r="JBM136" s="105"/>
      <c r="JBN136" s="105"/>
      <c r="JBO136" s="105"/>
      <c r="JBP136" s="105"/>
      <c r="JBQ136" s="105"/>
      <c r="JBR136" s="105"/>
      <c r="JBS136" s="105"/>
      <c r="JBT136" s="105"/>
      <c r="JBU136" s="105"/>
      <c r="JBV136" s="105"/>
      <c r="JBW136" s="105"/>
      <c r="JBX136" s="105"/>
      <c r="JBY136" s="105"/>
      <c r="JBZ136" s="105"/>
      <c r="JCA136" s="105"/>
      <c r="JCB136" s="105"/>
      <c r="JCC136" s="105"/>
      <c r="JCD136" s="105"/>
      <c r="JCE136" s="105"/>
      <c r="JCF136" s="105"/>
      <c r="JCG136" s="105"/>
      <c r="JCH136" s="105"/>
      <c r="JCI136" s="105"/>
      <c r="JCJ136" s="105"/>
      <c r="JCK136" s="105"/>
      <c r="JCL136" s="105"/>
      <c r="JCM136" s="105"/>
      <c r="JCN136" s="105"/>
      <c r="JCO136" s="105"/>
      <c r="JCP136" s="105"/>
      <c r="JCQ136" s="105"/>
      <c r="JCR136" s="105"/>
      <c r="JCS136" s="105"/>
      <c r="JCT136" s="105"/>
      <c r="JCU136" s="105"/>
      <c r="JCV136" s="105"/>
      <c r="JCW136" s="105"/>
      <c r="JCX136" s="105"/>
      <c r="JCY136" s="105"/>
      <c r="JCZ136" s="105"/>
      <c r="JDA136" s="105"/>
      <c r="JDB136" s="105"/>
      <c r="JDC136" s="105"/>
      <c r="JDD136" s="105"/>
      <c r="JDE136" s="105"/>
      <c r="JDF136" s="105"/>
      <c r="JDG136" s="105"/>
      <c r="JDH136" s="105"/>
      <c r="JDI136" s="105"/>
      <c r="JDJ136" s="105"/>
      <c r="JDK136" s="105"/>
      <c r="JDL136" s="105"/>
      <c r="JDM136" s="105"/>
      <c r="JDN136" s="105"/>
      <c r="JDO136" s="105"/>
      <c r="JDP136" s="105"/>
      <c r="JDQ136" s="105"/>
      <c r="JDR136" s="105"/>
      <c r="JDS136" s="105"/>
      <c r="JDT136" s="105"/>
      <c r="JDU136" s="105"/>
      <c r="JDV136" s="105"/>
      <c r="JDW136" s="105"/>
      <c r="JDX136" s="105"/>
      <c r="JDY136" s="105"/>
      <c r="JDZ136" s="105"/>
      <c r="JEA136" s="105"/>
      <c r="JEB136" s="105"/>
      <c r="JEC136" s="105"/>
      <c r="JED136" s="105"/>
      <c r="JEE136" s="105"/>
      <c r="JEF136" s="105"/>
      <c r="JEG136" s="105"/>
      <c r="JEH136" s="105"/>
      <c r="JEI136" s="105"/>
      <c r="JEJ136" s="105"/>
      <c r="JEK136" s="105"/>
      <c r="JEL136" s="105"/>
      <c r="JEM136" s="105"/>
      <c r="JEN136" s="105"/>
      <c r="JEO136" s="105"/>
      <c r="JEP136" s="105"/>
      <c r="JEQ136" s="105"/>
      <c r="JER136" s="105"/>
      <c r="JES136" s="105"/>
      <c r="JET136" s="105"/>
      <c r="JEU136" s="105"/>
      <c r="JEV136" s="105"/>
      <c r="JEW136" s="105"/>
      <c r="JEX136" s="105"/>
      <c r="JEY136" s="105"/>
      <c r="JEZ136" s="105"/>
      <c r="JFA136" s="105"/>
      <c r="JFB136" s="105"/>
      <c r="JFC136" s="105"/>
      <c r="JFD136" s="105"/>
      <c r="JFE136" s="105"/>
      <c r="JFF136" s="105"/>
      <c r="JFG136" s="105"/>
      <c r="JFH136" s="105"/>
      <c r="JFI136" s="105"/>
      <c r="JFJ136" s="105"/>
      <c r="JFK136" s="105"/>
      <c r="JFL136" s="105"/>
      <c r="JFM136" s="105"/>
      <c r="JFN136" s="105"/>
      <c r="JFO136" s="105"/>
      <c r="JFP136" s="105"/>
      <c r="JFQ136" s="105"/>
      <c r="JFR136" s="105"/>
      <c r="JFS136" s="105"/>
      <c r="JFT136" s="105"/>
      <c r="JFU136" s="105"/>
      <c r="JFV136" s="105"/>
      <c r="JFW136" s="105"/>
      <c r="JFX136" s="105"/>
      <c r="JFY136" s="105"/>
      <c r="JFZ136" s="105"/>
      <c r="JGA136" s="105"/>
      <c r="JGB136" s="105"/>
      <c r="JGC136" s="105"/>
      <c r="JGD136" s="105"/>
      <c r="JGE136" s="105"/>
      <c r="JGF136" s="105"/>
      <c r="JGG136" s="105"/>
      <c r="JGH136" s="105"/>
      <c r="JGI136" s="105"/>
      <c r="JGJ136" s="105"/>
      <c r="JGK136" s="105"/>
      <c r="JGL136" s="105"/>
      <c r="JGM136" s="105"/>
      <c r="JGN136" s="105"/>
      <c r="JGO136" s="105"/>
      <c r="JGP136" s="105"/>
      <c r="JGQ136" s="105"/>
      <c r="JGR136" s="105"/>
      <c r="JGS136" s="105"/>
      <c r="JGT136" s="105"/>
      <c r="JGU136" s="105"/>
      <c r="JGV136" s="105"/>
      <c r="JGW136" s="105"/>
      <c r="JGX136" s="105"/>
      <c r="JGY136" s="105"/>
      <c r="JGZ136" s="105"/>
      <c r="JHA136" s="105"/>
      <c r="JHB136" s="105"/>
      <c r="JHC136" s="105"/>
      <c r="JHD136" s="105"/>
      <c r="JHE136" s="105"/>
      <c r="JHF136" s="105"/>
      <c r="JHG136" s="105"/>
      <c r="JHH136" s="105"/>
      <c r="JHI136" s="105"/>
      <c r="JHJ136" s="105"/>
      <c r="JHK136" s="105"/>
      <c r="JHL136" s="105"/>
      <c r="JHM136" s="105"/>
      <c r="JHN136" s="105"/>
      <c r="JHO136" s="105"/>
      <c r="JHP136" s="105"/>
      <c r="JHQ136" s="105"/>
      <c r="JHR136" s="105"/>
      <c r="JHS136" s="105"/>
      <c r="JHT136" s="105"/>
      <c r="JHU136" s="105"/>
      <c r="JHV136" s="105"/>
      <c r="JHW136" s="105"/>
      <c r="JHX136" s="105"/>
      <c r="JHY136" s="105"/>
      <c r="JHZ136" s="105"/>
      <c r="JIA136" s="105"/>
      <c r="JIB136" s="105"/>
      <c r="JIC136" s="105"/>
      <c r="JID136" s="105"/>
      <c r="JIE136" s="105"/>
      <c r="JIF136" s="105"/>
      <c r="JIG136" s="105"/>
      <c r="JIH136" s="105"/>
      <c r="JII136" s="105"/>
      <c r="JIJ136" s="105"/>
      <c r="JIK136" s="105"/>
      <c r="JIL136" s="105"/>
      <c r="JIM136" s="105"/>
      <c r="JIN136" s="105"/>
      <c r="JIO136" s="105"/>
      <c r="JIP136" s="105"/>
      <c r="JIQ136" s="105"/>
      <c r="JIR136" s="105"/>
      <c r="JIS136" s="105"/>
      <c r="JIT136" s="105"/>
      <c r="JIU136" s="105"/>
      <c r="JIV136" s="105"/>
      <c r="JIW136" s="105"/>
      <c r="JIX136" s="105"/>
      <c r="JIY136" s="105"/>
      <c r="JIZ136" s="105"/>
      <c r="JJA136" s="105"/>
      <c r="JJB136" s="105"/>
      <c r="JJC136" s="105"/>
      <c r="JJD136" s="105"/>
      <c r="JJE136" s="105"/>
      <c r="JJF136" s="105"/>
      <c r="JJG136" s="105"/>
      <c r="JJH136" s="105"/>
      <c r="JJI136" s="105"/>
      <c r="JJJ136" s="105"/>
      <c r="JJK136" s="105"/>
      <c r="JJL136" s="105"/>
      <c r="JJM136" s="105"/>
      <c r="JJN136" s="105"/>
      <c r="JJO136" s="105"/>
      <c r="JJP136" s="105"/>
      <c r="JJQ136" s="105"/>
      <c r="JJR136" s="105"/>
      <c r="JJS136" s="105"/>
      <c r="JJT136" s="105"/>
      <c r="JJU136" s="105"/>
      <c r="JJV136" s="105"/>
      <c r="JJW136" s="105"/>
      <c r="JJX136" s="105"/>
      <c r="JJY136" s="105"/>
      <c r="JJZ136" s="105"/>
      <c r="JKA136" s="105"/>
      <c r="JKB136" s="105"/>
      <c r="JKC136" s="105"/>
      <c r="JKD136" s="105"/>
      <c r="JKE136" s="105"/>
      <c r="JKF136" s="105"/>
      <c r="JKG136" s="105"/>
      <c r="JKH136" s="105"/>
      <c r="JKI136" s="105"/>
      <c r="JKJ136" s="105"/>
      <c r="JKK136" s="105"/>
      <c r="JKL136" s="105"/>
      <c r="JKM136" s="105"/>
      <c r="JKN136" s="105"/>
      <c r="JKO136" s="105"/>
      <c r="JKP136" s="105"/>
      <c r="JKQ136" s="105"/>
      <c r="JKR136" s="105"/>
      <c r="JKS136" s="105"/>
      <c r="JKT136" s="105"/>
      <c r="JKU136" s="105"/>
      <c r="JKV136" s="105"/>
      <c r="JKW136" s="105"/>
      <c r="JKX136" s="105"/>
      <c r="JKY136" s="105"/>
      <c r="JKZ136" s="105"/>
      <c r="JLA136" s="105"/>
      <c r="JLB136" s="105"/>
      <c r="JLC136" s="105"/>
      <c r="JLD136" s="105"/>
      <c r="JLE136" s="105"/>
      <c r="JLF136" s="105"/>
      <c r="JLG136" s="105"/>
      <c r="JLH136" s="105"/>
      <c r="JLI136" s="105"/>
      <c r="JLJ136" s="105"/>
      <c r="JLK136" s="105"/>
      <c r="JLL136" s="105"/>
      <c r="JLM136" s="105"/>
      <c r="JLN136" s="105"/>
      <c r="JLO136" s="105"/>
      <c r="JLP136" s="105"/>
      <c r="JLQ136" s="105"/>
      <c r="JLR136" s="105"/>
      <c r="JLS136" s="105"/>
      <c r="JLT136" s="105"/>
      <c r="JLU136" s="105"/>
      <c r="JLV136" s="105"/>
      <c r="JLW136" s="105"/>
      <c r="JLX136" s="105"/>
      <c r="JLY136" s="105"/>
      <c r="JLZ136" s="105"/>
      <c r="JMA136" s="105"/>
      <c r="JMB136" s="105"/>
      <c r="JMC136" s="105"/>
      <c r="JMD136" s="105"/>
      <c r="JME136" s="105"/>
      <c r="JMF136" s="105"/>
      <c r="JMG136" s="105"/>
      <c r="JMH136" s="105"/>
      <c r="JMI136" s="105"/>
      <c r="JMJ136" s="105"/>
      <c r="JMK136" s="105"/>
      <c r="JML136" s="105"/>
      <c r="JMM136" s="105"/>
      <c r="JMN136" s="105"/>
      <c r="JMO136" s="105"/>
      <c r="JMP136" s="105"/>
      <c r="JMQ136" s="105"/>
      <c r="JMR136" s="105"/>
      <c r="JMS136" s="105"/>
      <c r="JMT136" s="105"/>
      <c r="JMU136" s="105"/>
      <c r="JMV136" s="105"/>
      <c r="JMW136" s="105"/>
      <c r="JMX136" s="105"/>
      <c r="JMY136" s="105"/>
      <c r="JMZ136" s="105"/>
      <c r="JNA136" s="105"/>
      <c r="JNB136" s="105"/>
      <c r="JNC136" s="105"/>
      <c r="JND136" s="105"/>
      <c r="JNE136" s="105"/>
      <c r="JNF136" s="105"/>
      <c r="JNG136" s="105"/>
      <c r="JNH136" s="105"/>
      <c r="JNI136" s="105"/>
      <c r="JNJ136" s="105"/>
      <c r="JNK136" s="105"/>
      <c r="JNL136" s="105"/>
      <c r="JNM136" s="105"/>
      <c r="JNN136" s="105"/>
      <c r="JNO136" s="105"/>
      <c r="JNP136" s="105"/>
      <c r="JNQ136" s="105"/>
      <c r="JNR136" s="105"/>
      <c r="JNS136" s="105"/>
      <c r="JNT136" s="105"/>
      <c r="JNU136" s="105"/>
      <c r="JNV136" s="105"/>
      <c r="JNW136" s="105"/>
      <c r="JNX136" s="105"/>
      <c r="JNY136" s="105"/>
      <c r="JNZ136" s="105"/>
      <c r="JOA136" s="105"/>
      <c r="JOB136" s="105"/>
      <c r="JOC136" s="105"/>
      <c r="JOD136" s="105"/>
      <c r="JOE136" s="105"/>
      <c r="JOF136" s="105"/>
      <c r="JOG136" s="105"/>
      <c r="JOH136" s="105"/>
      <c r="JOI136" s="105"/>
      <c r="JOJ136" s="105"/>
      <c r="JOK136" s="105"/>
      <c r="JOL136" s="105"/>
      <c r="JOM136" s="105"/>
      <c r="JON136" s="105"/>
      <c r="JOO136" s="105"/>
      <c r="JOP136" s="105"/>
      <c r="JOQ136" s="105"/>
      <c r="JOR136" s="105"/>
      <c r="JOS136" s="105"/>
      <c r="JOT136" s="105"/>
      <c r="JOU136" s="105"/>
      <c r="JOV136" s="105"/>
      <c r="JOW136" s="105"/>
      <c r="JOX136" s="105"/>
      <c r="JOY136" s="105"/>
      <c r="JOZ136" s="105"/>
      <c r="JPA136" s="105"/>
      <c r="JPB136" s="105"/>
      <c r="JPC136" s="105"/>
      <c r="JPD136" s="105"/>
      <c r="JPE136" s="105"/>
      <c r="JPF136" s="105"/>
      <c r="JPG136" s="105"/>
      <c r="JPH136" s="105"/>
      <c r="JPI136" s="105"/>
      <c r="JPJ136" s="105"/>
      <c r="JPK136" s="105"/>
      <c r="JPL136" s="105"/>
      <c r="JPM136" s="105"/>
      <c r="JPN136" s="105"/>
      <c r="JPO136" s="105"/>
      <c r="JPP136" s="105"/>
      <c r="JPQ136" s="105"/>
      <c r="JPR136" s="105"/>
      <c r="JPS136" s="105"/>
      <c r="JPT136" s="105"/>
      <c r="JPU136" s="105"/>
      <c r="JPV136" s="105"/>
      <c r="JPW136" s="105"/>
      <c r="JPX136" s="105"/>
      <c r="JPY136" s="105"/>
      <c r="JPZ136" s="105"/>
      <c r="JQA136" s="105"/>
      <c r="JQB136" s="105"/>
      <c r="JQC136" s="105"/>
      <c r="JQD136" s="105"/>
      <c r="JQE136" s="105"/>
      <c r="JQF136" s="105"/>
      <c r="JQG136" s="105"/>
      <c r="JQH136" s="105"/>
      <c r="JQI136" s="105"/>
      <c r="JQJ136" s="105"/>
      <c r="JQK136" s="105"/>
      <c r="JQL136" s="105"/>
      <c r="JQM136" s="105"/>
      <c r="JQN136" s="105"/>
      <c r="JQO136" s="105"/>
      <c r="JQP136" s="105"/>
      <c r="JQQ136" s="105"/>
      <c r="JQR136" s="105"/>
      <c r="JQS136" s="105"/>
      <c r="JQT136" s="105"/>
      <c r="JQU136" s="105"/>
      <c r="JQV136" s="105"/>
      <c r="JQW136" s="105"/>
      <c r="JQX136" s="105"/>
      <c r="JQY136" s="105"/>
      <c r="JQZ136" s="105"/>
      <c r="JRA136" s="105"/>
      <c r="JRB136" s="105"/>
      <c r="JRC136" s="105"/>
      <c r="JRD136" s="105"/>
      <c r="JRE136" s="105"/>
      <c r="JRF136" s="105"/>
      <c r="JRG136" s="105"/>
      <c r="JRH136" s="105"/>
      <c r="JRI136" s="105"/>
      <c r="JRJ136" s="105"/>
      <c r="JRK136" s="105"/>
      <c r="JRL136" s="105"/>
      <c r="JRM136" s="105"/>
      <c r="JRN136" s="105"/>
      <c r="JRO136" s="105"/>
      <c r="JRP136" s="105"/>
      <c r="JRQ136" s="105"/>
      <c r="JRR136" s="105"/>
      <c r="JRS136" s="105"/>
      <c r="JRT136" s="105"/>
      <c r="JRU136" s="105"/>
      <c r="JRV136" s="105"/>
      <c r="JRW136" s="105"/>
      <c r="JRX136" s="105"/>
      <c r="JRY136" s="105"/>
      <c r="JRZ136" s="105"/>
      <c r="JSA136" s="105"/>
      <c r="JSB136" s="105"/>
      <c r="JSC136" s="105"/>
      <c r="JSD136" s="105"/>
      <c r="JSE136" s="105"/>
      <c r="JSF136" s="105"/>
      <c r="JSG136" s="105"/>
      <c r="JSH136" s="105"/>
      <c r="JSI136" s="105"/>
      <c r="JSJ136" s="105"/>
      <c r="JSK136" s="105"/>
      <c r="JSL136" s="105"/>
      <c r="JSM136" s="105"/>
      <c r="JSN136" s="105"/>
      <c r="JSO136" s="105"/>
      <c r="JSP136" s="105"/>
      <c r="JSQ136" s="105"/>
      <c r="JSR136" s="105"/>
      <c r="JSS136" s="105"/>
      <c r="JST136" s="105"/>
      <c r="JSU136" s="105"/>
      <c r="JSV136" s="105"/>
      <c r="JSW136" s="105"/>
      <c r="JSX136" s="105"/>
      <c r="JSY136" s="105"/>
      <c r="JSZ136" s="105"/>
      <c r="JTA136" s="105"/>
      <c r="JTB136" s="105"/>
      <c r="JTC136" s="105"/>
      <c r="JTD136" s="105"/>
      <c r="JTE136" s="105"/>
      <c r="JTF136" s="105"/>
      <c r="JTG136" s="105"/>
      <c r="JTH136" s="105"/>
      <c r="JTI136" s="105"/>
      <c r="JTJ136" s="105"/>
      <c r="JTK136" s="105"/>
      <c r="JTL136" s="105"/>
      <c r="JTM136" s="105"/>
      <c r="JTN136" s="105"/>
      <c r="JTO136" s="105"/>
      <c r="JTP136" s="105"/>
      <c r="JTQ136" s="105"/>
      <c r="JTR136" s="105"/>
      <c r="JTS136" s="105"/>
      <c r="JTT136" s="105"/>
      <c r="JTU136" s="105"/>
      <c r="JTV136" s="105"/>
      <c r="JTW136" s="105"/>
      <c r="JTX136" s="105"/>
      <c r="JTY136" s="105"/>
      <c r="JTZ136" s="105"/>
      <c r="JUA136" s="105"/>
      <c r="JUB136" s="105"/>
      <c r="JUC136" s="105"/>
      <c r="JUD136" s="105"/>
      <c r="JUE136" s="105"/>
      <c r="JUF136" s="105"/>
      <c r="JUG136" s="105"/>
      <c r="JUH136" s="105"/>
      <c r="JUI136" s="105"/>
      <c r="JUJ136" s="105"/>
      <c r="JUK136" s="105"/>
      <c r="JUL136" s="105"/>
      <c r="JUM136" s="105"/>
      <c r="JUN136" s="105"/>
      <c r="JUO136" s="105"/>
      <c r="JUP136" s="105"/>
      <c r="JUQ136" s="105"/>
      <c r="JUR136" s="105"/>
      <c r="JUS136" s="105"/>
      <c r="JUT136" s="105"/>
      <c r="JUU136" s="105"/>
      <c r="JUV136" s="105"/>
      <c r="JUW136" s="105"/>
      <c r="JUX136" s="105"/>
      <c r="JUY136" s="105"/>
      <c r="JUZ136" s="105"/>
      <c r="JVA136" s="105"/>
      <c r="JVB136" s="105"/>
      <c r="JVC136" s="105"/>
      <c r="JVD136" s="105"/>
      <c r="JVE136" s="105"/>
      <c r="JVF136" s="105"/>
      <c r="JVG136" s="105"/>
      <c r="JVH136" s="105"/>
      <c r="JVI136" s="105"/>
      <c r="JVJ136" s="105"/>
      <c r="JVK136" s="105"/>
      <c r="JVL136" s="105"/>
      <c r="JVM136" s="105"/>
      <c r="JVN136" s="105"/>
      <c r="JVO136" s="105"/>
      <c r="JVP136" s="105"/>
      <c r="JVQ136" s="105"/>
      <c r="JVR136" s="105"/>
      <c r="JVS136" s="105"/>
      <c r="JVT136" s="105"/>
      <c r="JVU136" s="105"/>
      <c r="JVV136" s="105"/>
      <c r="JVW136" s="105"/>
      <c r="JVX136" s="105"/>
      <c r="JVY136" s="105"/>
      <c r="JVZ136" s="105"/>
      <c r="JWA136" s="105"/>
      <c r="JWB136" s="105"/>
      <c r="JWC136" s="105"/>
      <c r="JWD136" s="105"/>
      <c r="JWE136" s="105"/>
      <c r="JWF136" s="105"/>
      <c r="JWG136" s="105"/>
      <c r="JWH136" s="105"/>
      <c r="JWI136" s="105"/>
      <c r="JWJ136" s="105"/>
      <c r="JWK136" s="105"/>
      <c r="JWL136" s="105"/>
      <c r="JWM136" s="105"/>
      <c r="JWN136" s="105"/>
      <c r="JWO136" s="105"/>
      <c r="JWP136" s="105"/>
      <c r="JWQ136" s="105"/>
      <c r="JWR136" s="105"/>
      <c r="JWS136" s="105"/>
      <c r="JWT136" s="105"/>
      <c r="JWU136" s="105"/>
      <c r="JWV136" s="105"/>
      <c r="JWW136" s="105"/>
      <c r="JWX136" s="105"/>
      <c r="JWY136" s="105"/>
      <c r="JWZ136" s="105"/>
      <c r="JXA136" s="105"/>
      <c r="JXB136" s="105"/>
      <c r="JXC136" s="105"/>
      <c r="JXD136" s="105"/>
      <c r="JXE136" s="105"/>
      <c r="JXF136" s="105"/>
      <c r="JXG136" s="105"/>
      <c r="JXH136" s="105"/>
      <c r="JXI136" s="105"/>
      <c r="JXJ136" s="105"/>
      <c r="JXK136" s="105"/>
      <c r="JXL136" s="105"/>
      <c r="JXM136" s="105"/>
      <c r="JXN136" s="105"/>
      <c r="JXO136" s="105"/>
      <c r="JXP136" s="105"/>
      <c r="JXQ136" s="105"/>
      <c r="JXR136" s="105"/>
      <c r="JXS136" s="105"/>
      <c r="JXT136" s="105"/>
      <c r="JXU136" s="105"/>
      <c r="JXV136" s="105"/>
      <c r="JXW136" s="105"/>
      <c r="JXX136" s="105"/>
      <c r="JXY136" s="105"/>
      <c r="JXZ136" s="105"/>
      <c r="JYA136" s="105"/>
      <c r="JYB136" s="105"/>
      <c r="JYC136" s="105"/>
      <c r="JYD136" s="105"/>
      <c r="JYE136" s="105"/>
      <c r="JYF136" s="105"/>
      <c r="JYG136" s="105"/>
      <c r="JYH136" s="105"/>
      <c r="JYI136" s="105"/>
      <c r="JYJ136" s="105"/>
      <c r="JYK136" s="105"/>
      <c r="JYL136" s="105"/>
      <c r="JYM136" s="105"/>
      <c r="JYN136" s="105"/>
      <c r="JYO136" s="105"/>
      <c r="JYP136" s="105"/>
      <c r="JYQ136" s="105"/>
      <c r="JYR136" s="105"/>
      <c r="JYS136" s="105"/>
      <c r="JYT136" s="105"/>
      <c r="JYU136" s="105"/>
      <c r="JYV136" s="105"/>
      <c r="JYW136" s="105"/>
      <c r="JYX136" s="105"/>
      <c r="JYY136" s="105"/>
      <c r="JYZ136" s="105"/>
      <c r="JZA136" s="105"/>
      <c r="JZB136" s="105"/>
      <c r="JZC136" s="105"/>
      <c r="JZD136" s="105"/>
      <c r="JZE136" s="105"/>
      <c r="JZF136" s="105"/>
      <c r="JZG136" s="105"/>
      <c r="JZH136" s="105"/>
      <c r="JZI136" s="105"/>
      <c r="JZJ136" s="105"/>
      <c r="JZK136" s="105"/>
      <c r="JZL136" s="105"/>
      <c r="JZM136" s="105"/>
      <c r="JZN136" s="105"/>
      <c r="JZO136" s="105"/>
      <c r="JZP136" s="105"/>
      <c r="JZQ136" s="105"/>
      <c r="JZR136" s="105"/>
      <c r="JZS136" s="105"/>
      <c r="JZT136" s="105"/>
      <c r="JZU136" s="105"/>
      <c r="JZV136" s="105"/>
      <c r="JZW136" s="105"/>
      <c r="JZX136" s="105"/>
      <c r="JZY136" s="105"/>
      <c r="JZZ136" s="105"/>
      <c r="KAA136" s="105"/>
      <c r="KAB136" s="105"/>
      <c r="KAC136" s="105"/>
      <c r="KAD136" s="105"/>
      <c r="KAE136" s="105"/>
      <c r="KAF136" s="105"/>
      <c r="KAG136" s="105"/>
      <c r="KAH136" s="105"/>
      <c r="KAI136" s="105"/>
      <c r="KAJ136" s="105"/>
      <c r="KAK136" s="105"/>
      <c r="KAL136" s="105"/>
      <c r="KAM136" s="105"/>
      <c r="KAN136" s="105"/>
      <c r="KAO136" s="105"/>
      <c r="KAP136" s="105"/>
      <c r="KAQ136" s="105"/>
      <c r="KAR136" s="105"/>
      <c r="KAS136" s="105"/>
      <c r="KAT136" s="105"/>
      <c r="KAU136" s="105"/>
      <c r="KAV136" s="105"/>
      <c r="KAW136" s="105"/>
      <c r="KAX136" s="105"/>
      <c r="KAY136" s="105"/>
      <c r="KAZ136" s="105"/>
      <c r="KBA136" s="105"/>
      <c r="KBB136" s="105"/>
      <c r="KBC136" s="105"/>
      <c r="KBD136" s="105"/>
      <c r="KBE136" s="105"/>
      <c r="KBF136" s="105"/>
      <c r="KBG136" s="105"/>
      <c r="KBH136" s="105"/>
      <c r="KBI136" s="105"/>
      <c r="KBJ136" s="105"/>
      <c r="KBK136" s="105"/>
      <c r="KBL136" s="105"/>
      <c r="KBM136" s="105"/>
      <c r="KBN136" s="105"/>
      <c r="KBO136" s="105"/>
      <c r="KBP136" s="105"/>
      <c r="KBQ136" s="105"/>
      <c r="KBR136" s="105"/>
      <c r="KBS136" s="105"/>
      <c r="KBT136" s="105"/>
      <c r="KBU136" s="105"/>
      <c r="KBV136" s="105"/>
      <c r="KBW136" s="105"/>
      <c r="KBX136" s="105"/>
      <c r="KBY136" s="105"/>
      <c r="KBZ136" s="105"/>
      <c r="KCA136" s="105"/>
      <c r="KCB136" s="105"/>
      <c r="KCC136" s="105"/>
      <c r="KCD136" s="105"/>
      <c r="KCE136" s="105"/>
      <c r="KCF136" s="105"/>
      <c r="KCG136" s="105"/>
      <c r="KCH136" s="105"/>
      <c r="KCI136" s="105"/>
      <c r="KCJ136" s="105"/>
      <c r="KCK136" s="105"/>
      <c r="KCL136" s="105"/>
      <c r="KCM136" s="105"/>
      <c r="KCN136" s="105"/>
      <c r="KCO136" s="105"/>
      <c r="KCP136" s="105"/>
      <c r="KCQ136" s="105"/>
      <c r="KCR136" s="105"/>
      <c r="KCS136" s="105"/>
      <c r="KCT136" s="105"/>
      <c r="KCU136" s="105"/>
      <c r="KCV136" s="105"/>
      <c r="KCW136" s="105"/>
      <c r="KCX136" s="105"/>
      <c r="KCY136" s="105"/>
      <c r="KCZ136" s="105"/>
      <c r="KDA136" s="105"/>
      <c r="KDB136" s="105"/>
      <c r="KDC136" s="105"/>
      <c r="KDD136" s="105"/>
      <c r="KDE136" s="105"/>
      <c r="KDF136" s="105"/>
      <c r="KDG136" s="105"/>
      <c r="KDH136" s="105"/>
      <c r="KDI136" s="105"/>
      <c r="KDJ136" s="105"/>
      <c r="KDK136" s="105"/>
      <c r="KDL136" s="105"/>
      <c r="KDM136" s="105"/>
      <c r="KDN136" s="105"/>
      <c r="KDO136" s="105"/>
      <c r="KDP136" s="105"/>
      <c r="KDQ136" s="105"/>
      <c r="KDR136" s="105"/>
      <c r="KDS136" s="105"/>
      <c r="KDT136" s="105"/>
      <c r="KDU136" s="105"/>
      <c r="KDV136" s="105"/>
      <c r="KDW136" s="105"/>
      <c r="KDX136" s="105"/>
      <c r="KDY136" s="105"/>
      <c r="KDZ136" s="105"/>
      <c r="KEA136" s="105"/>
      <c r="KEB136" s="105"/>
      <c r="KEC136" s="105"/>
      <c r="KED136" s="105"/>
      <c r="KEE136" s="105"/>
      <c r="KEF136" s="105"/>
      <c r="KEG136" s="105"/>
      <c r="KEH136" s="105"/>
      <c r="KEI136" s="105"/>
      <c r="KEJ136" s="105"/>
      <c r="KEK136" s="105"/>
      <c r="KEL136" s="105"/>
      <c r="KEM136" s="105"/>
      <c r="KEN136" s="105"/>
      <c r="KEO136" s="105"/>
      <c r="KEP136" s="105"/>
      <c r="KEQ136" s="105"/>
      <c r="KER136" s="105"/>
      <c r="KES136" s="105"/>
      <c r="KET136" s="105"/>
      <c r="KEU136" s="105"/>
      <c r="KEV136" s="105"/>
      <c r="KEW136" s="105"/>
      <c r="KEX136" s="105"/>
      <c r="KEY136" s="105"/>
      <c r="KEZ136" s="105"/>
      <c r="KFA136" s="105"/>
      <c r="KFB136" s="105"/>
      <c r="KFC136" s="105"/>
      <c r="KFD136" s="105"/>
      <c r="KFE136" s="105"/>
      <c r="KFF136" s="105"/>
      <c r="KFG136" s="105"/>
      <c r="KFH136" s="105"/>
      <c r="KFI136" s="105"/>
      <c r="KFJ136" s="105"/>
      <c r="KFK136" s="105"/>
      <c r="KFL136" s="105"/>
      <c r="KFM136" s="105"/>
      <c r="KFN136" s="105"/>
      <c r="KFO136" s="105"/>
      <c r="KFP136" s="105"/>
      <c r="KFQ136" s="105"/>
      <c r="KFR136" s="105"/>
      <c r="KFS136" s="105"/>
      <c r="KFT136" s="105"/>
      <c r="KFU136" s="105"/>
      <c r="KFV136" s="105"/>
      <c r="KFW136" s="105"/>
      <c r="KFX136" s="105"/>
      <c r="KFY136" s="105"/>
      <c r="KFZ136" s="105"/>
      <c r="KGA136" s="105"/>
      <c r="KGB136" s="105"/>
      <c r="KGC136" s="105"/>
      <c r="KGD136" s="105"/>
      <c r="KGE136" s="105"/>
      <c r="KGF136" s="105"/>
      <c r="KGG136" s="105"/>
      <c r="KGH136" s="105"/>
      <c r="KGI136" s="105"/>
      <c r="KGJ136" s="105"/>
      <c r="KGK136" s="105"/>
      <c r="KGL136" s="105"/>
      <c r="KGM136" s="105"/>
      <c r="KGN136" s="105"/>
      <c r="KGO136" s="105"/>
      <c r="KGP136" s="105"/>
      <c r="KGQ136" s="105"/>
      <c r="KGR136" s="105"/>
      <c r="KGS136" s="105"/>
      <c r="KGT136" s="105"/>
      <c r="KGU136" s="105"/>
      <c r="KGV136" s="105"/>
      <c r="KGW136" s="105"/>
      <c r="KGX136" s="105"/>
      <c r="KGY136" s="105"/>
      <c r="KGZ136" s="105"/>
      <c r="KHA136" s="105"/>
      <c r="KHB136" s="105"/>
      <c r="KHC136" s="105"/>
      <c r="KHD136" s="105"/>
      <c r="KHE136" s="105"/>
      <c r="KHF136" s="105"/>
      <c r="KHG136" s="105"/>
      <c r="KHH136" s="105"/>
      <c r="KHI136" s="105"/>
      <c r="KHJ136" s="105"/>
      <c r="KHK136" s="105"/>
      <c r="KHL136" s="105"/>
      <c r="KHM136" s="105"/>
      <c r="KHN136" s="105"/>
      <c r="KHO136" s="105"/>
      <c r="KHP136" s="105"/>
      <c r="KHQ136" s="105"/>
      <c r="KHR136" s="105"/>
      <c r="KHS136" s="105"/>
      <c r="KHT136" s="105"/>
      <c r="KHU136" s="105"/>
      <c r="KHV136" s="105"/>
      <c r="KHW136" s="105"/>
      <c r="KHX136" s="105"/>
      <c r="KHY136" s="105"/>
      <c r="KHZ136" s="105"/>
      <c r="KIA136" s="105"/>
      <c r="KIB136" s="105"/>
      <c r="KIC136" s="105"/>
      <c r="KID136" s="105"/>
      <c r="KIE136" s="105"/>
      <c r="KIF136" s="105"/>
      <c r="KIG136" s="105"/>
      <c r="KIH136" s="105"/>
      <c r="KII136" s="105"/>
      <c r="KIJ136" s="105"/>
      <c r="KIK136" s="105"/>
      <c r="KIL136" s="105"/>
      <c r="KIM136" s="105"/>
      <c r="KIN136" s="105"/>
      <c r="KIO136" s="105"/>
      <c r="KIP136" s="105"/>
      <c r="KIQ136" s="105"/>
      <c r="KIR136" s="105"/>
      <c r="KIS136" s="105"/>
      <c r="KIT136" s="105"/>
      <c r="KIU136" s="105"/>
      <c r="KIV136" s="105"/>
      <c r="KIW136" s="105"/>
      <c r="KIX136" s="105"/>
      <c r="KIY136" s="105"/>
      <c r="KIZ136" s="105"/>
      <c r="KJA136" s="105"/>
      <c r="KJB136" s="105"/>
      <c r="KJC136" s="105"/>
      <c r="KJD136" s="105"/>
      <c r="KJE136" s="105"/>
      <c r="KJF136" s="105"/>
      <c r="KJG136" s="105"/>
      <c r="KJH136" s="105"/>
      <c r="KJI136" s="105"/>
      <c r="KJJ136" s="105"/>
      <c r="KJK136" s="105"/>
      <c r="KJL136" s="105"/>
      <c r="KJM136" s="105"/>
      <c r="KJN136" s="105"/>
      <c r="KJO136" s="105"/>
      <c r="KJP136" s="105"/>
      <c r="KJQ136" s="105"/>
      <c r="KJR136" s="105"/>
      <c r="KJS136" s="105"/>
      <c r="KJT136" s="105"/>
      <c r="KJU136" s="105"/>
      <c r="KJV136" s="105"/>
      <c r="KJW136" s="105"/>
      <c r="KJX136" s="105"/>
      <c r="KJY136" s="105"/>
      <c r="KJZ136" s="105"/>
      <c r="KKA136" s="105"/>
      <c r="KKB136" s="105"/>
      <c r="KKC136" s="105"/>
      <c r="KKD136" s="105"/>
      <c r="KKE136" s="105"/>
      <c r="KKF136" s="105"/>
      <c r="KKG136" s="105"/>
      <c r="KKH136" s="105"/>
      <c r="KKI136" s="105"/>
      <c r="KKJ136" s="105"/>
      <c r="KKK136" s="105"/>
      <c r="KKL136" s="105"/>
      <c r="KKM136" s="105"/>
      <c r="KKN136" s="105"/>
      <c r="KKO136" s="105"/>
      <c r="KKP136" s="105"/>
      <c r="KKQ136" s="105"/>
      <c r="KKR136" s="105"/>
      <c r="KKS136" s="105"/>
      <c r="KKT136" s="105"/>
      <c r="KKU136" s="105"/>
      <c r="KKV136" s="105"/>
      <c r="KKW136" s="105"/>
      <c r="KKX136" s="105"/>
      <c r="KKY136" s="105"/>
      <c r="KKZ136" s="105"/>
      <c r="KLA136" s="105"/>
      <c r="KLB136" s="105"/>
      <c r="KLC136" s="105"/>
      <c r="KLD136" s="105"/>
      <c r="KLE136" s="105"/>
      <c r="KLF136" s="105"/>
      <c r="KLG136" s="105"/>
      <c r="KLH136" s="105"/>
      <c r="KLI136" s="105"/>
      <c r="KLJ136" s="105"/>
      <c r="KLK136" s="105"/>
      <c r="KLL136" s="105"/>
      <c r="KLM136" s="105"/>
      <c r="KLN136" s="105"/>
      <c r="KLO136" s="105"/>
      <c r="KLP136" s="105"/>
      <c r="KLQ136" s="105"/>
      <c r="KLR136" s="105"/>
      <c r="KLS136" s="105"/>
      <c r="KLT136" s="105"/>
      <c r="KLU136" s="105"/>
      <c r="KLV136" s="105"/>
      <c r="KLW136" s="105"/>
      <c r="KLX136" s="105"/>
      <c r="KLY136" s="105"/>
      <c r="KLZ136" s="105"/>
      <c r="KMA136" s="105"/>
      <c r="KMB136" s="105"/>
      <c r="KMC136" s="105"/>
      <c r="KMD136" s="105"/>
      <c r="KME136" s="105"/>
      <c r="KMF136" s="105"/>
      <c r="KMG136" s="105"/>
      <c r="KMH136" s="105"/>
      <c r="KMI136" s="105"/>
      <c r="KMJ136" s="105"/>
      <c r="KMK136" s="105"/>
      <c r="KML136" s="105"/>
      <c r="KMM136" s="105"/>
      <c r="KMN136" s="105"/>
      <c r="KMO136" s="105"/>
      <c r="KMP136" s="105"/>
      <c r="KMQ136" s="105"/>
      <c r="KMR136" s="105"/>
      <c r="KMS136" s="105"/>
      <c r="KMT136" s="105"/>
      <c r="KMU136" s="105"/>
      <c r="KMV136" s="105"/>
      <c r="KMW136" s="105"/>
      <c r="KMX136" s="105"/>
      <c r="KMY136" s="105"/>
      <c r="KMZ136" s="105"/>
      <c r="KNA136" s="105"/>
      <c r="KNB136" s="105"/>
      <c r="KNC136" s="105"/>
      <c r="KND136" s="105"/>
      <c r="KNE136" s="105"/>
      <c r="KNF136" s="105"/>
      <c r="KNG136" s="105"/>
      <c r="KNH136" s="105"/>
      <c r="KNI136" s="105"/>
      <c r="KNJ136" s="105"/>
      <c r="KNK136" s="105"/>
      <c r="KNL136" s="105"/>
      <c r="KNM136" s="105"/>
      <c r="KNN136" s="105"/>
      <c r="KNO136" s="105"/>
      <c r="KNP136" s="105"/>
      <c r="KNQ136" s="105"/>
      <c r="KNR136" s="105"/>
      <c r="KNS136" s="105"/>
      <c r="KNT136" s="105"/>
      <c r="KNU136" s="105"/>
      <c r="KNV136" s="105"/>
      <c r="KNW136" s="105"/>
      <c r="KNX136" s="105"/>
      <c r="KNY136" s="105"/>
      <c r="KNZ136" s="105"/>
      <c r="KOA136" s="105"/>
      <c r="KOB136" s="105"/>
      <c r="KOC136" s="105"/>
      <c r="KOD136" s="105"/>
      <c r="KOE136" s="105"/>
      <c r="KOF136" s="105"/>
      <c r="KOG136" s="105"/>
      <c r="KOH136" s="105"/>
      <c r="KOI136" s="105"/>
      <c r="KOJ136" s="105"/>
      <c r="KOK136" s="105"/>
      <c r="KOL136" s="105"/>
      <c r="KOM136" s="105"/>
      <c r="KON136" s="105"/>
      <c r="KOO136" s="105"/>
      <c r="KOP136" s="105"/>
      <c r="KOQ136" s="105"/>
      <c r="KOR136" s="105"/>
      <c r="KOS136" s="105"/>
      <c r="KOT136" s="105"/>
      <c r="KOU136" s="105"/>
      <c r="KOV136" s="105"/>
      <c r="KOW136" s="105"/>
      <c r="KOX136" s="105"/>
      <c r="KOY136" s="105"/>
      <c r="KOZ136" s="105"/>
      <c r="KPA136" s="105"/>
      <c r="KPB136" s="105"/>
      <c r="KPC136" s="105"/>
      <c r="KPD136" s="105"/>
      <c r="KPE136" s="105"/>
      <c r="KPF136" s="105"/>
      <c r="KPG136" s="105"/>
      <c r="KPH136" s="105"/>
      <c r="KPI136" s="105"/>
      <c r="KPJ136" s="105"/>
      <c r="KPK136" s="105"/>
      <c r="KPL136" s="105"/>
      <c r="KPM136" s="105"/>
      <c r="KPN136" s="105"/>
      <c r="KPO136" s="105"/>
      <c r="KPP136" s="105"/>
      <c r="KPQ136" s="105"/>
      <c r="KPR136" s="105"/>
      <c r="KPS136" s="105"/>
      <c r="KPT136" s="105"/>
      <c r="KPU136" s="105"/>
      <c r="KPV136" s="105"/>
      <c r="KPW136" s="105"/>
      <c r="KPX136" s="105"/>
      <c r="KPY136" s="105"/>
      <c r="KPZ136" s="105"/>
      <c r="KQA136" s="105"/>
      <c r="KQB136" s="105"/>
      <c r="KQC136" s="105"/>
      <c r="KQD136" s="105"/>
      <c r="KQE136" s="105"/>
      <c r="KQF136" s="105"/>
      <c r="KQG136" s="105"/>
      <c r="KQH136" s="105"/>
      <c r="KQI136" s="105"/>
      <c r="KQJ136" s="105"/>
      <c r="KQK136" s="105"/>
      <c r="KQL136" s="105"/>
      <c r="KQM136" s="105"/>
      <c r="KQN136" s="105"/>
      <c r="KQO136" s="105"/>
      <c r="KQP136" s="105"/>
      <c r="KQQ136" s="105"/>
      <c r="KQR136" s="105"/>
      <c r="KQS136" s="105"/>
      <c r="KQT136" s="105"/>
      <c r="KQU136" s="105"/>
      <c r="KQV136" s="105"/>
      <c r="KQW136" s="105"/>
      <c r="KQX136" s="105"/>
      <c r="KQY136" s="105"/>
      <c r="KQZ136" s="105"/>
      <c r="KRA136" s="105"/>
      <c r="KRB136" s="105"/>
      <c r="KRC136" s="105"/>
      <c r="KRD136" s="105"/>
      <c r="KRE136" s="105"/>
      <c r="KRF136" s="105"/>
      <c r="KRG136" s="105"/>
      <c r="KRH136" s="105"/>
      <c r="KRI136" s="105"/>
      <c r="KRJ136" s="105"/>
      <c r="KRK136" s="105"/>
      <c r="KRL136" s="105"/>
      <c r="KRM136" s="105"/>
      <c r="KRN136" s="105"/>
      <c r="KRO136" s="105"/>
      <c r="KRP136" s="105"/>
      <c r="KRQ136" s="105"/>
      <c r="KRR136" s="105"/>
      <c r="KRS136" s="105"/>
      <c r="KRT136" s="105"/>
      <c r="KRU136" s="105"/>
      <c r="KRV136" s="105"/>
      <c r="KRW136" s="105"/>
      <c r="KRX136" s="105"/>
      <c r="KRY136" s="105"/>
      <c r="KRZ136" s="105"/>
      <c r="KSA136" s="105"/>
      <c r="KSB136" s="105"/>
      <c r="KSC136" s="105"/>
      <c r="KSD136" s="105"/>
      <c r="KSE136" s="105"/>
      <c r="KSF136" s="105"/>
      <c r="KSG136" s="105"/>
      <c r="KSH136" s="105"/>
      <c r="KSI136" s="105"/>
      <c r="KSJ136" s="105"/>
      <c r="KSK136" s="105"/>
      <c r="KSL136" s="105"/>
      <c r="KSM136" s="105"/>
      <c r="KSN136" s="105"/>
      <c r="KSO136" s="105"/>
      <c r="KSP136" s="105"/>
      <c r="KSQ136" s="105"/>
      <c r="KSR136" s="105"/>
      <c r="KSS136" s="105"/>
      <c r="KST136" s="105"/>
      <c r="KSU136" s="105"/>
      <c r="KSV136" s="105"/>
      <c r="KSW136" s="105"/>
      <c r="KSX136" s="105"/>
      <c r="KSY136" s="105"/>
      <c r="KSZ136" s="105"/>
      <c r="KTA136" s="105"/>
      <c r="KTB136" s="105"/>
      <c r="KTC136" s="105"/>
      <c r="KTD136" s="105"/>
      <c r="KTE136" s="105"/>
      <c r="KTF136" s="105"/>
      <c r="KTG136" s="105"/>
      <c r="KTH136" s="105"/>
      <c r="KTI136" s="105"/>
      <c r="KTJ136" s="105"/>
      <c r="KTK136" s="105"/>
      <c r="KTL136" s="105"/>
      <c r="KTM136" s="105"/>
      <c r="KTN136" s="105"/>
      <c r="KTO136" s="105"/>
      <c r="KTP136" s="105"/>
      <c r="KTQ136" s="105"/>
      <c r="KTR136" s="105"/>
      <c r="KTS136" s="105"/>
      <c r="KTT136" s="105"/>
      <c r="KTU136" s="105"/>
      <c r="KTV136" s="105"/>
      <c r="KTW136" s="105"/>
      <c r="KTX136" s="105"/>
      <c r="KTY136" s="105"/>
      <c r="KTZ136" s="105"/>
      <c r="KUA136" s="105"/>
      <c r="KUB136" s="105"/>
      <c r="KUC136" s="105"/>
      <c r="KUD136" s="105"/>
      <c r="KUE136" s="105"/>
      <c r="KUF136" s="105"/>
      <c r="KUG136" s="105"/>
      <c r="KUH136" s="105"/>
      <c r="KUI136" s="105"/>
      <c r="KUJ136" s="105"/>
      <c r="KUK136" s="105"/>
      <c r="KUL136" s="105"/>
      <c r="KUM136" s="105"/>
      <c r="KUN136" s="105"/>
      <c r="KUO136" s="105"/>
      <c r="KUP136" s="105"/>
      <c r="KUQ136" s="105"/>
      <c r="KUR136" s="105"/>
      <c r="KUS136" s="105"/>
      <c r="KUT136" s="105"/>
      <c r="KUU136" s="105"/>
      <c r="KUV136" s="105"/>
      <c r="KUW136" s="105"/>
      <c r="KUX136" s="105"/>
      <c r="KUY136" s="105"/>
      <c r="KUZ136" s="105"/>
      <c r="KVA136" s="105"/>
      <c r="KVB136" s="105"/>
      <c r="KVC136" s="105"/>
      <c r="KVD136" s="105"/>
      <c r="KVE136" s="105"/>
      <c r="KVF136" s="105"/>
      <c r="KVG136" s="105"/>
      <c r="KVH136" s="105"/>
      <c r="KVI136" s="105"/>
      <c r="KVJ136" s="105"/>
      <c r="KVK136" s="105"/>
      <c r="KVL136" s="105"/>
      <c r="KVM136" s="105"/>
      <c r="KVN136" s="105"/>
      <c r="KVO136" s="105"/>
      <c r="KVP136" s="105"/>
      <c r="KVQ136" s="105"/>
      <c r="KVR136" s="105"/>
      <c r="KVS136" s="105"/>
      <c r="KVT136" s="105"/>
      <c r="KVU136" s="105"/>
      <c r="KVV136" s="105"/>
      <c r="KVW136" s="105"/>
      <c r="KVX136" s="105"/>
      <c r="KVY136" s="105"/>
      <c r="KVZ136" s="105"/>
      <c r="KWA136" s="105"/>
      <c r="KWB136" s="105"/>
      <c r="KWC136" s="105"/>
      <c r="KWD136" s="105"/>
      <c r="KWE136" s="105"/>
      <c r="KWF136" s="105"/>
      <c r="KWG136" s="105"/>
      <c r="KWH136" s="105"/>
      <c r="KWI136" s="105"/>
      <c r="KWJ136" s="105"/>
      <c r="KWK136" s="105"/>
      <c r="KWL136" s="105"/>
      <c r="KWM136" s="105"/>
      <c r="KWN136" s="105"/>
      <c r="KWO136" s="105"/>
      <c r="KWP136" s="105"/>
      <c r="KWQ136" s="105"/>
      <c r="KWR136" s="105"/>
      <c r="KWS136" s="105"/>
      <c r="KWT136" s="105"/>
      <c r="KWU136" s="105"/>
      <c r="KWV136" s="105"/>
      <c r="KWW136" s="105"/>
      <c r="KWX136" s="105"/>
      <c r="KWY136" s="105"/>
      <c r="KWZ136" s="105"/>
      <c r="KXA136" s="105"/>
      <c r="KXB136" s="105"/>
      <c r="KXC136" s="105"/>
      <c r="KXD136" s="105"/>
      <c r="KXE136" s="105"/>
      <c r="KXF136" s="105"/>
      <c r="KXG136" s="105"/>
      <c r="KXH136" s="105"/>
      <c r="KXI136" s="105"/>
      <c r="KXJ136" s="105"/>
      <c r="KXK136" s="105"/>
      <c r="KXL136" s="105"/>
      <c r="KXM136" s="105"/>
      <c r="KXN136" s="105"/>
      <c r="KXO136" s="105"/>
      <c r="KXP136" s="105"/>
      <c r="KXQ136" s="105"/>
      <c r="KXR136" s="105"/>
      <c r="KXS136" s="105"/>
      <c r="KXT136" s="105"/>
      <c r="KXU136" s="105"/>
      <c r="KXV136" s="105"/>
      <c r="KXW136" s="105"/>
      <c r="KXX136" s="105"/>
      <c r="KXY136" s="105"/>
      <c r="KXZ136" s="105"/>
      <c r="KYA136" s="105"/>
      <c r="KYB136" s="105"/>
      <c r="KYC136" s="105"/>
      <c r="KYD136" s="105"/>
      <c r="KYE136" s="105"/>
      <c r="KYF136" s="105"/>
      <c r="KYG136" s="105"/>
      <c r="KYH136" s="105"/>
      <c r="KYI136" s="105"/>
      <c r="KYJ136" s="105"/>
      <c r="KYK136" s="105"/>
      <c r="KYL136" s="105"/>
      <c r="KYM136" s="105"/>
      <c r="KYN136" s="105"/>
      <c r="KYO136" s="105"/>
      <c r="KYP136" s="105"/>
      <c r="KYQ136" s="105"/>
      <c r="KYR136" s="105"/>
      <c r="KYS136" s="105"/>
      <c r="KYT136" s="105"/>
      <c r="KYU136" s="105"/>
      <c r="KYV136" s="105"/>
      <c r="KYW136" s="105"/>
      <c r="KYX136" s="105"/>
      <c r="KYY136" s="105"/>
      <c r="KYZ136" s="105"/>
      <c r="KZA136" s="105"/>
      <c r="KZB136" s="105"/>
      <c r="KZC136" s="105"/>
      <c r="KZD136" s="105"/>
      <c r="KZE136" s="105"/>
      <c r="KZF136" s="105"/>
      <c r="KZG136" s="105"/>
      <c r="KZH136" s="105"/>
      <c r="KZI136" s="105"/>
      <c r="KZJ136" s="105"/>
      <c r="KZK136" s="105"/>
      <c r="KZL136" s="105"/>
      <c r="KZM136" s="105"/>
      <c r="KZN136" s="105"/>
      <c r="KZO136" s="105"/>
      <c r="KZP136" s="105"/>
      <c r="KZQ136" s="105"/>
      <c r="KZR136" s="105"/>
      <c r="KZS136" s="105"/>
      <c r="KZT136" s="105"/>
      <c r="KZU136" s="105"/>
      <c r="KZV136" s="105"/>
      <c r="KZW136" s="105"/>
      <c r="KZX136" s="105"/>
      <c r="KZY136" s="105"/>
      <c r="KZZ136" s="105"/>
      <c r="LAA136" s="105"/>
      <c r="LAB136" s="105"/>
      <c r="LAC136" s="105"/>
      <c r="LAD136" s="105"/>
      <c r="LAE136" s="105"/>
      <c r="LAF136" s="105"/>
      <c r="LAG136" s="105"/>
      <c r="LAH136" s="105"/>
      <c r="LAI136" s="105"/>
      <c r="LAJ136" s="105"/>
      <c r="LAK136" s="105"/>
      <c r="LAL136" s="105"/>
      <c r="LAM136" s="105"/>
      <c r="LAN136" s="105"/>
      <c r="LAO136" s="105"/>
      <c r="LAP136" s="105"/>
      <c r="LAQ136" s="105"/>
      <c r="LAR136" s="105"/>
      <c r="LAS136" s="105"/>
      <c r="LAT136" s="105"/>
      <c r="LAU136" s="105"/>
      <c r="LAV136" s="105"/>
      <c r="LAW136" s="105"/>
      <c r="LAX136" s="105"/>
      <c r="LAY136" s="105"/>
      <c r="LAZ136" s="105"/>
      <c r="LBA136" s="105"/>
      <c r="LBB136" s="105"/>
      <c r="LBC136" s="105"/>
      <c r="LBD136" s="105"/>
      <c r="LBE136" s="105"/>
      <c r="LBF136" s="105"/>
      <c r="LBG136" s="105"/>
      <c r="LBH136" s="105"/>
      <c r="LBI136" s="105"/>
      <c r="LBJ136" s="105"/>
      <c r="LBK136" s="105"/>
      <c r="LBL136" s="105"/>
      <c r="LBM136" s="105"/>
      <c r="LBN136" s="105"/>
      <c r="LBO136" s="105"/>
      <c r="LBP136" s="105"/>
      <c r="LBQ136" s="105"/>
      <c r="LBR136" s="105"/>
      <c r="LBS136" s="105"/>
      <c r="LBT136" s="105"/>
      <c r="LBU136" s="105"/>
      <c r="LBV136" s="105"/>
      <c r="LBW136" s="105"/>
      <c r="LBX136" s="105"/>
      <c r="LBY136" s="105"/>
      <c r="LBZ136" s="105"/>
      <c r="LCA136" s="105"/>
      <c r="LCB136" s="105"/>
      <c r="LCC136" s="105"/>
      <c r="LCD136" s="105"/>
      <c r="LCE136" s="105"/>
      <c r="LCF136" s="105"/>
      <c r="LCG136" s="105"/>
      <c r="LCH136" s="105"/>
      <c r="LCI136" s="105"/>
      <c r="LCJ136" s="105"/>
      <c r="LCK136" s="105"/>
      <c r="LCL136" s="105"/>
      <c r="LCM136" s="105"/>
      <c r="LCN136" s="105"/>
      <c r="LCO136" s="105"/>
      <c r="LCP136" s="105"/>
      <c r="LCQ136" s="105"/>
      <c r="LCR136" s="105"/>
      <c r="LCS136" s="105"/>
      <c r="LCT136" s="105"/>
      <c r="LCU136" s="105"/>
      <c r="LCV136" s="105"/>
      <c r="LCW136" s="105"/>
      <c r="LCX136" s="105"/>
      <c r="LCY136" s="105"/>
      <c r="LCZ136" s="105"/>
      <c r="LDA136" s="105"/>
      <c r="LDB136" s="105"/>
      <c r="LDC136" s="105"/>
      <c r="LDD136" s="105"/>
      <c r="LDE136" s="105"/>
      <c r="LDF136" s="105"/>
      <c r="LDG136" s="105"/>
      <c r="LDH136" s="105"/>
      <c r="LDI136" s="105"/>
      <c r="LDJ136" s="105"/>
      <c r="LDK136" s="105"/>
      <c r="LDL136" s="105"/>
      <c r="LDM136" s="105"/>
      <c r="LDN136" s="105"/>
      <c r="LDO136" s="105"/>
      <c r="LDP136" s="105"/>
      <c r="LDQ136" s="105"/>
      <c r="LDR136" s="105"/>
      <c r="LDS136" s="105"/>
      <c r="LDT136" s="105"/>
      <c r="LDU136" s="105"/>
      <c r="LDV136" s="105"/>
      <c r="LDW136" s="105"/>
      <c r="LDX136" s="105"/>
      <c r="LDY136" s="105"/>
      <c r="LDZ136" s="105"/>
      <c r="LEA136" s="105"/>
      <c r="LEB136" s="105"/>
      <c r="LEC136" s="105"/>
      <c r="LED136" s="105"/>
      <c r="LEE136" s="105"/>
      <c r="LEF136" s="105"/>
      <c r="LEG136" s="105"/>
      <c r="LEH136" s="105"/>
      <c r="LEI136" s="105"/>
      <c r="LEJ136" s="105"/>
      <c r="LEK136" s="105"/>
      <c r="LEL136" s="105"/>
      <c r="LEM136" s="105"/>
      <c r="LEN136" s="105"/>
      <c r="LEO136" s="105"/>
      <c r="LEP136" s="105"/>
      <c r="LEQ136" s="105"/>
      <c r="LER136" s="105"/>
      <c r="LES136" s="105"/>
      <c r="LET136" s="105"/>
      <c r="LEU136" s="105"/>
      <c r="LEV136" s="105"/>
      <c r="LEW136" s="105"/>
      <c r="LEX136" s="105"/>
      <c r="LEY136" s="105"/>
      <c r="LEZ136" s="105"/>
      <c r="LFA136" s="105"/>
      <c r="LFB136" s="105"/>
      <c r="LFC136" s="105"/>
      <c r="LFD136" s="105"/>
      <c r="LFE136" s="105"/>
      <c r="LFF136" s="105"/>
      <c r="LFG136" s="105"/>
      <c r="LFH136" s="105"/>
      <c r="LFI136" s="105"/>
      <c r="LFJ136" s="105"/>
      <c r="LFK136" s="105"/>
      <c r="LFL136" s="105"/>
      <c r="LFM136" s="105"/>
      <c r="LFN136" s="105"/>
      <c r="LFO136" s="105"/>
      <c r="LFP136" s="105"/>
      <c r="LFQ136" s="105"/>
      <c r="LFR136" s="105"/>
      <c r="LFS136" s="105"/>
      <c r="LFT136" s="105"/>
      <c r="LFU136" s="105"/>
      <c r="LFV136" s="105"/>
      <c r="LFW136" s="105"/>
      <c r="LFX136" s="105"/>
      <c r="LFY136" s="105"/>
      <c r="LFZ136" s="105"/>
      <c r="LGA136" s="105"/>
      <c r="LGB136" s="105"/>
      <c r="LGC136" s="105"/>
      <c r="LGD136" s="105"/>
      <c r="LGE136" s="105"/>
      <c r="LGF136" s="105"/>
      <c r="LGG136" s="105"/>
      <c r="LGH136" s="105"/>
      <c r="LGI136" s="105"/>
      <c r="LGJ136" s="105"/>
      <c r="LGK136" s="105"/>
      <c r="LGL136" s="105"/>
      <c r="LGM136" s="105"/>
      <c r="LGN136" s="105"/>
      <c r="LGO136" s="105"/>
      <c r="LGP136" s="105"/>
      <c r="LGQ136" s="105"/>
      <c r="LGR136" s="105"/>
      <c r="LGS136" s="105"/>
      <c r="LGT136" s="105"/>
      <c r="LGU136" s="105"/>
      <c r="LGV136" s="105"/>
      <c r="LGW136" s="105"/>
      <c r="LGX136" s="105"/>
      <c r="LGY136" s="105"/>
      <c r="LGZ136" s="105"/>
      <c r="LHA136" s="105"/>
      <c r="LHB136" s="105"/>
      <c r="LHC136" s="105"/>
      <c r="LHD136" s="105"/>
      <c r="LHE136" s="105"/>
      <c r="LHF136" s="105"/>
      <c r="LHG136" s="105"/>
      <c r="LHH136" s="105"/>
      <c r="LHI136" s="105"/>
      <c r="LHJ136" s="105"/>
      <c r="LHK136" s="105"/>
      <c r="LHL136" s="105"/>
      <c r="LHM136" s="105"/>
      <c r="LHN136" s="105"/>
      <c r="LHO136" s="105"/>
      <c r="LHP136" s="105"/>
      <c r="LHQ136" s="105"/>
      <c r="LHR136" s="105"/>
      <c r="LHS136" s="105"/>
      <c r="LHT136" s="105"/>
      <c r="LHU136" s="105"/>
      <c r="LHV136" s="105"/>
      <c r="LHW136" s="105"/>
      <c r="LHX136" s="105"/>
      <c r="LHY136" s="105"/>
      <c r="LHZ136" s="105"/>
      <c r="LIA136" s="105"/>
      <c r="LIB136" s="105"/>
      <c r="LIC136" s="105"/>
      <c r="LID136" s="105"/>
      <c r="LIE136" s="105"/>
      <c r="LIF136" s="105"/>
      <c r="LIG136" s="105"/>
      <c r="LIH136" s="105"/>
      <c r="LII136" s="105"/>
      <c r="LIJ136" s="105"/>
      <c r="LIK136" s="105"/>
      <c r="LIL136" s="105"/>
      <c r="LIM136" s="105"/>
      <c r="LIN136" s="105"/>
      <c r="LIO136" s="105"/>
      <c r="LIP136" s="105"/>
      <c r="LIQ136" s="105"/>
      <c r="LIR136" s="105"/>
      <c r="LIS136" s="105"/>
      <c r="LIT136" s="105"/>
      <c r="LIU136" s="105"/>
      <c r="LIV136" s="105"/>
      <c r="LIW136" s="105"/>
      <c r="LIX136" s="105"/>
      <c r="LIY136" s="105"/>
      <c r="LIZ136" s="105"/>
      <c r="LJA136" s="105"/>
      <c r="LJB136" s="105"/>
      <c r="LJC136" s="105"/>
      <c r="LJD136" s="105"/>
      <c r="LJE136" s="105"/>
      <c r="LJF136" s="105"/>
      <c r="LJG136" s="105"/>
      <c r="LJH136" s="105"/>
      <c r="LJI136" s="105"/>
      <c r="LJJ136" s="105"/>
      <c r="LJK136" s="105"/>
      <c r="LJL136" s="105"/>
      <c r="LJM136" s="105"/>
      <c r="LJN136" s="105"/>
      <c r="LJO136" s="105"/>
      <c r="LJP136" s="105"/>
      <c r="LJQ136" s="105"/>
      <c r="LJR136" s="105"/>
      <c r="LJS136" s="105"/>
      <c r="LJT136" s="105"/>
      <c r="LJU136" s="105"/>
      <c r="LJV136" s="105"/>
      <c r="LJW136" s="105"/>
      <c r="LJX136" s="105"/>
      <c r="LJY136" s="105"/>
      <c r="LJZ136" s="105"/>
      <c r="LKA136" s="105"/>
      <c r="LKB136" s="105"/>
      <c r="LKC136" s="105"/>
      <c r="LKD136" s="105"/>
      <c r="LKE136" s="105"/>
      <c r="LKF136" s="105"/>
      <c r="LKG136" s="105"/>
      <c r="LKH136" s="105"/>
      <c r="LKI136" s="105"/>
      <c r="LKJ136" s="105"/>
      <c r="LKK136" s="105"/>
      <c r="LKL136" s="105"/>
      <c r="LKM136" s="105"/>
      <c r="LKN136" s="105"/>
      <c r="LKO136" s="105"/>
      <c r="LKP136" s="105"/>
      <c r="LKQ136" s="105"/>
      <c r="LKR136" s="105"/>
      <c r="LKS136" s="105"/>
      <c r="LKT136" s="105"/>
      <c r="LKU136" s="105"/>
      <c r="LKV136" s="105"/>
      <c r="LKW136" s="105"/>
      <c r="LKX136" s="105"/>
      <c r="LKY136" s="105"/>
      <c r="LKZ136" s="105"/>
      <c r="LLA136" s="105"/>
      <c r="LLB136" s="105"/>
      <c r="LLC136" s="105"/>
      <c r="LLD136" s="105"/>
      <c r="LLE136" s="105"/>
      <c r="LLF136" s="105"/>
      <c r="LLG136" s="105"/>
      <c r="LLH136" s="105"/>
      <c r="LLI136" s="105"/>
      <c r="LLJ136" s="105"/>
      <c r="LLK136" s="105"/>
      <c r="LLL136" s="105"/>
      <c r="LLM136" s="105"/>
      <c r="LLN136" s="105"/>
      <c r="LLO136" s="105"/>
      <c r="LLP136" s="105"/>
      <c r="LLQ136" s="105"/>
      <c r="LLR136" s="105"/>
      <c r="LLS136" s="105"/>
      <c r="LLT136" s="105"/>
      <c r="LLU136" s="105"/>
      <c r="LLV136" s="105"/>
      <c r="LLW136" s="105"/>
      <c r="LLX136" s="105"/>
      <c r="LLY136" s="105"/>
      <c r="LLZ136" s="105"/>
      <c r="LMA136" s="105"/>
      <c r="LMB136" s="105"/>
      <c r="LMC136" s="105"/>
      <c r="LMD136" s="105"/>
      <c r="LME136" s="105"/>
      <c r="LMF136" s="105"/>
      <c r="LMG136" s="105"/>
      <c r="LMH136" s="105"/>
      <c r="LMI136" s="105"/>
      <c r="LMJ136" s="105"/>
      <c r="LMK136" s="105"/>
      <c r="LML136" s="105"/>
      <c r="LMM136" s="105"/>
      <c r="LMN136" s="105"/>
      <c r="LMO136" s="105"/>
      <c r="LMP136" s="105"/>
      <c r="LMQ136" s="105"/>
      <c r="LMR136" s="105"/>
      <c r="LMS136" s="105"/>
      <c r="LMT136" s="105"/>
      <c r="LMU136" s="105"/>
      <c r="LMV136" s="105"/>
      <c r="LMW136" s="105"/>
      <c r="LMX136" s="105"/>
      <c r="LMY136" s="105"/>
      <c r="LMZ136" s="105"/>
      <c r="LNA136" s="105"/>
      <c r="LNB136" s="105"/>
      <c r="LNC136" s="105"/>
      <c r="LND136" s="105"/>
      <c r="LNE136" s="105"/>
      <c r="LNF136" s="105"/>
      <c r="LNG136" s="105"/>
      <c r="LNH136" s="105"/>
      <c r="LNI136" s="105"/>
      <c r="LNJ136" s="105"/>
      <c r="LNK136" s="105"/>
      <c r="LNL136" s="105"/>
      <c r="LNM136" s="105"/>
      <c r="LNN136" s="105"/>
      <c r="LNO136" s="105"/>
      <c r="LNP136" s="105"/>
      <c r="LNQ136" s="105"/>
      <c r="LNR136" s="105"/>
      <c r="LNS136" s="105"/>
      <c r="LNT136" s="105"/>
      <c r="LNU136" s="105"/>
      <c r="LNV136" s="105"/>
      <c r="LNW136" s="105"/>
      <c r="LNX136" s="105"/>
      <c r="LNY136" s="105"/>
      <c r="LNZ136" s="105"/>
      <c r="LOA136" s="105"/>
      <c r="LOB136" s="105"/>
      <c r="LOC136" s="105"/>
      <c r="LOD136" s="105"/>
      <c r="LOE136" s="105"/>
      <c r="LOF136" s="105"/>
      <c r="LOG136" s="105"/>
      <c r="LOH136" s="105"/>
      <c r="LOI136" s="105"/>
      <c r="LOJ136" s="105"/>
      <c r="LOK136" s="105"/>
      <c r="LOL136" s="105"/>
      <c r="LOM136" s="105"/>
      <c r="LON136" s="105"/>
      <c r="LOO136" s="105"/>
      <c r="LOP136" s="105"/>
      <c r="LOQ136" s="105"/>
      <c r="LOR136" s="105"/>
      <c r="LOS136" s="105"/>
      <c r="LOT136" s="105"/>
      <c r="LOU136" s="105"/>
      <c r="LOV136" s="105"/>
      <c r="LOW136" s="105"/>
      <c r="LOX136" s="105"/>
      <c r="LOY136" s="105"/>
      <c r="LOZ136" s="105"/>
      <c r="LPA136" s="105"/>
      <c r="LPB136" s="105"/>
      <c r="LPC136" s="105"/>
      <c r="LPD136" s="105"/>
      <c r="LPE136" s="105"/>
      <c r="LPF136" s="105"/>
      <c r="LPG136" s="105"/>
      <c r="LPH136" s="105"/>
      <c r="LPI136" s="105"/>
      <c r="LPJ136" s="105"/>
      <c r="LPK136" s="105"/>
      <c r="LPL136" s="105"/>
      <c r="LPM136" s="105"/>
      <c r="LPN136" s="105"/>
      <c r="LPO136" s="105"/>
      <c r="LPP136" s="105"/>
      <c r="LPQ136" s="105"/>
      <c r="LPR136" s="105"/>
      <c r="LPS136" s="105"/>
      <c r="LPT136" s="105"/>
      <c r="LPU136" s="105"/>
      <c r="LPV136" s="105"/>
      <c r="LPW136" s="105"/>
      <c r="LPX136" s="105"/>
      <c r="LPY136" s="105"/>
      <c r="LPZ136" s="105"/>
      <c r="LQA136" s="105"/>
      <c r="LQB136" s="105"/>
      <c r="LQC136" s="105"/>
      <c r="LQD136" s="105"/>
      <c r="LQE136" s="105"/>
      <c r="LQF136" s="105"/>
      <c r="LQG136" s="105"/>
      <c r="LQH136" s="105"/>
      <c r="LQI136" s="105"/>
      <c r="LQJ136" s="105"/>
      <c r="LQK136" s="105"/>
      <c r="LQL136" s="105"/>
      <c r="LQM136" s="105"/>
      <c r="LQN136" s="105"/>
      <c r="LQO136" s="105"/>
      <c r="LQP136" s="105"/>
      <c r="LQQ136" s="105"/>
      <c r="LQR136" s="105"/>
      <c r="LQS136" s="105"/>
      <c r="LQT136" s="105"/>
      <c r="LQU136" s="105"/>
      <c r="LQV136" s="105"/>
      <c r="LQW136" s="105"/>
      <c r="LQX136" s="105"/>
      <c r="LQY136" s="105"/>
      <c r="LQZ136" s="105"/>
      <c r="LRA136" s="105"/>
      <c r="LRB136" s="105"/>
      <c r="LRC136" s="105"/>
      <c r="LRD136" s="105"/>
      <c r="LRE136" s="105"/>
      <c r="LRF136" s="105"/>
      <c r="LRG136" s="105"/>
      <c r="LRH136" s="105"/>
      <c r="LRI136" s="105"/>
      <c r="LRJ136" s="105"/>
      <c r="LRK136" s="105"/>
      <c r="LRL136" s="105"/>
      <c r="LRM136" s="105"/>
      <c r="LRN136" s="105"/>
      <c r="LRO136" s="105"/>
      <c r="LRP136" s="105"/>
      <c r="LRQ136" s="105"/>
      <c r="LRR136" s="105"/>
      <c r="LRS136" s="105"/>
      <c r="LRT136" s="105"/>
      <c r="LRU136" s="105"/>
      <c r="LRV136" s="105"/>
      <c r="LRW136" s="105"/>
      <c r="LRX136" s="105"/>
      <c r="LRY136" s="105"/>
      <c r="LRZ136" s="105"/>
      <c r="LSA136" s="105"/>
      <c r="LSB136" s="105"/>
      <c r="LSC136" s="105"/>
      <c r="LSD136" s="105"/>
      <c r="LSE136" s="105"/>
      <c r="LSF136" s="105"/>
      <c r="LSG136" s="105"/>
      <c r="LSH136" s="105"/>
      <c r="LSI136" s="105"/>
      <c r="LSJ136" s="105"/>
      <c r="LSK136" s="105"/>
      <c r="LSL136" s="105"/>
      <c r="LSM136" s="105"/>
      <c r="LSN136" s="105"/>
      <c r="LSO136" s="105"/>
      <c r="LSP136" s="105"/>
      <c r="LSQ136" s="105"/>
      <c r="LSR136" s="105"/>
      <c r="LSS136" s="105"/>
      <c r="LST136" s="105"/>
      <c r="LSU136" s="105"/>
      <c r="LSV136" s="105"/>
      <c r="LSW136" s="105"/>
      <c r="LSX136" s="105"/>
      <c r="LSY136" s="105"/>
      <c r="LSZ136" s="105"/>
      <c r="LTA136" s="105"/>
      <c r="LTB136" s="105"/>
      <c r="LTC136" s="105"/>
      <c r="LTD136" s="105"/>
      <c r="LTE136" s="105"/>
      <c r="LTF136" s="105"/>
      <c r="LTG136" s="105"/>
      <c r="LTH136" s="105"/>
      <c r="LTI136" s="105"/>
      <c r="LTJ136" s="105"/>
      <c r="LTK136" s="105"/>
      <c r="LTL136" s="105"/>
      <c r="LTM136" s="105"/>
      <c r="LTN136" s="105"/>
      <c r="LTO136" s="105"/>
      <c r="LTP136" s="105"/>
      <c r="LTQ136" s="105"/>
      <c r="LTR136" s="105"/>
      <c r="LTS136" s="105"/>
      <c r="LTT136" s="105"/>
      <c r="LTU136" s="105"/>
      <c r="LTV136" s="105"/>
      <c r="LTW136" s="105"/>
      <c r="LTX136" s="105"/>
      <c r="LTY136" s="105"/>
      <c r="LTZ136" s="105"/>
      <c r="LUA136" s="105"/>
      <c r="LUB136" s="105"/>
      <c r="LUC136" s="105"/>
      <c r="LUD136" s="105"/>
      <c r="LUE136" s="105"/>
      <c r="LUF136" s="105"/>
      <c r="LUG136" s="105"/>
      <c r="LUH136" s="105"/>
      <c r="LUI136" s="105"/>
      <c r="LUJ136" s="105"/>
      <c r="LUK136" s="105"/>
      <c r="LUL136" s="105"/>
      <c r="LUM136" s="105"/>
      <c r="LUN136" s="105"/>
      <c r="LUO136" s="105"/>
      <c r="LUP136" s="105"/>
      <c r="LUQ136" s="105"/>
      <c r="LUR136" s="105"/>
      <c r="LUS136" s="105"/>
      <c r="LUT136" s="105"/>
      <c r="LUU136" s="105"/>
      <c r="LUV136" s="105"/>
      <c r="LUW136" s="105"/>
      <c r="LUX136" s="105"/>
      <c r="LUY136" s="105"/>
      <c r="LUZ136" s="105"/>
      <c r="LVA136" s="105"/>
      <c r="LVB136" s="105"/>
      <c r="LVC136" s="105"/>
      <c r="LVD136" s="105"/>
      <c r="LVE136" s="105"/>
      <c r="LVF136" s="105"/>
      <c r="LVG136" s="105"/>
      <c r="LVH136" s="105"/>
      <c r="LVI136" s="105"/>
      <c r="LVJ136" s="105"/>
      <c r="LVK136" s="105"/>
      <c r="LVL136" s="105"/>
      <c r="LVM136" s="105"/>
      <c r="LVN136" s="105"/>
      <c r="LVO136" s="105"/>
      <c r="LVP136" s="105"/>
      <c r="LVQ136" s="105"/>
      <c r="LVR136" s="105"/>
      <c r="LVS136" s="105"/>
      <c r="LVT136" s="105"/>
      <c r="LVU136" s="105"/>
      <c r="LVV136" s="105"/>
      <c r="LVW136" s="105"/>
      <c r="LVX136" s="105"/>
      <c r="LVY136" s="105"/>
      <c r="LVZ136" s="105"/>
      <c r="LWA136" s="105"/>
      <c r="LWB136" s="105"/>
      <c r="LWC136" s="105"/>
      <c r="LWD136" s="105"/>
      <c r="LWE136" s="105"/>
      <c r="LWF136" s="105"/>
      <c r="LWG136" s="105"/>
      <c r="LWH136" s="105"/>
      <c r="LWI136" s="105"/>
      <c r="LWJ136" s="105"/>
      <c r="LWK136" s="105"/>
      <c r="LWL136" s="105"/>
      <c r="LWM136" s="105"/>
      <c r="LWN136" s="105"/>
      <c r="LWO136" s="105"/>
      <c r="LWP136" s="105"/>
      <c r="LWQ136" s="105"/>
      <c r="LWR136" s="105"/>
      <c r="LWS136" s="105"/>
      <c r="LWT136" s="105"/>
      <c r="LWU136" s="105"/>
      <c r="LWV136" s="105"/>
      <c r="LWW136" s="105"/>
      <c r="LWX136" s="105"/>
      <c r="LWY136" s="105"/>
      <c r="LWZ136" s="105"/>
      <c r="LXA136" s="105"/>
      <c r="LXB136" s="105"/>
      <c r="LXC136" s="105"/>
      <c r="LXD136" s="105"/>
      <c r="LXE136" s="105"/>
      <c r="LXF136" s="105"/>
      <c r="LXG136" s="105"/>
      <c r="LXH136" s="105"/>
      <c r="LXI136" s="105"/>
      <c r="LXJ136" s="105"/>
      <c r="LXK136" s="105"/>
      <c r="LXL136" s="105"/>
      <c r="LXM136" s="105"/>
      <c r="LXN136" s="105"/>
      <c r="LXO136" s="105"/>
      <c r="LXP136" s="105"/>
      <c r="LXQ136" s="105"/>
      <c r="LXR136" s="105"/>
      <c r="LXS136" s="105"/>
      <c r="LXT136" s="105"/>
      <c r="LXU136" s="105"/>
      <c r="LXV136" s="105"/>
      <c r="LXW136" s="105"/>
      <c r="LXX136" s="105"/>
      <c r="LXY136" s="105"/>
      <c r="LXZ136" s="105"/>
      <c r="LYA136" s="105"/>
      <c r="LYB136" s="105"/>
      <c r="LYC136" s="105"/>
      <c r="LYD136" s="105"/>
      <c r="LYE136" s="105"/>
      <c r="LYF136" s="105"/>
      <c r="LYG136" s="105"/>
      <c r="LYH136" s="105"/>
      <c r="LYI136" s="105"/>
      <c r="LYJ136" s="105"/>
      <c r="LYK136" s="105"/>
      <c r="LYL136" s="105"/>
      <c r="LYM136" s="105"/>
      <c r="LYN136" s="105"/>
      <c r="LYO136" s="105"/>
      <c r="LYP136" s="105"/>
      <c r="LYQ136" s="105"/>
      <c r="LYR136" s="105"/>
      <c r="LYS136" s="105"/>
      <c r="LYT136" s="105"/>
      <c r="LYU136" s="105"/>
      <c r="LYV136" s="105"/>
      <c r="LYW136" s="105"/>
      <c r="LYX136" s="105"/>
      <c r="LYY136" s="105"/>
      <c r="LYZ136" s="105"/>
      <c r="LZA136" s="105"/>
      <c r="LZB136" s="105"/>
      <c r="LZC136" s="105"/>
      <c r="LZD136" s="105"/>
      <c r="LZE136" s="105"/>
      <c r="LZF136" s="105"/>
      <c r="LZG136" s="105"/>
      <c r="LZH136" s="105"/>
      <c r="LZI136" s="105"/>
      <c r="LZJ136" s="105"/>
      <c r="LZK136" s="105"/>
      <c r="LZL136" s="105"/>
      <c r="LZM136" s="105"/>
      <c r="LZN136" s="105"/>
      <c r="LZO136" s="105"/>
      <c r="LZP136" s="105"/>
      <c r="LZQ136" s="105"/>
      <c r="LZR136" s="105"/>
      <c r="LZS136" s="105"/>
      <c r="LZT136" s="105"/>
      <c r="LZU136" s="105"/>
      <c r="LZV136" s="105"/>
      <c r="LZW136" s="105"/>
      <c r="LZX136" s="105"/>
      <c r="LZY136" s="105"/>
      <c r="LZZ136" s="105"/>
      <c r="MAA136" s="105"/>
      <c r="MAB136" s="105"/>
      <c r="MAC136" s="105"/>
      <c r="MAD136" s="105"/>
      <c r="MAE136" s="105"/>
      <c r="MAF136" s="105"/>
      <c r="MAG136" s="105"/>
      <c r="MAH136" s="105"/>
      <c r="MAI136" s="105"/>
      <c r="MAJ136" s="105"/>
      <c r="MAK136" s="105"/>
      <c r="MAL136" s="105"/>
      <c r="MAM136" s="105"/>
      <c r="MAN136" s="105"/>
      <c r="MAO136" s="105"/>
      <c r="MAP136" s="105"/>
      <c r="MAQ136" s="105"/>
      <c r="MAR136" s="105"/>
      <c r="MAS136" s="105"/>
      <c r="MAT136" s="105"/>
      <c r="MAU136" s="105"/>
      <c r="MAV136" s="105"/>
      <c r="MAW136" s="105"/>
      <c r="MAX136" s="105"/>
      <c r="MAY136" s="105"/>
      <c r="MAZ136" s="105"/>
      <c r="MBA136" s="105"/>
      <c r="MBB136" s="105"/>
      <c r="MBC136" s="105"/>
      <c r="MBD136" s="105"/>
      <c r="MBE136" s="105"/>
      <c r="MBF136" s="105"/>
      <c r="MBG136" s="105"/>
      <c r="MBH136" s="105"/>
      <c r="MBI136" s="105"/>
      <c r="MBJ136" s="105"/>
      <c r="MBK136" s="105"/>
      <c r="MBL136" s="105"/>
      <c r="MBM136" s="105"/>
      <c r="MBN136" s="105"/>
      <c r="MBO136" s="105"/>
      <c r="MBP136" s="105"/>
      <c r="MBQ136" s="105"/>
      <c r="MBR136" s="105"/>
      <c r="MBS136" s="105"/>
      <c r="MBT136" s="105"/>
      <c r="MBU136" s="105"/>
      <c r="MBV136" s="105"/>
      <c r="MBW136" s="105"/>
      <c r="MBX136" s="105"/>
      <c r="MBY136" s="105"/>
      <c r="MBZ136" s="105"/>
      <c r="MCA136" s="105"/>
      <c r="MCB136" s="105"/>
      <c r="MCC136" s="105"/>
      <c r="MCD136" s="105"/>
      <c r="MCE136" s="105"/>
      <c r="MCF136" s="105"/>
      <c r="MCG136" s="105"/>
      <c r="MCH136" s="105"/>
      <c r="MCI136" s="105"/>
      <c r="MCJ136" s="105"/>
      <c r="MCK136" s="105"/>
      <c r="MCL136" s="105"/>
      <c r="MCM136" s="105"/>
      <c r="MCN136" s="105"/>
      <c r="MCO136" s="105"/>
      <c r="MCP136" s="105"/>
      <c r="MCQ136" s="105"/>
      <c r="MCR136" s="105"/>
      <c r="MCS136" s="105"/>
      <c r="MCT136" s="105"/>
      <c r="MCU136" s="105"/>
      <c r="MCV136" s="105"/>
      <c r="MCW136" s="105"/>
      <c r="MCX136" s="105"/>
      <c r="MCY136" s="105"/>
      <c r="MCZ136" s="105"/>
      <c r="MDA136" s="105"/>
      <c r="MDB136" s="105"/>
      <c r="MDC136" s="105"/>
      <c r="MDD136" s="105"/>
      <c r="MDE136" s="105"/>
      <c r="MDF136" s="105"/>
      <c r="MDG136" s="105"/>
      <c r="MDH136" s="105"/>
      <c r="MDI136" s="105"/>
      <c r="MDJ136" s="105"/>
      <c r="MDK136" s="105"/>
      <c r="MDL136" s="105"/>
      <c r="MDM136" s="105"/>
      <c r="MDN136" s="105"/>
      <c r="MDO136" s="105"/>
      <c r="MDP136" s="105"/>
      <c r="MDQ136" s="105"/>
      <c r="MDR136" s="105"/>
      <c r="MDS136" s="105"/>
      <c r="MDT136" s="105"/>
      <c r="MDU136" s="105"/>
      <c r="MDV136" s="105"/>
      <c r="MDW136" s="105"/>
      <c r="MDX136" s="105"/>
      <c r="MDY136" s="105"/>
      <c r="MDZ136" s="105"/>
      <c r="MEA136" s="105"/>
      <c r="MEB136" s="105"/>
      <c r="MEC136" s="105"/>
      <c r="MED136" s="105"/>
      <c r="MEE136" s="105"/>
      <c r="MEF136" s="105"/>
      <c r="MEG136" s="105"/>
      <c r="MEH136" s="105"/>
      <c r="MEI136" s="105"/>
      <c r="MEJ136" s="105"/>
      <c r="MEK136" s="105"/>
      <c r="MEL136" s="105"/>
      <c r="MEM136" s="105"/>
      <c r="MEN136" s="105"/>
      <c r="MEO136" s="105"/>
      <c r="MEP136" s="105"/>
      <c r="MEQ136" s="105"/>
      <c r="MER136" s="105"/>
      <c r="MES136" s="105"/>
      <c r="MET136" s="105"/>
      <c r="MEU136" s="105"/>
      <c r="MEV136" s="105"/>
      <c r="MEW136" s="105"/>
      <c r="MEX136" s="105"/>
      <c r="MEY136" s="105"/>
      <c r="MEZ136" s="105"/>
      <c r="MFA136" s="105"/>
      <c r="MFB136" s="105"/>
      <c r="MFC136" s="105"/>
      <c r="MFD136" s="105"/>
      <c r="MFE136" s="105"/>
      <c r="MFF136" s="105"/>
      <c r="MFG136" s="105"/>
      <c r="MFH136" s="105"/>
      <c r="MFI136" s="105"/>
      <c r="MFJ136" s="105"/>
      <c r="MFK136" s="105"/>
      <c r="MFL136" s="105"/>
      <c r="MFM136" s="105"/>
      <c r="MFN136" s="105"/>
      <c r="MFO136" s="105"/>
      <c r="MFP136" s="105"/>
      <c r="MFQ136" s="105"/>
      <c r="MFR136" s="105"/>
      <c r="MFS136" s="105"/>
      <c r="MFT136" s="105"/>
      <c r="MFU136" s="105"/>
      <c r="MFV136" s="105"/>
      <c r="MFW136" s="105"/>
      <c r="MFX136" s="105"/>
      <c r="MFY136" s="105"/>
      <c r="MFZ136" s="105"/>
      <c r="MGA136" s="105"/>
      <c r="MGB136" s="105"/>
      <c r="MGC136" s="105"/>
      <c r="MGD136" s="105"/>
      <c r="MGE136" s="105"/>
      <c r="MGF136" s="105"/>
      <c r="MGG136" s="105"/>
      <c r="MGH136" s="105"/>
      <c r="MGI136" s="105"/>
      <c r="MGJ136" s="105"/>
      <c r="MGK136" s="105"/>
      <c r="MGL136" s="105"/>
      <c r="MGM136" s="105"/>
      <c r="MGN136" s="105"/>
      <c r="MGO136" s="105"/>
      <c r="MGP136" s="105"/>
      <c r="MGQ136" s="105"/>
      <c r="MGR136" s="105"/>
      <c r="MGS136" s="105"/>
      <c r="MGT136" s="105"/>
      <c r="MGU136" s="105"/>
      <c r="MGV136" s="105"/>
      <c r="MGW136" s="105"/>
      <c r="MGX136" s="105"/>
      <c r="MGY136" s="105"/>
      <c r="MGZ136" s="105"/>
      <c r="MHA136" s="105"/>
      <c r="MHB136" s="105"/>
      <c r="MHC136" s="105"/>
      <c r="MHD136" s="105"/>
      <c r="MHE136" s="105"/>
      <c r="MHF136" s="105"/>
      <c r="MHG136" s="105"/>
      <c r="MHH136" s="105"/>
      <c r="MHI136" s="105"/>
      <c r="MHJ136" s="105"/>
      <c r="MHK136" s="105"/>
      <c r="MHL136" s="105"/>
      <c r="MHM136" s="105"/>
      <c r="MHN136" s="105"/>
      <c r="MHO136" s="105"/>
      <c r="MHP136" s="105"/>
      <c r="MHQ136" s="105"/>
      <c r="MHR136" s="105"/>
      <c r="MHS136" s="105"/>
      <c r="MHT136" s="105"/>
      <c r="MHU136" s="105"/>
      <c r="MHV136" s="105"/>
      <c r="MHW136" s="105"/>
      <c r="MHX136" s="105"/>
      <c r="MHY136" s="105"/>
      <c r="MHZ136" s="105"/>
      <c r="MIA136" s="105"/>
      <c r="MIB136" s="105"/>
      <c r="MIC136" s="105"/>
      <c r="MID136" s="105"/>
      <c r="MIE136" s="105"/>
      <c r="MIF136" s="105"/>
      <c r="MIG136" s="105"/>
      <c r="MIH136" s="105"/>
      <c r="MII136" s="105"/>
      <c r="MIJ136" s="105"/>
      <c r="MIK136" s="105"/>
      <c r="MIL136" s="105"/>
      <c r="MIM136" s="105"/>
      <c r="MIN136" s="105"/>
      <c r="MIO136" s="105"/>
      <c r="MIP136" s="105"/>
      <c r="MIQ136" s="105"/>
      <c r="MIR136" s="105"/>
      <c r="MIS136" s="105"/>
      <c r="MIT136" s="105"/>
      <c r="MIU136" s="105"/>
      <c r="MIV136" s="105"/>
      <c r="MIW136" s="105"/>
      <c r="MIX136" s="105"/>
      <c r="MIY136" s="105"/>
      <c r="MIZ136" s="105"/>
      <c r="MJA136" s="105"/>
      <c r="MJB136" s="105"/>
      <c r="MJC136" s="105"/>
      <c r="MJD136" s="105"/>
      <c r="MJE136" s="105"/>
      <c r="MJF136" s="105"/>
      <c r="MJG136" s="105"/>
      <c r="MJH136" s="105"/>
      <c r="MJI136" s="105"/>
      <c r="MJJ136" s="105"/>
      <c r="MJK136" s="105"/>
      <c r="MJL136" s="105"/>
      <c r="MJM136" s="105"/>
      <c r="MJN136" s="105"/>
      <c r="MJO136" s="105"/>
      <c r="MJP136" s="105"/>
      <c r="MJQ136" s="105"/>
      <c r="MJR136" s="105"/>
      <c r="MJS136" s="105"/>
      <c r="MJT136" s="105"/>
      <c r="MJU136" s="105"/>
      <c r="MJV136" s="105"/>
      <c r="MJW136" s="105"/>
      <c r="MJX136" s="105"/>
      <c r="MJY136" s="105"/>
      <c r="MJZ136" s="105"/>
      <c r="MKA136" s="105"/>
      <c r="MKB136" s="105"/>
      <c r="MKC136" s="105"/>
      <c r="MKD136" s="105"/>
      <c r="MKE136" s="105"/>
      <c r="MKF136" s="105"/>
      <c r="MKG136" s="105"/>
      <c r="MKH136" s="105"/>
      <c r="MKI136" s="105"/>
      <c r="MKJ136" s="105"/>
      <c r="MKK136" s="105"/>
      <c r="MKL136" s="105"/>
      <c r="MKM136" s="105"/>
      <c r="MKN136" s="105"/>
      <c r="MKO136" s="105"/>
      <c r="MKP136" s="105"/>
      <c r="MKQ136" s="105"/>
      <c r="MKR136" s="105"/>
      <c r="MKS136" s="105"/>
      <c r="MKT136" s="105"/>
      <c r="MKU136" s="105"/>
      <c r="MKV136" s="105"/>
      <c r="MKW136" s="105"/>
      <c r="MKX136" s="105"/>
      <c r="MKY136" s="105"/>
      <c r="MKZ136" s="105"/>
      <c r="MLA136" s="105"/>
      <c r="MLB136" s="105"/>
      <c r="MLC136" s="105"/>
      <c r="MLD136" s="105"/>
      <c r="MLE136" s="105"/>
      <c r="MLF136" s="105"/>
      <c r="MLG136" s="105"/>
      <c r="MLH136" s="105"/>
      <c r="MLI136" s="105"/>
      <c r="MLJ136" s="105"/>
      <c r="MLK136" s="105"/>
      <c r="MLL136" s="105"/>
      <c r="MLM136" s="105"/>
      <c r="MLN136" s="105"/>
      <c r="MLO136" s="105"/>
      <c r="MLP136" s="105"/>
      <c r="MLQ136" s="105"/>
      <c r="MLR136" s="105"/>
      <c r="MLS136" s="105"/>
      <c r="MLT136" s="105"/>
      <c r="MLU136" s="105"/>
      <c r="MLV136" s="105"/>
      <c r="MLW136" s="105"/>
      <c r="MLX136" s="105"/>
      <c r="MLY136" s="105"/>
      <c r="MLZ136" s="105"/>
      <c r="MMA136" s="105"/>
      <c r="MMB136" s="105"/>
      <c r="MMC136" s="105"/>
      <c r="MMD136" s="105"/>
      <c r="MME136" s="105"/>
      <c r="MMF136" s="105"/>
      <c r="MMG136" s="105"/>
      <c r="MMH136" s="105"/>
      <c r="MMI136" s="105"/>
      <c r="MMJ136" s="105"/>
      <c r="MMK136" s="105"/>
      <c r="MML136" s="105"/>
      <c r="MMM136" s="105"/>
      <c r="MMN136" s="105"/>
      <c r="MMO136" s="105"/>
      <c r="MMP136" s="105"/>
      <c r="MMQ136" s="105"/>
      <c r="MMR136" s="105"/>
      <c r="MMS136" s="105"/>
      <c r="MMT136" s="105"/>
      <c r="MMU136" s="105"/>
      <c r="MMV136" s="105"/>
      <c r="MMW136" s="105"/>
      <c r="MMX136" s="105"/>
      <c r="MMY136" s="105"/>
      <c r="MMZ136" s="105"/>
      <c r="MNA136" s="105"/>
      <c r="MNB136" s="105"/>
      <c r="MNC136" s="105"/>
      <c r="MND136" s="105"/>
      <c r="MNE136" s="105"/>
      <c r="MNF136" s="105"/>
      <c r="MNG136" s="105"/>
      <c r="MNH136" s="105"/>
      <c r="MNI136" s="105"/>
      <c r="MNJ136" s="105"/>
      <c r="MNK136" s="105"/>
      <c r="MNL136" s="105"/>
      <c r="MNM136" s="105"/>
      <c r="MNN136" s="105"/>
      <c r="MNO136" s="105"/>
      <c r="MNP136" s="105"/>
      <c r="MNQ136" s="105"/>
      <c r="MNR136" s="105"/>
      <c r="MNS136" s="105"/>
      <c r="MNT136" s="105"/>
      <c r="MNU136" s="105"/>
      <c r="MNV136" s="105"/>
      <c r="MNW136" s="105"/>
      <c r="MNX136" s="105"/>
      <c r="MNY136" s="105"/>
      <c r="MNZ136" s="105"/>
      <c r="MOA136" s="105"/>
      <c r="MOB136" s="105"/>
      <c r="MOC136" s="105"/>
      <c r="MOD136" s="105"/>
      <c r="MOE136" s="105"/>
      <c r="MOF136" s="105"/>
      <c r="MOG136" s="105"/>
      <c r="MOH136" s="105"/>
      <c r="MOI136" s="105"/>
      <c r="MOJ136" s="105"/>
      <c r="MOK136" s="105"/>
      <c r="MOL136" s="105"/>
      <c r="MOM136" s="105"/>
      <c r="MON136" s="105"/>
      <c r="MOO136" s="105"/>
      <c r="MOP136" s="105"/>
      <c r="MOQ136" s="105"/>
      <c r="MOR136" s="105"/>
      <c r="MOS136" s="105"/>
      <c r="MOT136" s="105"/>
      <c r="MOU136" s="105"/>
      <c r="MOV136" s="105"/>
      <c r="MOW136" s="105"/>
      <c r="MOX136" s="105"/>
      <c r="MOY136" s="105"/>
      <c r="MOZ136" s="105"/>
      <c r="MPA136" s="105"/>
      <c r="MPB136" s="105"/>
      <c r="MPC136" s="105"/>
      <c r="MPD136" s="105"/>
      <c r="MPE136" s="105"/>
      <c r="MPF136" s="105"/>
      <c r="MPG136" s="105"/>
      <c r="MPH136" s="105"/>
      <c r="MPI136" s="105"/>
      <c r="MPJ136" s="105"/>
      <c r="MPK136" s="105"/>
      <c r="MPL136" s="105"/>
      <c r="MPM136" s="105"/>
      <c r="MPN136" s="105"/>
      <c r="MPO136" s="105"/>
      <c r="MPP136" s="105"/>
      <c r="MPQ136" s="105"/>
      <c r="MPR136" s="105"/>
      <c r="MPS136" s="105"/>
      <c r="MPT136" s="105"/>
      <c r="MPU136" s="105"/>
      <c r="MPV136" s="105"/>
      <c r="MPW136" s="105"/>
      <c r="MPX136" s="105"/>
      <c r="MPY136" s="105"/>
      <c r="MPZ136" s="105"/>
      <c r="MQA136" s="105"/>
      <c r="MQB136" s="105"/>
      <c r="MQC136" s="105"/>
      <c r="MQD136" s="105"/>
      <c r="MQE136" s="105"/>
      <c r="MQF136" s="105"/>
      <c r="MQG136" s="105"/>
      <c r="MQH136" s="105"/>
      <c r="MQI136" s="105"/>
      <c r="MQJ136" s="105"/>
      <c r="MQK136" s="105"/>
      <c r="MQL136" s="105"/>
      <c r="MQM136" s="105"/>
      <c r="MQN136" s="105"/>
      <c r="MQO136" s="105"/>
      <c r="MQP136" s="105"/>
      <c r="MQQ136" s="105"/>
      <c r="MQR136" s="105"/>
      <c r="MQS136" s="105"/>
      <c r="MQT136" s="105"/>
      <c r="MQU136" s="105"/>
      <c r="MQV136" s="105"/>
      <c r="MQW136" s="105"/>
      <c r="MQX136" s="105"/>
      <c r="MQY136" s="105"/>
      <c r="MQZ136" s="105"/>
      <c r="MRA136" s="105"/>
      <c r="MRB136" s="105"/>
      <c r="MRC136" s="105"/>
      <c r="MRD136" s="105"/>
      <c r="MRE136" s="105"/>
      <c r="MRF136" s="105"/>
      <c r="MRG136" s="105"/>
      <c r="MRH136" s="105"/>
      <c r="MRI136" s="105"/>
      <c r="MRJ136" s="105"/>
      <c r="MRK136" s="105"/>
      <c r="MRL136" s="105"/>
      <c r="MRM136" s="105"/>
      <c r="MRN136" s="105"/>
      <c r="MRO136" s="105"/>
      <c r="MRP136" s="105"/>
      <c r="MRQ136" s="105"/>
      <c r="MRR136" s="105"/>
      <c r="MRS136" s="105"/>
      <c r="MRT136" s="105"/>
      <c r="MRU136" s="105"/>
      <c r="MRV136" s="105"/>
      <c r="MRW136" s="105"/>
      <c r="MRX136" s="105"/>
      <c r="MRY136" s="105"/>
      <c r="MRZ136" s="105"/>
      <c r="MSA136" s="105"/>
      <c r="MSB136" s="105"/>
      <c r="MSC136" s="105"/>
      <c r="MSD136" s="105"/>
      <c r="MSE136" s="105"/>
      <c r="MSF136" s="105"/>
      <c r="MSG136" s="105"/>
      <c r="MSH136" s="105"/>
      <c r="MSI136" s="105"/>
      <c r="MSJ136" s="105"/>
      <c r="MSK136" s="105"/>
      <c r="MSL136" s="105"/>
      <c r="MSM136" s="105"/>
      <c r="MSN136" s="105"/>
      <c r="MSO136" s="105"/>
      <c r="MSP136" s="105"/>
      <c r="MSQ136" s="105"/>
      <c r="MSR136" s="105"/>
      <c r="MSS136" s="105"/>
      <c r="MST136" s="105"/>
      <c r="MSU136" s="105"/>
      <c r="MSV136" s="105"/>
      <c r="MSW136" s="105"/>
      <c r="MSX136" s="105"/>
      <c r="MSY136" s="105"/>
      <c r="MSZ136" s="105"/>
      <c r="MTA136" s="105"/>
      <c r="MTB136" s="105"/>
      <c r="MTC136" s="105"/>
      <c r="MTD136" s="105"/>
      <c r="MTE136" s="105"/>
      <c r="MTF136" s="105"/>
      <c r="MTG136" s="105"/>
      <c r="MTH136" s="105"/>
      <c r="MTI136" s="105"/>
      <c r="MTJ136" s="105"/>
      <c r="MTK136" s="105"/>
      <c r="MTL136" s="105"/>
      <c r="MTM136" s="105"/>
      <c r="MTN136" s="105"/>
      <c r="MTO136" s="105"/>
      <c r="MTP136" s="105"/>
      <c r="MTQ136" s="105"/>
      <c r="MTR136" s="105"/>
      <c r="MTS136" s="105"/>
      <c r="MTT136" s="105"/>
      <c r="MTU136" s="105"/>
      <c r="MTV136" s="105"/>
      <c r="MTW136" s="105"/>
      <c r="MTX136" s="105"/>
      <c r="MTY136" s="105"/>
      <c r="MTZ136" s="105"/>
      <c r="MUA136" s="105"/>
      <c r="MUB136" s="105"/>
      <c r="MUC136" s="105"/>
      <c r="MUD136" s="105"/>
      <c r="MUE136" s="105"/>
      <c r="MUF136" s="105"/>
      <c r="MUG136" s="105"/>
      <c r="MUH136" s="105"/>
      <c r="MUI136" s="105"/>
      <c r="MUJ136" s="105"/>
      <c r="MUK136" s="105"/>
      <c r="MUL136" s="105"/>
      <c r="MUM136" s="105"/>
      <c r="MUN136" s="105"/>
      <c r="MUO136" s="105"/>
      <c r="MUP136" s="105"/>
      <c r="MUQ136" s="105"/>
      <c r="MUR136" s="105"/>
      <c r="MUS136" s="105"/>
      <c r="MUT136" s="105"/>
      <c r="MUU136" s="105"/>
      <c r="MUV136" s="105"/>
      <c r="MUW136" s="105"/>
      <c r="MUX136" s="105"/>
      <c r="MUY136" s="105"/>
      <c r="MUZ136" s="105"/>
      <c r="MVA136" s="105"/>
      <c r="MVB136" s="105"/>
      <c r="MVC136" s="105"/>
      <c r="MVD136" s="105"/>
      <c r="MVE136" s="105"/>
      <c r="MVF136" s="105"/>
      <c r="MVG136" s="105"/>
      <c r="MVH136" s="105"/>
      <c r="MVI136" s="105"/>
      <c r="MVJ136" s="105"/>
      <c r="MVK136" s="105"/>
      <c r="MVL136" s="105"/>
      <c r="MVM136" s="105"/>
      <c r="MVN136" s="105"/>
      <c r="MVO136" s="105"/>
      <c r="MVP136" s="105"/>
      <c r="MVQ136" s="105"/>
      <c r="MVR136" s="105"/>
      <c r="MVS136" s="105"/>
      <c r="MVT136" s="105"/>
      <c r="MVU136" s="105"/>
      <c r="MVV136" s="105"/>
      <c r="MVW136" s="105"/>
      <c r="MVX136" s="105"/>
      <c r="MVY136" s="105"/>
      <c r="MVZ136" s="105"/>
      <c r="MWA136" s="105"/>
      <c r="MWB136" s="105"/>
      <c r="MWC136" s="105"/>
      <c r="MWD136" s="105"/>
      <c r="MWE136" s="105"/>
      <c r="MWF136" s="105"/>
      <c r="MWG136" s="105"/>
      <c r="MWH136" s="105"/>
      <c r="MWI136" s="105"/>
      <c r="MWJ136" s="105"/>
      <c r="MWK136" s="105"/>
      <c r="MWL136" s="105"/>
      <c r="MWM136" s="105"/>
      <c r="MWN136" s="105"/>
      <c r="MWO136" s="105"/>
      <c r="MWP136" s="105"/>
      <c r="MWQ136" s="105"/>
      <c r="MWR136" s="105"/>
      <c r="MWS136" s="105"/>
      <c r="MWT136" s="105"/>
      <c r="MWU136" s="105"/>
      <c r="MWV136" s="105"/>
      <c r="MWW136" s="105"/>
      <c r="MWX136" s="105"/>
      <c r="MWY136" s="105"/>
      <c r="MWZ136" s="105"/>
      <c r="MXA136" s="105"/>
      <c r="MXB136" s="105"/>
      <c r="MXC136" s="105"/>
      <c r="MXD136" s="105"/>
      <c r="MXE136" s="105"/>
      <c r="MXF136" s="105"/>
      <c r="MXG136" s="105"/>
      <c r="MXH136" s="105"/>
      <c r="MXI136" s="105"/>
      <c r="MXJ136" s="105"/>
      <c r="MXK136" s="105"/>
      <c r="MXL136" s="105"/>
      <c r="MXM136" s="105"/>
      <c r="MXN136" s="105"/>
      <c r="MXO136" s="105"/>
      <c r="MXP136" s="105"/>
      <c r="MXQ136" s="105"/>
      <c r="MXR136" s="105"/>
      <c r="MXS136" s="105"/>
      <c r="MXT136" s="105"/>
      <c r="MXU136" s="105"/>
      <c r="MXV136" s="105"/>
      <c r="MXW136" s="105"/>
      <c r="MXX136" s="105"/>
      <c r="MXY136" s="105"/>
      <c r="MXZ136" s="105"/>
      <c r="MYA136" s="105"/>
      <c r="MYB136" s="105"/>
      <c r="MYC136" s="105"/>
      <c r="MYD136" s="105"/>
      <c r="MYE136" s="105"/>
      <c r="MYF136" s="105"/>
      <c r="MYG136" s="105"/>
      <c r="MYH136" s="105"/>
      <c r="MYI136" s="105"/>
      <c r="MYJ136" s="105"/>
      <c r="MYK136" s="105"/>
      <c r="MYL136" s="105"/>
      <c r="MYM136" s="105"/>
      <c r="MYN136" s="105"/>
      <c r="MYO136" s="105"/>
      <c r="MYP136" s="105"/>
      <c r="MYQ136" s="105"/>
      <c r="MYR136" s="105"/>
      <c r="MYS136" s="105"/>
      <c r="MYT136" s="105"/>
      <c r="MYU136" s="105"/>
      <c r="MYV136" s="105"/>
      <c r="MYW136" s="105"/>
      <c r="MYX136" s="105"/>
      <c r="MYY136" s="105"/>
      <c r="MYZ136" s="105"/>
      <c r="MZA136" s="105"/>
      <c r="MZB136" s="105"/>
      <c r="MZC136" s="105"/>
      <c r="MZD136" s="105"/>
      <c r="MZE136" s="105"/>
      <c r="MZF136" s="105"/>
      <c r="MZG136" s="105"/>
      <c r="MZH136" s="105"/>
      <c r="MZI136" s="105"/>
      <c r="MZJ136" s="105"/>
      <c r="MZK136" s="105"/>
      <c r="MZL136" s="105"/>
      <c r="MZM136" s="105"/>
      <c r="MZN136" s="105"/>
      <c r="MZO136" s="105"/>
      <c r="MZP136" s="105"/>
      <c r="MZQ136" s="105"/>
      <c r="MZR136" s="105"/>
      <c r="MZS136" s="105"/>
      <c r="MZT136" s="105"/>
      <c r="MZU136" s="105"/>
      <c r="MZV136" s="105"/>
      <c r="MZW136" s="105"/>
      <c r="MZX136" s="105"/>
      <c r="MZY136" s="105"/>
      <c r="MZZ136" s="105"/>
      <c r="NAA136" s="105"/>
      <c r="NAB136" s="105"/>
      <c r="NAC136" s="105"/>
      <c r="NAD136" s="105"/>
      <c r="NAE136" s="105"/>
      <c r="NAF136" s="105"/>
      <c r="NAG136" s="105"/>
      <c r="NAH136" s="105"/>
      <c r="NAI136" s="105"/>
      <c r="NAJ136" s="105"/>
      <c r="NAK136" s="105"/>
      <c r="NAL136" s="105"/>
      <c r="NAM136" s="105"/>
      <c r="NAN136" s="105"/>
      <c r="NAO136" s="105"/>
      <c r="NAP136" s="105"/>
      <c r="NAQ136" s="105"/>
      <c r="NAR136" s="105"/>
      <c r="NAS136" s="105"/>
      <c r="NAT136" s="105"/>
      <c r="NAU136" s="105"/>
      <c r="NAV136" s="105"/>
      <c r="NAW136" s="105"/>
      <c r="NAX136" s="105"/>
      <c r="NAY136" s="105"/>
      <c r="NAZ136" s="105"/>
      <c r="NBA136" s="105"/>
      <c r="NBB136" s="105"/>
      <c r="NBC136" s="105"/>
      <c r="NBD136" s="105"/>
      <c r="NBE136" s="105"/>
      <c r="NBF136" s="105"/>
      <c r="NBG136" s="105"/>
      <c r="NBH136" s="105"/>
      <c r="NBI136" s="105"/>
      <c r="NBJ136" s="105"/>
      <c r="NBK136" s="105"/>
      <c r="NBL136" s="105"/>
      <c r="NBM136" s="105"/>
      <c r="NBN136" s="105"/>
      <c r="NBO136" s="105"/>
      <c r="NBP136" s="105"/>
      <c r="NBQ136" s="105"/>
      <c r="NBR136" s="105"/>
      <c r="NBS136" s="105"/>
      <c r="NBT136" s="105"/>
      <c r="NBU136" s="105"/>
      <c r="NBV136" s="105"/>
      <c r="NBW136" s="105"/>
      <c r="NBX136" s="105"/>
      <c r="NBY136" s="105"/>
      <c r="NBZ136" s="105"/>
      <c r="NCA136" s="105"/>
      <c r="NCB136" s="105"/>
      <c r="NCC136" s="105"/>
      <c r="NCD136" s="105"/>
      <c r="NCE136" s="105"/>
      <c r="NCF136" s="105"/>
      <c r="NCG136" s="105"/>
      <c r="NCH136" s="105"/>
      <c r="NCI136" s="105"/>
      <c r="NCJ136" s="105"/>
      <c r="NCK136" s="105"/>
      <c r="NCL136" s="105"/>
      <c r="NCM136" s="105"/>
      <c r="NCN136" s="105"/>
      <c r="NCO136" s="105"/>
      <c r="NCP136" s="105"/>
      <c r="NCQ136" s="105"/>
      <c r="NCR136" s="105"/>
      <c r="NCS136" s="105"/>
      <c r="NCT136" s="105"/>
      <c r="NCU136" s="105"/>
      <c r="NCV136" s="105"/>
      <c r="NCW136" s="105"/>
      <c r="NCX136" s="105"/>
      <c r="NCY136" s="105"/>
      <c r="NCZ136" s="105"/>
      <c r="NDA136" s="105"/>
      <c r="NDB136" s="105"/>
      <c r="NDC136" s="105"/>
      <c r="NDD136" s="105"/>
      <c r="NDE136" s="105"/>
      <c r="NDF136" s="105"/>
      <c r="NDG136" s="105"/>
      <c r="NDH136" s="105"/>
      <c r="NDI136" s="105"/>
      <c r="NDJ136" s="105"/>
      <c r="NDK136" s="105"/>
      <c r="NDL136" s="105"/>
      <c r="NDM136" s="105"/>
      <c r="NDN136" s="105"/>
      <c r="NDO136" s="105"/>
      <c r="NDP136" s="105"/>
      <c r="NDQ136" s="105"/>
      <c r="NDR136" s="105"/>
      <c r="NDS136" s="105"/>
      <c r="NDT136" s="105"/>
      <c r="NDU136" s="105"/>
      <c r="NDV136" s="105"/>
      <c r="NDW136" s="105"/>
      <c r="NDX136" s="105"/>
      <c r="NDY136" s="105"/>
      <c r="NDZ136" s="105"/>
      <c r="NEA136" s="105"/>
      <c r="NEB136" s="105"/>
      <c r="NEC136" s="105"/>
      <c r="NED136" s="105"/>
      <c r="NEE136" s="105"/>
      <c r="NEF136" s="105"/>
      <c r="NEG136" s="105"/>
      <c r="NEH136" s="105"/>
      <c r="NEI136" s="105"/>
      <c r="NEJ136" s="105"/>
      <c r="NEK136" s="105"/>
      <c r="NEL136" s="105"/>
      <c r="NEM136" s="105"/>
      <c r="NEN136" s="105"/>
      <c r="NEO136" s="105"/>
      <c r="NEP136" s="105"/>
      <c r="NEQ136" s="105"/>
      <c r="NER136" s="105"/>
      <c r="NES136" s="105"/>
      <c r="NET136" s="105"/>
      <c r="NEU136" s="105"/>
      <c r="NEV136" s="105"/>
      <c r="NEW136" s="105"/>
      <c r="NEX136" s="105"/>
      <c r="NEY136" s="105"/>
      <c r="NEZ136" s="105"/>
      <c r="NFA136" s="105"/>
      <c r="NFB136" s="105"/>
      <c r="NFC136" s="105"/>
      <c r="NFD136" s="105"/>
      <c r="NFE136" s="105"/>
      <c r="NFF136" s="105"/>
      <c r="NFG136" s="105"/>
      <c r="NFH136" s="105"/>
      <c r="NFI136" s="105"/>
      <c r="NFJ136" s="105"/>
      <c r="NFK136" s="105"/>
      <c r="NFL136" s="105"/>
      <c r="NFM136" s="105"/>
      <c r="NFN136" s="105"/>
      <c r="NFO136" s="105"/>
      <c r="NFP136" s="105"/>
      <c r="NFQ136" s="105"/>
      <c r="NFR136" s="105"/>
      <c r="NFS136" s="105"/>
      <c r="NFT136" s="105"/>
      <c r="NFU136" s="105"/>
      <c r="NFV136" s="105"/>
      <c r="NFW136" s="105"/>
      <c r="NFX136" s="105"/>
      <c r="NFY136" s="105"/>
      <c r="NFZ136" s="105"/>
      <c r="NGA136" s="105"/>
      <c r="NGB136" s="105"/>
      <c r="NGC136" s="105"/>
      <c r="NGD136" s="105"/>
      <c r="NGE136" s="105"/>
      <c r="NGF136" s="105"/>
      <c r="NGG136" s="105"/>
      <c r="NGH136" s="105"/>
      <c r="NGI136" s="105"/>
      <c r="NGJ136" s="105"/>
      <c r="NGK136" s="105"/>
      <c r="NGL136" s="105"/>
      <c r="NGM136" s="105"/>
      <c r="NGN136" s="105"/>
      <c r="NGO136" s="105"/>
      <c r="NGP136" s="105"/>
      <c r="NGQ136" s="105"/>
      <c r="NGR136" s="105"/>
      <c r="NGS136" s="105"/>
      <c r="NGT136" s="105"/>
      <c r="NGU136" s="105"/>
      <c r="NGV136" s="105"/>
      <c r="NGW136" s="105"/>
      <c r="NGX136" s="105"/>
      <c r="NGY136" s="105"/>
      <c r="NGZ136" s="105"/>
      <c r="NHA136" s="105"/>
      <c r="NHB136" s="105"/>
      <c r="NHC136" s="105"/>
      <c r="NHD136" s="105"/>
      <c r="NHE136" s="105"/>
      <c r="NHF136" s="105"/>
      <c r="NHG136" s="105"/>
      <c r="NHH136" s="105"/>
      <c r="NHI136" s="105"/>
      <c r="NHJ136" s="105"/>
      <c r="NHK136" s="105"/>
      <c r="NHL136" s="105"/>
      <c r="NHM136" s="105"/>
      <c r="NHN136" s="105"/>
      <c r="NHO136" s="105"/>
      <c r="NHP136" s="105"/>
      <c r="NHQ136" s="105"/>
      <c r="NHR136" s="105"/>
      <c r="NHS136" s="105"/>
      <c r="NHT136" s="105"/>
      <c r="NHU136" s="105"/>
      <c r="NHV136" s="105"/>
      <c r="NHW136" s="105"/>
      <c r="NHX136" s="105"/>
      <c r="NHY136" s="105"/>
      <c r="NHZ136" s="105"/>
      <c r="NIA136" s="105"/>
      <c r="NIB136" s="105"/>
      <c r="NIC136" s="105"/>
      <c r="NID136" s="105"/>
      <c r="NIE136" s="105"/>
      <c r="NIF136" s="105"/>
      <c r="NIG136" s="105"/>
      <c r="NIH136" s="105"/>
      <c r="NII136" s="105"/>
      <c r="NIJ136" s="105"/>
      <c r="NIK136" s="105"/>
      <c r="NIL136" s="105"/>
      <c r="NIM136" s="105"/>
      <c r="NIN136" s="105"/>
      <c r="NIO136" s="105"/>
      <c r="NIP136" s="105"/>
      <c r="NIQ136" s="105"/>
      <c r="NIR136" s="105"/>
      <c r="NIS136" s="105"/>
      <c r="NIT136" s="105"/>
      <c r="NIU136" s="105"/>
      <c r="NIV136" s="105"/>
      <c r="NIW136" s="105"/>
      <c r="NIX136" s="105"/>
      <c r="NIY136" s="105"/>
      <c r="NIZ136" s="105"/>
      <c r="NJA136" s="105"/>
      <c r="NJB136" s="105"/>
      <c r="NJC136" s="105"/>
      <c r="NJD136" s="105"/>
      <c r="NJE136" s="105"/>
      <c r="NJF136" s="105"/>
      <c r="NJG136" s="105"/>
      <c r="NJH136" s="105"/>
      <c r="NJI136" s="105"/>
      <c r="NJJ136" s="105"/>
      <c r="NJK136" s="105"/>
      <c r="NJL136" s="105"/>
      <c r="NJM136" s="105"/>
      <c r="NJN136" s="105"/>
      <c r="NJO136" s="105"/>
      <c r="NJP136" s="105"/>
      <c r="NJQ136" s="105"/>
      <c r="NJR136" s="105"/>
      <c r="NJS136" s="105"/>
      <c r="NJT136" s="105"/>
      <c r="NJU136" s="105"/>
      <c r="NJV136" s="105"/>
      <c r="NJW136" s="105"/>
      <c r="NJX136" s="105"/>
      <c r="NJY136" s="105"/>
      <c r="NJZ136" s="105"/>
      <c r="NKA136" s="105"/>
      <c r="NKB136" s="105"/>
      <c r="NKC136" s="105"/>
      <c r="NKD136" s="105"/>
      <c r="NKE136" s="105"/>
      <c r="NKF136" s="105"/>
      <c r="NKG136" s="105"/>
      <c r="NKH136" s="105"/>
      <c r="NKI136" s="105"/>
      <c r="NKJ136" s="105"/>
      <c r="NKK136" s="105"/>
      <c r="NKL136" s="105"/>
      <c r="NKM136" s="105"/>
      <c r="NKN136" s="105"/>
      <c r="NKO136" s="105"/>
      <c r="NKP136" s="105"/>
      <c r="NKQ136" s="105"/>
      <c r="NKR136" s="105"/>
      <c r="NKS136" s="105"/>
      <c r="NKT136" s="105"/>
      <c r="NKU136" s="105"/>
      <c r="NKV136" s="105"/>
      <c r="NKW136" s="105"/>
      <c r="NKX136" s="105"/>
      <c r="NKY136" s="105"/>
      <c r="NKZ136" s="105"/>
      <c r="NLA136" s="105"/>
      <c r="NLB136" s="105"/>
      <c r="NLC136" s="105"/>
      <c r="NLD136" s="105"/>
      <c r="NLE136" s="105"/>
      <c r="NLF136" s="105"/>
      <c r="NLG136" s="105"/>
      <c r="NLH136" s="105"/>
      <c r="NLI136" s="105"/>
      <c r="NLJ136" s="105"/>
      <c r="NLK136" s="105"/>
      <c r="NLL136" s="105"/>
      <c r="NLM136" s="105"/>
      <c r="NLN136" s="105"/>
      <c r="NLO136" s="105"/>
      <c r="NLP136" s="105"/>
      <c r="NLQ136" s="105"/>
      <c r="NLR136" s="105"/>
      <c r="NLS136" s="105"/>
      <c r="NLT136" s="105"/>
      <c r="NLU136" s="105"/>
      <c r="NLV136" s="105"/>
      <c r="NLW136" s="105"/>
      <c r="NLX136" s="105"/>
      <c r="NLY136" s="105"/>
      <c r="NLZ136" s="105"/>
      <c r="NMA136" s="105"/>
      <c r="NMB136" s="105"/>
      <c r="NMC136" s="105"/>
      <c r="NMD136" s="105"/>
      <c r="NME136" s="105"/>
      <c r="NMF136" s="105"/>
      <c r="NMG136" s="105"/>
      <c r="NMH136" s="105"/>
      <c r="NMI136" s="105"/>
      <c r="NMJ136" s="105"/>
      <c r="NMK136" s="105"/>
      <c r="NML136" s="105"/>
      <c r="NMM136" s="105"/>
      <c r="NMN136" s="105"/>
      <c r="NMO136" s="105"/>
      <c r="NMP136" s="105"/>
      <c r="NMQ136" s="105"/>
      <c r="NMR136" s="105"/>
      <c r="NMS136" s="105"/>
      <c r="NMT136" s="105"/>
      <c r="NMU136" s="105"/>
      <c r="NMV136" s="105"/>
      <c r="NMW136" s="105"/>
      <c r="NMX136" s="105"/>
      <c r="NMY136" s="105"/>
      <c r="NMZ136" s="105"/>
      <c r="NNA136" s="105"/>
      <c r="NNB136" s="105"/>
      <c r="NNC136" s="105"/>
      <c r="NND136" s="105"/>
      <c r="NNE136" s="105"/>
      <c r="NNF136" s="105"/>
      <c r="NNG136" s="105"/>
      <c r="NNH136" s="105"/>
      <c r="NNI136" s="105"/>
      <c r="NNJ136" s="105"/>
      <c r="NNK136" s="105"/>
      <c r="NNL136" s="105"/>
      <c r="NNM136" s="105"/>
      <c r="NNN136" s="105"/>
      <c r="NNO136" s="105"/>
      <c r="NNP136" s="105"/>
      <c r="NNQ136" s="105"/>
      <c r="NNR136" s="105"/>
      <c r="NNS136" s="105"/>
      <c r="NNT136" s="105"/>
      <c r="NNU136" s="105"/>
      <c r="NNV136" s="105"/>
      <c r="NNW136" s="105"/>
      <c r="NNX136" s="105"/>
      <c r="NNY136" s="105"/>
      <c r="NNZ136" s="105"/>
      <c r="NOA136" s="105"/>
      <c r="NOB136" s="105"/>
      <c r="NOC136" s="105"/>
      <c r="NOD136" s="105"/>
      <c r="NOE136" s="105"/>
      <c r="NOF136" s="105"/>
      <c r="NOG136" s="105"/>
      <c r="NOH136" s="105"/>
      <c r="NOI136" s="105"/>
      <c r="NOJ136" s="105"/>
      <c r="NOK136" s="105"/>
      <c r="NOL136" s="105"/>
      <c r="NOM136" s="105"/>
      <c r="NON136" s="105"/>
      <c r="NOO136" s="105"/>
      <c r="NOP136" s="105"/>
      <c r="NOQ136" s="105"/>
      <c r="NOR136" s="105"/>
      <c r="NOS136" s="105"/>
      <c r="NOT136" s="105"/>
      <c r="NOU136" s="105"/>
      <c r="NOV136" s="105"/>
      <c r="NOW136" s="105"/>
      <c r="NOX136" s="105"/>
      <c r="NOY136" s="105"/>
      <c r="NOZ136" s="105"/>
      <c r="NPA136" s="105"/>
      <c r="NPB136" s="105"/>
      <c r="NPC136" s="105"/>
      <c r="NPD136" s="105"/>
      <c r="NPE136" s="105"/>
      <c r="NPF136" s="105"/>
      <c r="NPG136" s="105"/>
      <c r="NPH136" s="105"/>
      <c r="NPI136" s="105"/>
      <c r="NPJ136" s="105"/>
      <c r="NPK136" s="105"/>
      <c r="NPL136" s="105"/>
      <c r="NPM136" s="105"/>
      <c r="NPN136" s="105"/>
      <c r="NPO136" s="105"/>
      <c r="NPP136" s="105"/>
      <c r="NPQ136" s="105"/>
      <c r="NPR136" s="105"/>
      <c r="NPS136" s="105"/>
      <c r="NPT136" s="105"/>
      <c r="NPU136" s="105"/>
      <c r="NPV136" s="105"/>
      <c r="NPW136" s="105"/>
      <c r="NPX136" s="105"/>
      <c r="NPY136" s="105"/>
      <c r="NPZ136" s="105"/>
      <c r="NQA136" s="105"/>
      <c r="NQB136" s="105"/>
      <c r="NQC136" s="105"/>
      <c r="NQD136" s="105"/>
      <c r="NQE136" s="105"/>
      <c r="NQF136" s="105"/>
      <c r="NQG136" s="105"/>
      <c r="NQH136" s="105"/>
      <c r="NQI136" s="105"/>
      <c r="NQJ136" s="105"/>
      <c r="NQK136" s="105"/>
      <c r="NQL136" s="105"/>
      <c r="NQM136" s="105"/>
      <c r="NQN136" s="105"/>
      <c r="NQO136" s="105"/>
      <c r="NQP136" s="105"/>
      <c r="NQQ136" s="105"/>
      <c r="NQR136" s="105"/>
      <c r="NQS136" s="105"/>
      <c r="NQT136" s="105"/>
      <c r="NQU136" s="105"/>
      <c r="NQV136" s="105"/>
      <c r="NQW136" s="105"/>
      <c r="NQX136" s="105"/>
      <c r="NQY136" s="105"/>
      <c r="NQZ136" s="105"/>
      <c r="NRA136" s="105"/>
      <c r="NRB136" s="105"/>
      <c r="NRC136" s="105"/>
      <c r="NRD136" s="105"/>
      <c r="NRE136" s="105"/>
      <c r="NRF136" s="105"/>
      <c r="NRG136" s="105"/>
      <c r="NRH136" s="105"/>
      <c r="NRI136" s="105"/>
      <c r="NRJ136" s="105"/>
      <c r="NRK136" s="105"/>
      <c r="NRL136" s="105"/>
      <c r="NRM136" s="105"/>
      <c r="NRN136" s="105"/>
      <c r="NRO136" s="105"/>
      <c r="NRP136" s="105"/>
      <c r="NRQ136" s="105"/>
      <c r="NRR136" s="105"/>
      <c r="NRS136" s="105"/>
      <c r="NRT136" s="105"/>
      <c r="NRU136" s="105"/>
      <c r="NRV136" s="105"/>
      <c r="NRW136" s="105"/>
      <c r="NRX136" s="105"/>
      <c r="NRY136" s="105"/>
      <c r="NRZ136" s="105"/>
      <c r="NSA136" s="105"/>
      <c r="NSB136" s="105"/>
      <c r="NSC136" s="105"/>
      <c r="NSD136" s="105"/>
      <c r="NSE136" s="105"/>
      <c r="NSF136" s="105"/>
      <c r="NSG136" s="105"/>
      <c r="NSH136" s="105"/>
      <c r="NSI136" s="105"/>
      <c r="NSJ136" s="105"/>
      <c r="NSK136" s="105"/>
      <c r="NSL136" s="105"/>
      <c r="NSM136" s="105"/>
      <c r="NSN136" s="105"/>
      <c r="NSO136" s="105"/>
      <c r="NSP136" s="105"/>
      <c r="NSQ136" s="105"/>
      <c r="NSR136" s="105"/>
      <c r="NSS136" s="105"/>
      <c r="NST136" s="105"/>
      <c r="NSU136" s="105"/>
      <c r="NSV136" s="105"/>
      <c r="NSW136" s="105"/>
      <c r="NSX136" s="105"/>
      <c r="NSY136" s="105"/>
      <c r="NSZ136" s="105"/>
      <c r="NTA136" s="105"/>
      <c r="NTB136" s="105"/>
      <c r="NTC136" s="105"/>
      <c r="NTD136" s="105"/>
      <c r="NTE136" s="105"/>
      <c r="NTF136" s="105"/>
      <c r="NTG136" s="105"/>
      <c r="NTH136" s="105"/>
      <c r="NTI136" s="105"/>
      <c r="NTJ136" s="105"/>
      <c r="NTK136" s="105"/>
      <c r="NTL136" s="105"/>
      <c r="NTM136" s="105"/>
      <c r="NTN136" s="105"/>
      <c r="NTO136" s="105"/>
      <c r="NTP136" s="105"/>
      <c r="NTQ136" s="105"/>
      <c r="NTR136" s="105"/>
      <c r="NTS136" s="105"/>
      <c r="NTT136" s="105"/>
      <c r="NTU136" s="105"/>
      <c r="NTV136" s="105"/>
      <c r="NTW136" s="105"/>
      <c r="NTX136" s="105"/>
      <c r="NTY136" s="105"/>
      <c r="NTZ136" s="105"/>
      <c r="NUA136" s="105"/>
      <c r="NUB136" s="105"/>
      <c r="NUC136" s="105"/>
      <c r="NUD136" s="105"/>
      <c r="NUE136" s="105"/>
      <c r="NUF136" s="105"/>
      <c r="NUG136" s="105"/>
      <c r="NUH136" s="105"/>
      <c r="NUI136" s="105"/>
      <c r="NUJ136" s="105"/>
      <c r="NUK136" s="105"/>
      <c r="NUL136" s="105"/>
      <c r="NUM136" s="105"/>
      <c r="NUN136" s="105"/>
      <c r="NUO136" s="105"/>
      <c r="NUP136" s="105"/>
      <c r="NUQ136" s="105"/>
      <c r="NUR136" s="105"/>
      <c r="NUS136" s="105"/>
      <c r="NUT136" s="105"/>
      <c r="NUU136" s="105"/>
      <c r="NUV136" s="105"/>
      <c r="NUW136" s="105"/>
      <c r="NUX136" s="105"/>
      <c r="NUY136" s="105"/>
      <c r="NUZ136" s="105"/>
      <c r="NVA136" s="105"/>
      <c r="NVB136" s="105"/>
      <c r="NVC136" s="105"/>
      <c r="NVD136" s="105"/>
      <c r="NVE136" s="105"/>
      <c r="NVF136" s="105"/>
      <c r="NVG136" s="105"/>
      <c r="NVH136" s="105"/>
      <c r="NVI136" s="105"/>
      <c r="NVJ136" s="105"/>
      <c r="NVK136" s="105"/>
      <c r="NVL136" s="105"/>
      <c r="NVM136" s="105"/>
      <c r="NVN136" s="105"/>
      <c r="NVO136" s="105"/>
      <c r="NVP136" s="105"/>
      <c r="NVQ136" s="105"/>
      <c r="NVR136" s="105"/>
      <c r="NVS136" s="105"/>
      <c r="NVT136" s="105"/>
      <c r="NVU136" s="105"/>
      <c r="NVV136" s="105"/>
      <c r="NVW136" s="105"/>
      <c r="NVX136" s="105"/>
      <c r="NVY136" s="105"/>
      <c r="NVZ136" s="105"/>
      <c r="NWA136" s="105"/>
      <c r="NWB136" s="105"/>
      <c r="NWC136" s="105"/>
      <c r="NWD136" s="105"/>
      <c r="NWE136" s="105"/>
      <c r="NWF136" s="105"/>
      <c r="NWG136" s="105"/>
      <c r="NWH136" s="105"/>
      <c r="NWI136" s="105"/>
      <c r="NWJ136" s="105"/>
      <c r="NWK136" s="105"/>
      <c r="NWL136" s="105"/>
      <c r="NWM136" s="105"/>
      <c r="NWN136" s="105"/>
      <c r="NWO136" s="105"/>
      <c r="NWP136" s="105"/>
      <c r="NWQ136" s="105"/>
      <c r="NWR136" s="105"/>
      <c r="NWS136" s="105"/>
      <c r="NWT136" s="105"/>
      <c r="NWU136" s="105"/>
      <c r="NWV136" s="105"/>
      <c r="NWW136" s="105"/>
      <c r="NWX136" s="105"/>
      <c r="NWY136" s="105"/>
      <c r="NWZ136" s="105"/>
      <c r="NXA136" s="105"/>
      <c r="NXB136" s="105"/>
      <c r="NXC136" s="105"/>
      <c r="NXD136" s="105"/>
      <c r="NXE136" s="105"/>
      <c r="NXF136" s="105"/>
      <c r="NXG136" s="105"/>
      <c r="NXH136" s="105"/>
      <c r="NXI136" s="105"/>
      <c r="NXJ136" s="105"/>
      <c r="NXK136" s="105"/>
      <c r="NXL136" s="105"/>
      <c r="NXM136" s="105"/>
      <c r="NXN136" s="105"/>
      <c r="NXO136" s="105"/>
      <c r="NXP136" s="105"/>
      <c r="NXQ136" s="105"/>
      <c r="NXR136" s="105"/>
      <c r="NXS136" s="105"/>
      <c r="NXT136" s="105"/>
      <c r="NXU136" s="105"/>
      <c r="NXV136" s="105"/>
      <c r="NXW136" s="105"/>
      <c r="NXX136" s="105"/>
      <c r="NXY136" s="105"/>
      <c r="NXZ136" s="105"/>
      <c r="NYA136" s="105"/>
      <c r="NYB136" s="105"/>
      <c r="NYC136" s="105"/>
      <c r="NYD136" s="105"/>
      <c r="NYE136" s="105"/>
      <c r="NYF136" s="105"/>
      <c r="NYG136" s="105"/>
      <c r="NYH136" s="105"/>
      <c r="NYI136" s="105"/>
      <c r="NYJ136" s="105"/>
      <c r="NYK136" s="105"/>
      <c r="NYL136" s="105"/>
      <c r="NYM136" s="105"/>
      <c r="NYN136" s="105"/>
      <c r="NYO136" s="105"/>
      <c r="NYP136" s="105"/>
      <c r="NYQ136" s="105"/>
      <c r="NYR136" s="105"/>
      <c r="NYS136" s="105"/>
      <c r="NYT136" s="105"/>
      <c r="NYU136" s="105"/>
      <c r="NYV136" s="105"/>
      <c r="NYW136" s="105"/>
      <c r="NYX136" s="105"/>
      <c r="NYY136" s="105"/>
      <c r="NYZ136" s="105"/>
      <c r="NZA136" s="105"/>
      <c r="NZB136" s="105"/>
      <c r="NZC136" s="105"/>
      <c r="NZD136" s="105"/>
      <c r="NZE136" s="105"/>
      <c r="NZF136" s="105"/>
      <c r="NZG136" s="105"/>
      <c r="NZH136" s="105"/>
      <c r="NZI136" s="105"/>
      <c r="NZJ136" s="105"/>
      <c r="NZK136" s="105"/>
      <c r="NZL136" s="105"/>
      <c r="NZM136" s="105"/>
      <c r="NZN136" s="105"/>
      <c r="NZO136" s="105"/>
      <c r="NZP136" s="105"/>
      <c r="NZQ136" s="105"/>
      <c r="NZR136" s="105"/>
      <c r="NZS136" s="105"/>
      <c r="NZT136" s="105"/>
      <c r="NZU136" s="105"/>
      <c r="NZV136" s="105"/>
      <c r="NZW136" s="105"/>
      <c r="NZX136" s="105"/>
      <c r="NZY136" s="105"/>
      <c r="NZZ136" s="105"/>
      <c r="OAA136" s="105"/>
      <c r="OAB136" s="105"/>
      <c r="OAC136" s="105"/>
      <c r="OAD136" s="105"/>
      <c r="OAE136" s="105"/>
      <c r="OAF136" s="105"/>
      <c r="OAG136" s="105"/>
      <c r="OAH136" s="105"/>
      <c r="OAI136" s="105"/>
      <c r="OAJ136" s="105"/>
      <c r="OAK136" s="105"/>
      <c r="OAL136" s="105"/>
      <c r="OAM136" s="105"/>
      <c r="OAN136" s="105"/>
      <c r="OAO136" s="105"/>
      <c r="OAP136" s="105"/>
      <c r="OAQ136" s="105"/>
      <c r="OAR136" s="105"/>
      <c r="OAS136" s="105"/>
      <c r="OAT136" s="105"/>
      <c r="OAU136" s="105"/>
      <c r="OAV136" s="105"/>
      <c r="OAW136" s="105"/>
      <c r="OAX136" s="105"/>
      <c r="OAY136" s="105"/>
      <c r="OAZ136" s="105"/>
      <c r="OBA136" s="105"/>
      <c r="OBB136" s="105"/>
      <c r="OBC136" s="105"/>
      <c r="OBD136" s="105"/>
      <c r="OBE136" s="105"/>
      <c r="OBF136" s="105"/>
      <c r="OBG136" s="105"/>
      <c r="OBH136" s="105"/>
      <c r="OBI136" s="105"/>
      <c r="OBJ136" s="105"/>
      <c r="OBK136" s="105"/>
      <c r="OBL136" s="105"/>
      <c r="OBM136" s="105"/>
      <c r="OBN136" s="105"/>
      <c r="OBO136" s="105"/>
      <c r="OBP136" s="105"/>
      <c r="OBQ136" s="105"/>
      <c r="OBR136" s="105"/>
      <c r="OBS136" s="105"/>
      <c r="OBT136" s="105"/>
      <c r="OBU136" s="105"/>
      <c r="OBV136" s="105"/>
      <c r="OBW136" s="105"/>
      <c r="OBX136" s="105"/>
      <c r="OBY136" s="105"/>
      <c r="OBZ136" s="105"/>
      <c r="OCA136" s="105"/>
      <c r="OCB136" s="105"/>
      <c r="OCC136" s="105"/>
      <c r="OCD136" s="105"/>
      <c r="OCE136" s="105"/>
      <c r="OCF136" s="105"/>
      <c r="OCG136" s="105"/>
      <c r="OCH136" s="105"/>
      <c r="OCI136" s="105"/>
      <c r="OCJ136" s="105"/>
      <c r="OCK136" s="105"/>
      <c r="OCL136" s="105"/>
      <c r="OCM136" s="105"/>
      <c r="OCN136" s="105"/>
      <c r="OCO136" s="105"/>
      <c r="OCP136" s="105"/>
      <c r="OCQ136" s="105"/>
      <c r="OCR136" s="105"/>
      <c r="OCS136" s="105"/>
      <c r="OCT136" s="105"/>
      <c r="OCU136" s="105"/>
      <c r="OCV136" s="105"/>
      <c r="OCW136" s="105"/>
      <c r="OCX136" s="105"/>
      <c r="OCY136" s="105"/>
      <c r="OCZ136" s="105"/>
      <c r="ODA136" s="105"/>
      <c r="ODB136" s="105"/>
      <c r="ODC136" s="105"/>
      <c r="ODD136" s="105"/>
      <c r="ODE136" s="105"/>
      <c r="ODF136" s="105"/>
      <c r="ODG136" s="105"/>
      <c r="ODH136" s="105"/>
      <c r="ODI136" s="105"/>
      <c r="ODJ136" s="105"/>
      <c r="ODK136" s="105"/>
      <c r="ODL136" s="105"/>
      <c r="ODM136" s="105"/>
      <c r="ODN136" s="105"/>
      <c r="ODO136" s="105"/>
      <c r="ODP136" s="105"/>
      <c r="ODQ136" s="105"/>
      <c r="ODR136" s="105"/>
      <c r="ODS136" s="105"/>
      <c r="ODT136" s="105"/>
      <c r="ODU136" s="105"/>
      <c r="ODV136" s="105"/>
      <c r="ODW136" s="105"/>
      <c r="ODX136" s="105"/>
      <c r="ODY136" s="105"/>
      <c r="ODZ136" s="105"/>
      <c r="OEA136" s="105"/>
      <c r="OEB136" s="105"/>
      <c r="OEC136" s="105"/>
      <c r="OED136" s="105"/>
      <c r="OEE136" s="105"/>
      <c r="OEF136" s="105"/>
      <c r="OEG136" s="105"/>
      <c r="OEH136" s="105"/>
      <c r="OEI136" s="105"/>
      <c r="OEJ136" s="105"/>
      <c r="OEK136" s="105"/>
      <c r="OEL136" s="105"/>
      <c r="OEM136" s="105"/>
      <c r="OEN136" s="105"/>
      <c r="OEO136" s="105"/>
      <c r="OEP136" s="105"/>
      <c r="OEQ136" s="105"/>
      <c r="OER136" s="105"/>
      <c r="OES136" s="105"/>
      <c r="OET136" s="105"/>
      <c r="OEU136" s="105"/>
      <c r="OEV136" s="105"/>
      <c r="OEW136" s="105"/>
      <c r="OEX136" s="105"/>
      <c r="OEY136" s="105"/>
      <c r="OEZ136" s="105"/>
      <c r="OFA136" s="105"/>
      <c r="OFB136" s="105"/>
      <c r="OFC136" s="105"/>
      <c r="OFD136" s="105"/>
      <c r="OFE136" s="105"/>
      <c r="OFF136" s="105"/>
      <c r="OFG136" s="105"/>
      <c r="OFH136" s="105"/>
      <c r="OFI136" s="105"/>
      <c r="OFJ136" s="105"/>
      <c r="OFK136" s="105"/>
      <c r="OFL136" s="105"/>
      <c r="OFM136" s="105"/>
      <c r="OFN136" s="105"/>
      <c r="OFO136" s="105"/>
      <c r="OFP136" s="105"/>
      <c r="OFQ136" s="105"/>
      <c r="OFR136" s="105"/>
      <c r="OFS136" s="105"/>
      <c r="OFT136" s="105"/>
      <c r="OFU136" s="105"/>
      <c r="OFV136" s="105"/>
      <c r="OFW136" s="105"/>
      <c r="OFX136" s="105"/>
      <c r="OFY136" s="105"/>
      <c r="OFZ136" s="105"/>
      <c r="OGA136" s="105"/>
      <c r="OGB136" s="105"/>
      <c r="OGC136" s="105"/>
      <c r="OGD136" s="105"/>
      <c r="OGE136" s="105"/>
      <c r="OGF136" s="105"/>
      <c r="OGG136" s="105"/>
      <c r="OGH136" s="105"/>
      <c r="OGI136" s="105"/>
      <c r="OGJ136" s="105"/>
      <c r="OGK136" s="105"/>
      <c r="OGL136" s="105"/>
      <c r="OGM136" s="105"/>
      <c r="OGN136" s="105"/>
      <c r="OGO136" s="105"/>
      <c r="OGP136" s="105"/>
      <c r="OGQ136" s="105"/>
      <c r="OGR136" s="105"/>
      <c r="OGS136" s="105"/>
      <c r="OGT136" s="105"/>
      <c r="OGU136" s="105"/>
      <c r="OGV136" s="105"/>
      <c r="OGW136" s="105"/>
      <c r="OGX136" s="105"/>
      <c r="OGY136" s="105"/>
      <c r="OGZ136" s="105"/>
      <c r="OHA136" s="105"/>
      <c r="OHB136" s="105"/>
      <c r="OHC136" s="105"/>
      <c r="OHD136" s="105"/>
      <c r="OHE136" s="105"/>
      <c r="OHF136" s="105"/>
      <c r="OHG136" s="105"/>
      <c r="OHH136" s="105"/>
      <c r="OHI136" s="105"/>
      <c r="OHJ136" s="105"/>
      <c r="OHK136" s="105"/>
      <c r="OHL136" s="105"/>
      <c r="OHM136" s="105"/>
      <c r="OHN136" s="105"/>
      <c r="OHO136" s="105"/>
      <c r="OHP136" s="105"/>
      <c r="OHQ136" s="105"/>
      <c r="OHR136" s="105"/>
      <c r="OHS136" s="105"/>
      <c r="OHT136" s="105"/>
      <c r="OHU136" s="105"/>
      <c r="OHV136" s="105"/>
      <c r="OHW136" s="105"/>
      <c r="OHX136" s="105"/>
      <c r="OHY136" s="105"/>
      <c r="OHZ136" s="105"/>
      <c r="OIA136" s="105"/>
      <c r="OIB136" s="105"/>
      <c r="OIC136" s="105"/>
      <c r="OID136" s="105"/>
      <c r="OIE136" s="105"/>
      <c r="OIF136" s="105"/>
      <c r="OIG136" s="105"/>
      <c r="OIH136" s="105"/>
      <c r="OII136" s="105"/>
      <c r="OIJ136" s="105"/>
      <c r="OIK136" s="105"/>
      <c r="OIL136" s="105"/>
      <c r="OIM136" s="105"/>
      <c r="OIN136" s="105"/>
      <c r="OIO136" s="105"/>
      <c r="OIP136" s="105"/>
      <c r="OIQ136" s="105"/>
      <c r="OIR136" s="105"/>
      <c r="OIS136" s="105"/>
      <c r="OIT136" s="105"/>
      <c r="OIU136" s="105"/>
      <c r="OIV136" s="105"/>
      <c r="OIW136" s="105"/>
      <c r="OIX136" s="105"/>
      <c r="OIY136" s="105"/>
      <c r="OIZ136" s="105"/>
      <c r="OJA136" s="105"/>
      <c r="OJB136" s="105"/>
      <c r="OJC136" s="105"/>
      <c r="OJD136" s="105"/>
      <c r="OJE136" s="105"/>
      <c r="OJF136" s="105"/>
      <c r="OJG136" s="105"/>
      <c r="OJH136" s="105"/>
      <c r="OJI136" s="105"/>
      <c r="OJJ136" s="105"/>
      <c r="OJK136" s="105"/>
      <c r="OJL136" s="105"/>
      <c r="OJM136" s="105"/>
      <c r="OJN136" s="105"/>
      <c r="OJO136" s="105"/>
      <c r="OJP136" s="105"/>
      <c r="OJQ136" s="105"/>
      <c r="OJR136" s="105"/>
      <c r="OJS136" s="105"/>
      <c r="OJT136" s="105"/>
      <c r="OJU136" s="105"/>
      <c r="OJV136" s="105"/>
      <c r="OJW136" s="105"/>
      <c r="OJX136" s="105"/>
      <c r="OJY136" s="105"/>
      <c r="OJZ136" s="105"/>
      <c r="OKA136" s="105"/>
      <c r="OKB136" s="105"/>
      <c r="OKC136" s="105"/>
      <c r="OKD136" s="105"/>
      <c r="OKE136" s="105"/>
      <c r="OKF136" s="105"/>
      <c r="OKG136" s="105"/>
      <c r="OKH136" s="105"/>
      <c r="OKI136" s="105"/>
      <c r="OKJ136" s="105"/>
      <c r="OKK136" s="105"/>
      <c r="OKL136" s="105"/>
      <c r="OKM136" s="105"/>
      <c r="OKN136" s="105"/>
      <c r="OKO136" s="105"/>
      <c r="OKP136" s="105"/>
      <c r="OKQ136" s="105"/>
      <c r="OKR136" s="105"/>
      <c r="OKS136" s="105"/>
      <c r="OKT136" s="105"/>
      <c r="OKU136" s="105"/>
      <c r="OKV136" s="105"/>
      <c r="OKW136" s="105"/>
      <c r="OKX136" s="105"/>
      <c r="OKY136" s="105"/>
      <c r="OKZ136" s="105"/>
      <c r="OLA136" s="105"/>
      <c r="OLB136" s="105"/>
      <c r="OLC136" s="105"/>
      <c r="OLD136" s="105"/>
      <c r="OLE136" s="105"/>
      <c r="OLF136" s="105"/>
      <c r="OLG136" s="105"/>
      <c r="OLH136" s="105"/>
      <c r="OLI136" s="105"/>
      <c r="OLJ136" s="105"/>
      <c r="OLK136" s="105"/>
      <c r="OLL136" s="105"/>
      <c r="OLM136" s="105"/>
      <c r="OLN136" s="105"/>
      <c r="OLO136" s="105"/>
      <c r="OLP136" s="105"/>
      <c r="OLQ136" s="105"/>
      <c r="OLR136" s="105"/>
      <c r="OLS136" s="105"/>
      <c r="OLT136" s="105"/>
      <c r="OLU136" s="105"/>
      <c r="OLV136" s="105"/>
      <c r="OLW136" s="105"/>
      <c r="OLX136" s="105"/>
      <c r="OLY136" s="105"/>
      <c r="OLZ136" s="105"/>
      <c r="OMA136" s="105"/>
      <c r="OMB136" s="105"/>
      <c r="OMC136" s="105"/>
      <c r="OMD136" s="105"/>
      <c r="OME136" s="105"/>
      <c r="OMF136" s="105"/>
      <c r="OMG136" s="105"/>
      <c r="OMH136" s="105"/>
      <c r="OMI136" s="105"/>
      <c r="OMJ136" s="105"/>
      <c r="OMK136" s="105"/>
      <c r="OML136" s="105"/>
      <c r="OMM136" s="105"/>
      <c r="OMN136" s="105"/>
      <c r="OMO136" s="105"/>
      <c r="OMP136" s="105"/>
      <c r="OMQ136" s="105"/>
      <c r="OMR136" s="105"/>
      <c r="OMS136" s="105"/>
      <c r="OMT136" s="105"/>
      <c r="OMU136" s="105"/>
      <c r="OMV136" s="105"/>
      <c r="OMW136" s="105"/>
      <c r="OMX136" s="105"/>
      <c r="OMY136" s="105"/>
      <c r="OMZ136" s="105"/>
      <c r="ONA136" s="105"/>
      <c r="ONB136" s="105"/>
      <c r="ONC136" s="105"/>
      <c r="OND136" s="105"/>
      <c r="ONE136" s="105"/>
      <c r="ONF136" s="105"/>
      <c r="ONG136" s="105"/>
      <c r="ONH136" s="105"/>
      <c r="ONI136" s="105"/>
      <c r="ONJ136" s="105"/>
      <c r="ONK136" s="105"/>
      <c r="ONL136" s="105"/>
      <c r="ONM136" s="105"/>
      <c r="ONN136" s="105"/>
      <c r="ONO136" s="105"/>
      <c r="ONP136" s="105"/>
      <c r="ONQ136" s="105"/>
      <c r="ONR136" s="105"/>
      <c r="ONS136" s="105"/>
      <c r="ONT136" s="105"/>
      <c r="ONU136" s="105"/>
      <c r="ONV136" s="105"/>
      <c r="ONW136" s="105"/>
      <c r="ONX136" s="105"/>
      <c r="ONY136" s="105"/>
      <c r="ONZ136" s="105"/>
      <c r="OOA136" s="105"/>
      <c r="OOB136" s="105"/>
      <c r="OOC136" s="105"/>
      <c r="OOD136" s="105"/>
      <c r="OOE136" s="105"/>
      <c r="OOF136" s="105"/>
      <c r="OOG136" s="105"/>
      <c r="OOH136" s="105"/>
      <c r="OOI136" s="105"/>
      <c r="OOJ136" s="105"/>
      <c r="OOK136" s="105"/>
      <c r="OOL136" s="105"/>
      <c r="OOM136" s="105"/>
      <c r="OON136" s="105"/>
      <c r="OOO136" s="105"/>
      <c r="OOP136" s="105"/>
      <c r="OOQ136" s="105"/>
      <c r="OOR136" s="105"/>
      <c r="OOS136" s="105"/>
      <c r="OOT136" s="105"/>
      <c r="OOU136" s="105"/>
      <c r="OOV136" s="105"/>
      <c r="OOW136" s="105"/>
      <c r="OOX136" s="105"/>
      <c r="OOY136" s="105"/>
      <c r="OOZ136" s="105"/>
      <c r="OPA136" s="105"/>
      <c r="OPB136" s="105"/>
      <c r="OPC136" s="105"/>
      <c r="OPD136" s="105"/>
      <c r="OPE136" s="105"/>
      <c r="OPF136" s="105"/>
      <c r="OPG136" s="105"/>
      <c r="OPH136" s="105"/>
      <c r="OPI136" s="105"/>
      <c r="OPJ136" s="105"/>
      <c r="OPK136" s="105"/>
      <c r="OPL136" s="105"/>
      <c r="OPM136" s="105"/>
      <c r="OPN136" s="105"/>
      <c r="OPO136" s="105"/>
      <c r="OPP136" s="105"/>
      <c r="OPQ136" s="105"/>
      <c r="OPR136" s="105"/>
      <c r="OPS136" s="105"/>
      <c r="OPT136" s="105"/>
      <c r="OPU136" s="105"/>
      <c r="OPV136" s="105"/>
      <c r="OPW136" s="105"/>
      <c r="OPX136" s="105"/>
      <c r="OPY136" s="105"/>
      <c r="OPZ136" s="105"/>
      <c r="OQA136" s="105"/>
      <c r="OQB136" s="105"/>
      <c r="OQC136" s="105"/>
      <c r="OQD136" s="105"/>
      <c r="OQE136" s="105"/>
      <c r="OQF136" s="105"/>
      <c r="OQG136" s="105"/>
      <c r="OQH136" s="105"/>
      <c r="OQI136" s="105"/>
      <c r="OQJ136" s="105"/>
      <c r="OQK136" s="105"/>
      <c r="OQL136" s="105"/>
      <c r="OQM136" s="105"/>
      <c r="OQN136" s="105"/>
      <c r="OQO136" s="105"/>
      <c r="OQP136" s="105"/>
      <c r="OQQ136" s="105"/>
      <c r="OQR136" s="105"/>
      <c r="OQS136" s="105"/>
      <c r="OQT136" s="105"/>
      <c r="OQU136" s="105"/>
      <c r="OQV136" s="105"/>
      <c r="OQW136" s="105"/>
      <c r="OQX136" s="105"/>
      <c r="OQY136" s="105"/>
      <c r="OQZ136" s="105"/>
      <c r="ORA136" s="105"/>
      <c r="ORB136" s="105"/>
      <c r="ORC136" s="105"/>
      <c r="ORD136" s="105"/>
      <c r="ORE136" s="105"/>
      <c r="ORF136" s="105"/>
      <c r="ORG136" s="105"/>
      <c r="ORH136" s="105"/>
      <c r="ORI136" s="105"/>
      <c r="ORJ136" s="105"/>
      <c r="ORK136" s="105"/>
      <c r="ORL136" s="105"/>
      <c r="ORM136" s="105"/>
      <c r="ORN136" s="105"/>
      <c r="ORO136" s="105"/>
      <c r="ORP136" s="105"/>
      <c r="ORQ136" s="105"/>
      <c r="ORR136" s="105"/>
      <c r="ORS136" s="105"/>
      <c r="ORT136" s="105"/>
      <c r="ORU136" s="105"/>
      <c r="ORV136" s="105"/>
      <c r="ORW136" s="105"/>
      <c r="ORX136" s="105"/>
      <c r="ORY136" s="105"/>
      <c r="ORZ136" s="105"/>
      <c r="OSA136" s="105"/>
      <c r="OSB136" s="105"/>
      <c r="OSC136" s="105"/>
      <c r="OSD136" s="105"/>
      <c r="OSE136" s="105"/>
      <c r="OSF136" s="105"/>
      <c r="OSG136" s="105"/>
      <c r="OSH136" s="105"/>
      <c r="OSI136" s="105"/>
      <c r="OSJ136" s="105"/>
      <c r="OSK136" s="105"/>
      <c r="OSL136" s="105"/>
      <c r="OSM136" s="105"/>
      <c r="OSN136" s="105"/>
      <c r="OSO136" s="105"/>
      <c r="OSP136" s="105"/>
      <c r="OSQ136" s="105"/>
      <c r="OSR136" s="105"/>
      <c r="OSS136" s="105"/>
      <c r="OST136" s="105"/>
      <c r="OSU136" s="105"/>
      <c r="OSV136" s="105"/>
      <c r="OSW136" s="105"/>
      <c r="OSX136" s="105"/>
      <c r="OSY136" s="105"/>
      <c r="OSZ136" s="105"/>
      <c r="OTA136" s="105"/>
      <c r="OTB136" s="105"/>
      <c r="OTC136" s="105"/>
      <c r="OTD136" s="105"/>
      <c r="OTE136" s="105"/>
      <c r="OTF136" s="105"/>
      <c r="OTG136" s="105"/>
      <c r="OTH136" s="105"/>
      <c r="OTI136" s="105"/>
      <c r="OTJ136" s="105"/>
      <c r="OTK136" s="105"/>
      <c r="OTL136" s="105"/>
      <c r="OTM136" s="105"/>
      <c r="OTN136" s="105"/>
      <c r="OTO136" s="105"/>
      <c r="OTP136" s="105"/>
      <c r="OTQ136" s="105"/>
      <c r="OTR136" s="105"/>
      <c r="OTS136" s="105"/>
      <c r="OTT136" s="105"/>
      <c r="OTU136" s="105"/>
      <c r="OTV136" s="105"/>
      <c r="OTW136" s="105"/>
      <c r="OTX136" s="105"/>
      <c r="OTY136" s="105"/>
      <c r="OTZ136" s="105"/>
      <c r="OUA136" s="105"/>
      <c r="OUB136" s="105"/>
      <c r="OUC136" s="105"/>
      <c r="OUD136" s="105"/>
      <c r="OUE136" s="105"/>
      <c r="OUF136" s="105"/>
      <c r="OUG136" s="105"/>
      <c r="OUH136" s="105"/>
      <c r="OUI136" s="105"/>
      <c r="OUJ136" s="105"/>
      <c r="OUK136" s="105"/>
      <c r="OUL136" s="105"/>
      <c r="OUM136" s="105"/>
      <c r="OUN136" s="105"/>
      <c r="OUO136" s="105"/>
      <c r="OUP136" s="105"/>
      <c r="OUQ136" s="105"/>
      <c r="OUR136" s="105"/>
      <c r="OUS136" s="105"/>
      <c r="OUT136" s="105"/>
      <c r="OUU136" s="105"/>
      <c r="OUV136" s="105"/>
      <c r="OUW136" s="105"/>
      <c r="OUX136" s="105"/>
      <c r="OUY136" s="105"/>
      <c r="OUZ136" s="105"/>
      <c r="OVA136" s="105"/>
      <c r="OVB136" s="105"/>
      <c r="OVC136" s="105"/>
      <c r="OVD136" s="105"/>
      <c r="OVE136" s="105"/>
      <c r="OVF136" s="105"/>
      <c r="OVG136" s="105"/>
      <c r="OVH136" s="105"/>
      <c r="OVI136" s="105"/>
      <c r="OVJ136" s="105"/>
      <c r="OVK136" s="105"/>
      <c r="OVL136" s="105"/>
      <c r="OVM136" s="105"/>
      <c r="OVN136" s="105"/>
      <c r="OVO136" s="105"/>
      <c r="OVP136" s="105"/>
      <c r="OVQ136" s="105"/>
      <c r="OVR136" s="105"/>
      <c r="OVS136" s="105"/>
      <c r="OVT136" s="105"/>
      <c r="OVU136" s="105"/>
      <c r="OVV136" s="105"/>
      <c r="OVW136" s="105"/>
      <c r="OVX136" s="105"/>
      <c r="OVY136" s="105"/>
      <c r="OVZ136" s="105"/>
      <c r="OWA136" s="105"/>
      <c r="OWB136" s="105"/>
      <c r="OWC136" s="105"/>
      <c r="OWD136" s="105"/>
      <c r="OWE136" s="105"/>
      <c r="OWF136" s="105"/>
      <c r="OWG136" s="105"/>
      <c r="OWH136" s="105"/>
      <c r="OWI136" s="105"/>
      <c r="OWJ136" s="105"/>
      <c r="OWK136" s="105"/>
      <c r="OWL136" s="105"/>
      <c r="OWM136" s="105"/>
      <c r="OWN136" s="105"/>
      <c r="OWO136" s="105"/>
      <c r="OWP136" s="105"/>
      <c r="OWQ136" s="105"/>
      <c r="OWR136" s="105"/>
      <c r="OWS136" s="105"/>
      <c r="OWT136" s="105"/>
      <c r="OWU136" s="105"/>
      <c r="OWV136" s="105"/>
      <c r="OWW136" s="105"/>
      <c r="OWX136" s="105"/>
      <c r="OWY136" s="105"/>
      <c r="OWZ136" s="105"/>
      <c r="OXA136" s="105"/>
      <c r="OXB136" s="105"/>
      <c r="OXC136" s="105"/>
      <c r="OXD136" s="105"/>
      <c r="OXE136" s="105"/>
      <c r="OXF136" s="105"/>
      <c r="OXG136" s="105"/>
      <c r="OXH136" s="105"/>
      <c r="OXI136" s="105"/>
      <c r="OXJ136" s="105"/>
      <c r="OXK136" s="105"/>
      <c r="OXL136" s="105"/>
      <c r="OXM136" s="105"/>
      <c r="OXN136" s="105"/>
      <c r="OXO136" s="105"/>
      <c r="OXP136" s="105"/>
      <c r="OXQ136" s="105"/>
      <c r="OXR136" s="105"/>
      <c r="OXS136" s="105"/>
      <c r="OXT136" s="105"/>
      <c r="OXU136" s="105"/>
      <c r="OXV136" s="105"/>
      <c r="OXW136" s="105"/>
      <c r="OXX136" s="105"/>
      <c r="OXY136" s="105"/>
      <c r="OXZ136" s="105"/>
      <c r="OYA136" s="105"/>
      <c r="OYB136" s="105"/>
      <c r="OYC136" s="105"/>
      <c r="OYD136" s="105"/>
      <c r="OYE136" s="105"/>
      <c r="OYF136" s="105"/>
      <c r="OYG136" s="105"/>
      <c r="OYH136" s="105"/>
      <c r="OYI136" s="105"/>
      <c r="OYJ136" s="105"/>
      <c r="OYK136" s="105"/>
      <c r="OYL136" s="105"/>
      <c r="OYM136" s="105"/>
      <c r="OYN136" s="105"/>
      <c r="OYO136" s="105"/>
      <c r="OYP136" s="105"/>
      <c r="OYQ136" s="105"/>
      <c r="OYR136" s="105"/>
      <c r="OYS136" s="105"/>
      <c r="OYT136" s="105"/>
      <c r="OYU136" s="105"/>
      <c r="OYV136" s="105"/>
      <c r="OYW136" s="105"/>
      <c r="OYX136" s="105"/>
      <c r="OYY136" s="105"/>
      <c r="OYZ136" s="105"/>
      <c r="OZA136" s="105"/>
      <c r="OZB136" s="105"/>
      <c r="OZC136" s="105"/>
      <c r="OZD136" s="105"/>
      <c r="OZE136" s="105"/>
      <c r="OZF136" s="105"/>
      <c r="OZG136" s="105"/>
      <c r="OZH136" s="105"/>
      <c r="OZI136" s="105"/>
      <c r="OZJ136" s="105"/>
      <c r="OZK136" s="105"/>
      <c r="OZL136" s="105"/>
      <c r="OZM136" s="105"/>
      <c r="OZN136" s="105"/>
      <c r="OZO136" s="105"/>
      <c r="OZP136" s="105"/>
      <c r="OZQ136" s="105"/>
      <c r="OZR136" s="105"/>
      <c r="OZS136" s="105"/>
      <c r="OZT136" s="105"/>
      <c r="OZU136" s="105"/>
      <c r="OZV136" s="105"/>
      <c r="OZW136" s="105"/>
      <c r="OZX136" s="105"/>
      <c r="OZY136" s="105"/>
      <c r="OZZ136" s="105"/>
      <c r="PAA136" s="105"/>
      <c r="PAB136" s="105"/>
      <c r="PAC136" s="105"/>
      <c r="PAD136" s="105"/>
      <c r="PAE136" s="105"/>
      <c r="PAF136" s="105"/>
      <c r="PAG136" s="105"/>
      <c r="PAH136" s="105"/>
      <c r="PAI136" s="105"/>
      <c r="PAJ136" s="105"/>
      <c r="PAK136" s="105"/>
      <c r="PAL136" s="105"/>
      <c r="PAM136" s="105"/>
      <c r="PAN136" s="105"/>
      <c r="PAO136" s="105"/>
      <c r="PAP136" s="105"/>
      <c r="PAQ136" s="105"/>
      <c r="PAR136" s="105"/>
      <c r="PAS136" s="105"/>
      <c r="PAT136" s="105"/>
      <c r="PAU136" s="105"/>
      <c r="PAV136" s="105"/>
      <c r="PAW136" s="105"/>
      <c r="PAX136" s="105"/>
      <c r="PAY136" s="105"/>
      <c r="PAZ136" s="105"/>
      <c r="PBA136" s="105"/>
      <c r="PBB136" s="105"/>
      <c r="PBC136" s="105"/>
      <c r="PBD136" s="105"/>
      <c r="PBE136" s="105"/>
      <c r="PBF136" s="105"/>
      <c r="PBG136" s="105"/>
      <c r="PBH136" s="105"/>
      <c r="PBI136" s="105"/>
      <c r="PBJ136" s="105"/>
      <c r="PBK136" s="105"/>
      <c r="PBL136" s="105"/>
      <c r="PBM136" s="105"/>
      <c r="PBN136" s="105"/>
      <c r="PBO136" s="105"/>
      <c r="PBP136" s="105"/>
      <c r="PBQ136" s="105"/>
      <c r="PBR136" s="105"/>
      <c r="PBS136" s="105"/>
      <c r="PBT136" s="105"/>
      <c r="PBU136" s="105"/>
      <c r="PBV136" s="105"/>
      <c r="PBW136" s="105"/>
      <c r="PBX136" s="105"/>
      <c r="PBY136" s="105"/>
      <c r="PBZ136" s="105"/>
      <c r="PCA136" s="105"/>
      <c r="PCB136" s="105"/>
      <c r="PCC136" s="105"/>
      <c r="PCD136" s="105"/>
      <c r="PCE136" s="105"/>
      <c r="PCF136" s="105"/>
      <c r="PCG136" s="105"/>
      <c r="PCH136" s="105"/>
      <c r="PCI136" s="105"/>
      <c r="PCJ136" s="105"/>
      <c r="PCK136" s="105"/>
      <c r="PCL136" s="105"/>
      <c r="PCM136" s="105"/>
      <c r="PCN136" s="105"/>
      <c r="PCO136" s="105"/>
      <c r="PCP136" s="105"/>
      <c r="PCQ136" s="105"/>
      <c r="PCR136" s="105"/>
      <c r="PCS136" s="105"/>
      <c r="PCT136" s="105"/>
      <c r="PCU136" s="105"/>
      <c r="PCV136" s="105"/>
      <c r="PCW136" s="105"/>
      <c r="PCX136" s="105"/>
      <c r="PCY136" s="105"/>
      <c r="PCZ136" s="105"/>
      <c r="PDA136" s="105"/>
      <c r="PDB136" s="105"/>
      <c r="PDC136" s="105"/>
      <c r="PDD136" s="105"/>
      <c r="PDE136" s="105"/>
      <c r="PDF136" s="105"/>
      <c r="PDG136" s="105"/>
      <c r="PDH136" s="105"/>
      <c r="PDI136" s="105"/>
      <c r="PDJ136" s="105"/>
      <c r="PDK136" s="105"/>
      <c r="PDL136" s="105"/>
      <c r="PDM136" s="105"/>
      <c r="PDN136" s="105"/>
      <c r="PDO136" s="105"/>
      <c r="PDP136" s="105"/>
      <c r="PDQ136" s="105"/>
      <c r="PDR136" s="105"/>
      <c r="PDS136" s="105"/>
      <c r="PDT136" s="105"/>
      <c r="PDU136" s="105"/>
      <c r="PDV136" s="105"/>
      <c r="PDW136" s="105"/>
      <c r="PDX136" s="105"/>
      <c r="PDY136" s="105"/>
      <c r="PDZ136" s="105"/>
      <c r="PEA136" s="105"/>
      <c r="PEB136" s="105"/>
      <c r="PEC136" s="105"/>
      <c r="PED136" s="105"/>
      <c r="PEE136" s="105"/>
      <c r="PEF136" s="105"/>
      <c r="PEG136" s="105"/>
      <c r="PEH136" s="105"/>
      <c r="PEI136" s="105"/>
      <c r="PEJ136" s="105"/>
      <c r="PEK136" s="105"/>
      <c r="PEL136" s="105"/>
      <c r="PEM136" s="105"/>
      <c r="PEN136" s="105"/>
      <c r="PEO136" s="105"/>
      <c r="PEP136" s="105"/>
      <c r="PEQ136" s="105"/>
      <c r="PER136" s="105"/>
      <c r="PES136" s="105"/>
      <c r="PET136" s="105"/>
      <c r="PEU136" s="105"/>
      <c r="PEV136" s="105"/>
      <c r="PEW136" s="105"/>
      <c r="PEX136" s="105"/>
      <c r="PEY136" s="105"/>
      <c r="PEZ136" s="105"/>
      <c r="PFA136" s="105"/>
      <c r="PFB136" s="105"/>
      <c r="PFC136" s="105"/>
      <c r="PFD136" s="105"/>
      <c r="PFE136" s="105"/>
      <c r="PFF136" s="105"/>
      <c r="PFG136" s="105"/>
      <c r="PFH136" s="105"/>
      <c r="PFI136" s="105"/>
      <c r="PFJ136" s="105"/>
      <c r="PFK136" s="105"/>
      <c r="PFL136" s="105"/>
      <c r="PFM136" s="105"/>
      <c r="PFN136" s="105"/>
      <c r="PFO136" s="105"/>
      <c r="PFP136" s="105"/>
      <c r="PFQ136" s="105"/>
      <c r="PFR136" s="105"/>
      <c r="PFS136" s="105"/>
      <c r="PFT136" s="105"/>
      <c r="PFU136" s="105"/>
      <c r="PFV136" s="105"/>
      <c r="PFW136" s="105"/>
      <c r="PFX136" s="105"/>
      <c r="PFY136" s="105"/>
      <c r="PFZ136" s="105"/>
      <c r="PGA136" s="105"/>
      <c r="PGB136" s="105"/>
      <c r="PGC136" s="105"/>
      <c r="PGD136" s="105"/>
      <c r="PGE136" s="105"/>
      <c r="PGF136" s="105"/>
      <c r="PGG136" s="105"/>
      <c r="PGH136" s="105"/>
      <c r="PGI136" s="105"/>
      <c r="PGJ136" s="105"/>
      <c r="PGK136" s="105"/>
      <c r="PGL136" s="105"/>
      <c r="PGM136" s="105"/>
      <c r="PGN136" s="105"/>
      <c r="PGO136" s="105"/>
      <c r="PGP136" s="105"/>
      <c r="PGQ136" s="105"/>
      <c r="PGR136" s="105"/>
      <c r="PGS136" s="105"/>
      <c r="PGT136" s="105"/>
      <c r="PGU136" s="105"/>
      <c r="PGV136" s="105"/>
      <c r="PGW136" s="105"/>
      <c r="PGX136" s="105"/>
      <c r="PGY136" s="105"/>
      <c r="PGZ136" s="105"/>
      <c r="PHA136" s="105"/>
      <c r="PHB136" s="105"/>
      <c r="PHC136" s="105"/>
      <c r="PHD136" s="105"/>
      <c r="PHE136" s="105"/>
      <c r="PHF136" s="105"/>
      <c r="PHG136" s="105"/>
      <c r="PHH136" s="105"/>
      <c r="PHI136" s="105"/>
      <c r="PHJ136" s="105"/>
      <c r="PHK136" s="105"/>
      <c r="PHL136" s="105"/>
      <c r="PHM136" s="105"/>
      <c r="PHN136" s="105"/>
      <c r="PHO136" s="105"/>
      <c r="PHP136" s="105"/>
      <c r="PHQ136" s="105"/>
      <c r="PHR136" s="105"/>
      <c r="PHS136" s="105"/>
      <c r="PHT136" s="105"/>
      <c r="PHU136" s="105"/>
      <c r="PHV136" s="105"/>
      <c r="PHW136" s="105"/>
      <c r="PHX136" s="105"/>
      <c r="PHY136" s="105"/>
      <c r="PHZ136" s="105"/>
      <c r="PIA136" s="105"/>
      <c r="PIB136" s="105"/>
      <c r="PIC136" s="105"/>
      <c r="PID136" s="105"/>
      <c r="PIE136" s="105"/>
      <c r="PIF136" s="105"/>
      <c r="PIG136" s="105"/>
      <c r="PIH136" s="105"/>
      <c r="PII136" s="105"/>
      <c r="PIJ136" s="105"/>
      <c r="PIK136" s="105"/>
      <c r="PIL136" s="105"/>
      <c r="PIM136" s="105"/>
      <c r="PIN136" s="105"/>
      <c r="PIO136" s="105"/>
      <c r="PIP136" s="105"/>
      <c r="PIQ136" s="105"/>
      <c r="PIR136" s="105"/>
      <c r="PIS136" s="105"/>
      <c r="PIT136" s="105"/>
      <c r="PIU136" s="105"/>
      <c r="PIV136" s="105"/>
      <c r="PIW136" s="105"/>
      <c r="PIX136" s="105"/>
      <c r="PIY136" s="105"/>
      <c r="PIZ136" s="105"/>
      <c r="PJA136" s="105"/>
      <c r="PJB136" s="105"/>
      <c r="PJC136" s="105"/>
      <c r="PJD136" s="105"/>
      <c r="PJE136" s="105"/>
      <c r="PJF136" s="105"/>
      <c r="PJG136" s="105"/>
      <c r="PJH136" s="105"/>
      <c r="PJI136" s="105"/>
      <c r="PJJ136" s="105"/>
      <c r="PJK136" s="105"/>
      <c r="PJL136" s="105"/>
      <c r="PJM136" s="105"/>
      <c r="PJN136" s="105"/>
      <c r="PJO136" s="105"/>
      <c r="PJP136" s="105"/>
      <c r="PJQ136" s="105"/>
      <c r="PJR136" s="105"/>
      <c r="PJS136" s="105"/>
      <c r="PJT136" s="105"/>
      <c r="PJU136" s="105"/>
      <c r="PJV136" s="105"/>
      <c r="PJW136" s="105"/>
      <c r="PJX136" s="105"/>
      <c r="PJY136" s="105"/>
      <c r="PJZ136" s="105"/>
      <c r="PKA136" s="105"/>
      <c r="PKB136" s="105"/>
      <c r="PKC136" s="105"/>
      <c r="PKD136" s="105"/>
      <c r="PKE136" s="105"/>
      <c r="PKF136" s="105"/>
      <c r="PKG136" s="105"/>
      <c r="PKH136" s="105"/>
      <c r="PKI136" s="105"/>
      <c r="PKJ136" s="105"/>
      <c r="PKK136" s="105"/>
      <c r="PKL136" s="105"/>
      <c r="PKM136" s="105"/>
      <c r="PKN136" s="105"/>
      <c r="PKO136" s="105"/>
      <c r="PKP136" s="105"/>
      <c r="PKQ136" s="105"/>
      <c r="PKR136" s="105"/>
      <c r="PKS136" s="105"/>
      <c r="PKT136" s="105"/>
      <c r="PKU136" s="105"/>
      <c r="PKV136" s="105"/>
      <c r="PKW136" s="105"/>
      <c r="PKX136" s="105"/>
      <c r="PKY136" s="105"/>
      <c r="PKZ136" s="105"/>
      <c r="PLA136" s="105"/>
      <c r="PLB136" s="105"/>
      <c r="PLC136" s="105"/>
      <c r="PLD136" s="105"/>
      <c r="PLE136" s="105"/>
      <c r="PLF136" s="105"/>
      <c r="PLG136" s="105"/>
      <c r="PLH136" s="105"/>
      <c r="PLI136" s="105"/>
      <c r="PLJ136" s="105"/>
      <c r="PLK136" s="105"/>
      <c r="PLL136" s="105"/>
      <c r="PLM136" s="105"/>
      <c r="PLN136" s="105"/>
      <c r="PLO136" s="105"/>
      <c r="PLP136" s="105"/>
      <c r="PLQ136" s="105"/>
      <c r="PLR136" s="105"/>
      <c r="PLS136" s="105"/>
      <c r="PLT136" s="105"/>
      <c r="PLU136" s="105"/>
      <c r="PLV136" s="105"/>
      <c r="PLW136" s="105"/>
      <c r="PLX136" s="105"/>
      <c r="PLY136" s="105"/>
      <c r="PLZ136" s="105"/>
      <c r="PMA136" s="105"/>
      <c r="PMB136" s="105"/>
      <c r="PMC136" s="105"/>
      <c r="PMD136" s="105"/>
      <c r="PME136" s="105"/>
      <c r="PMF136" s="105"/>
      <c r="PMG136" s="105"/>
      <c r="PMH136" s="105"/>
      <c r="PMI136" s="105"/>
      <c r="PMJ136" s="105"/>
      <c r="PMK136" s="105"/>
      <c r="PML136" s="105"/>
      <c r="PMM136" s="105"/>
      <c r="PMN136" s="105"/>
      <c r="PMO136" s="105"/>
      <c r="PMP136" s="105"/>
      <c r="PMQ136" s="105"/>
      <c r="PMR136" s="105"/>
      <c r="PMS136" s="105"/>
      <c r="PMT136" s="105"/>
      <c r="PMU136" s="105"/>
      <c r="PMV136" s="105"/>
      <c r="PMW136" s="105"/>
      <c r="PMX136" s="105"/>
      <c r="PMY136" s="105"/>
      <c r="PMZ136" s="105"/>
      <c r="PNA136" s="105"/>
      <c r="PNB136" s="105"/>
      <c r="PNC136" s="105"/>
      <c r="PND136" s="105"/>
      <c r="PNE136" s="105"/>
      <c r="PNF136" s="105"/>
      <c r="PNG136" s="105"/>
      <c r="PNH136" s="105"/>
      <c r="PNI136" s="105"/>
      <c r="PNJ136" s="105"/>
      <c r="PNK136" s="105"/>
      <c r="PNL136" s="105"/>
      <c r="PNM136" s="105"/>
      <c r="PNN136" s="105"/>
      <c r="PNO136" s="105"/>
      <c r="PNP136" s="105"/>
      <c r="PNQ136" s="105"/>
      <c r="PNR136" s="105"/>
      <c r="PNS136" s="105"/>
      <c r="PNT136" s="105"/>
      <c r="PNU136" s="105"/>
      <c r="PNV136" s="105"/>
      <c r="PNW136" s="105"/>
      <c r="PNX136" s="105"/>
      <c r="PNY136" s="105"/>
      <c r="PNZ136" s="105"/>
      <c r="POA136" s="105"/>
      <c r="POB136" s="105"/>
      <c r="POC136" s="105"/>
      <c r="POD136" s="105"/>
      <c r="POE136" s="105"/>
      <c r="POF136" s="105"/>
      <c r="POG136" s="105"/>
      <c r="POH136" s="105"/>
      <c r="POI136" s="105"/>
      <c r="POJ136" s="105"/>
      <c r="POK136" s="105"/>
      <c r="POL136" s="105"/>
      <c r="POM136" s="105"/>
      <c r="PON136" s="105"/>
      <c r="POO136" s="105"/>
      <c r="POP136" s="105"/>
      <c r="POQ136" s="105"/>
      <c r="POR136" s="105"/>
      <c r="POS136" s="105"/>
      <c r="POT136" s="105"/>
      <c r="POU136" s="105"/>
      <c r="POV136" s="105"/>
      <c r="POW136" s="105"/>
      <c r="POX136" s="105"/>
      <c r="POY136" s="105"/>
      <c r="POZ136" s="105"/>
      <c r="PPA136" s="105"/>
      <c r="PPB136" s="105"/>
      <c r="PPC136" s="105"/>
      <c r="PPD136" s="105"/>
      <c r="PPE136" s="105"/>
      <c r="PPF136" s="105"/>
      <c r="PPG136" s="105"/>
      <c r="PPH136" s="105"/>
      <c r="PPI136" s="105"/>
      <c r="PPJ136" s="105"/>
      <c r="PPK136" s="105"/>
      <c r="PPL136" s="105"/>
      <c r="PPM136" s="105"/>
      <c r="PPN136" s="105"/>
      <c r="PPO136" s="105"/>
      <c r="PPP136" s="105"/>
      <c r="PPQ136" s="105"/>
      <c r="PPR136" s="105"/>
      <c r="PPS136" s="105"/>
      <c r="PPT136" s="105"/>
      <c r="PPU136" s="105"/>
      <c r="PPV136" s="105"/>
      <c r="PPW136" s="105"/>
      <c r="PPX136" s="105"/>
      <c r="PPY136" s="105"/>
      <c r="PPZ136" s="105"/>
      <c r="PQA136" s="105"/>
      <c r="PQB136" s="105"/>
      <c r="PQC136" s="105"/>
      <c r="PQD136" s="105"/>
      <c r="PQE136" s="105"/>
      <c r="PQF136" s="105"/>
      <c r="PQG136" s="105"/>
      <c r="PQH136" s="105"/>
      <c r="PQI136" s="105"/>
      <c r="PQJ136" s="105"/>
      <c r="PQK136" s="105"/>
      <c r="PQL136" s="105"/>
      <c r="PQM136" s="105"/>
      <c r="PQN136" s="105"/>
      <c r="PQO136" s="105"/>
      <c r="PQP136" s="105"/>
      <c r="PQQ136" s="105"/>
      <c r="PQR136" s="105"/>
      <c r="PQS136" s="105"/>
      <c r="PQT136" s="105"/>
      <c r="PQU136" s="105"/>
      <c r="PQV136" s="105"/>
      <c r="PQW136" s="105"/>
      <c r="PQX136" s="105"/>
      <c r="PQY136" s="105"/>
      <c r="PQZ136" s="105"/>
      <c r="PRA136" s="105"/>
      <c r="PRB136" s="105"/>
      <c r="PRC136" s="105"/>
      <c r="PRD136" s="105"/>
      <c r="PRE136" s="105"/>
      <c r="PRF136" s="105"/>
      <c r="PRG136" s="105"/>
      <c r="PRH136" s="105"/>
      <c r="PRI136" s="105"/>
      <c r="PRJ136" s="105"/>
      <c r="PRK136" s="105"/>
      <c r="PRL136" s="105"/>
      <c r="PRM136" s="105"/>
      <c r="PRN136" s="105"/>
      <c r="PRO136" s="105"/>
      <c r="PRP136" s="105"/>
      <c r="PRQ136" s="105"/>
      <c r="PRR136" s="105"/>
      <c r="PRS136" s="105"/>
      <c r="PRT136" s="105"/>
      <c r="PRU136" s="105"/>
      <c r="PRV136" s="105"/>
      <c r="PRW136" s="105"/>
      <c r="PRX136" s="105"/>
      <c r="PRY136" s="105"/>
      <c r="PRZ136" s="105"/>
      <c r="PSA136" s="105"/>
      <c r="PSB136" s="105"/>
      <c r="PSC136" s="105"/>
      <c r="PSD136" s="105"/>
      <c r="PSE136" s="105"/>
      <c r="PSF136" s="105"/>
      <c r="PSG136" s="105"/>
      <c r="PSH136" s="105"/>
      <c r="PSI136" s="105"/>
      <c r="PSJ136" s="105"/>
      <c r="PSK136" s="105"/>
      <c r="PSL136" s="105"/>
      <c r="PSM136" s="105"/>
      <c r="PSN136" s="105"/>
      <c r="PSO136" s="105"/>
      <c r="PSP136" s="105"/>
      <c r="PSQ136" s="105"/>
      <c r="PSR136" s="105"/>
      <c r="PSS136" s="105"/>
      <c r="PST136" s="105"/>
      <c r="PSU136" s="105"/>
      <c r="PSV136" s="105"/>
      <c r="PSW136" s="105"/>
      <c r="PSX136" s="105"/>
      <c r="PSY136" s="105"/>
      <c r="PSZ136" s="105"/>
      <c r="PTA136" s="105"/>
      <c r="PTB136" s="105"/>
      <c r="PTC136" s="105"/>
      <c r="PTD136" s="105"/>
      <c r="PTE136" s="105"/>
      <c r="PTF136" s="105"/>
      <c r="PTG136" s="105"/>
      <c r="PTH136" s="105"/>
      <c r="PTI136" s="105"/>
      <c r="PTJ136" s="105"/>
      <c r="PTK136" s="105"/>
      <c r="PTL136" s="105"/>
      <c r="PTM136" s="105"/>
      <c r="PTN136" s="105"/>
      <c r="PTO136" s="105"/>
      <c r="PTP136" s="105"/>
      <c r="PTQ136" s="105"/>
      <c r="PTR136" s="105"/>
      <c r="PTS136" s="105"/>
      <c r="PTT136" s="105"/>
      <c r="PTU136" s="105"/>
      <c r="PTV136" s="105"/>
      <c r="PTW136" s="105"/>
      <c r="PTX136" s="105"/>
      <c r="PTY136" s="105"/>
      <c r="PTZ136" s="105"/>
      <c r="PUA136" s="105"/>
      <c r="PUB136" s="105"/>
      <c r="PUC136" s="105"/>
      <c r="PUD136" s="105"/>
      <c r="PUE136" s="105"/>
      <c r="PUF136" s="105"/>
      <c r="PUG136" s="105"/>
      <c r="PUH136" s="105"/>
      <c r="PUI136" s="105"/>
      <c r="PUJ136" s="105"/>
      <c r="PUK136" s="105"/>
      <c r="PUL136" s="105"/>
      <c r="PUM136" s="105"/>
      <c r="PUN136" s="105"/>
      <c r="PUO136" s="105"/>
      <c r="PUP136" s="105"/>
      <c r="PUQ136" s="105"/>
      <c r="PUR136" s="105"/>
      <c r="PUS136" s="105"/>
      <c r="PUT136" s="105"/>
      <c r="PUU136" s="105"/>
      <c r="PUV136" s="105"/>
      <c r="PUW136" s="105"/>
      <c r="PUX136" s="105"/>
      <c r="PUY136" s="105"/>
      <c r="PUZ136" s="105"/>
      <c r="PVA136" s="105"/>
      <c r="PVB136" s="105"/>
      <c r="PVC136" s="105"/>
      <c r="PVD136" s="105"/>
      <c r="PVE136" s="105"/>
      <c r="PVF136" s="105"/>
      <c r="PVG136" s="105"/>
      <c r="PVH136" s="105"/>
      <c r="PVI136" s="105"/>
      <c r="PVJ136" s="105"/>
      <c r="PVK136" s="105"/>
      <c r="PVL136" s="105"/>
      <c r="PVM136" s="105"/>
      <c r="PVN136" s="105"/>
      <c r="PVO136" s="105"/>
      <c r="PVP136" s="105"/>
      <c r="PVQ136" s="105"/>
      <c r="PVR136" s="105"/>
      <c r="PVS136" s="105"/>
      <c r="PVT136" s="105"/>
      <c r="PVU136" s="105"/>
      <c r="PVV136" s="105"/>
      <c r="PVW136" s="105"/>
      <c r="PVX136" s="105"/>
      <c r="PVY136" s="105"/>
      <c r="PVZ136" s="105"/>
      <c r="PWA136" s="105"/>
      <c r="PWB136" s="105"/>
      <c r="PWC136" s="105"/>
      <c r="PWD136" s="105"/>
      <c r="PWE136" s="105"/>
      <c r="PWF136" s="105"/>
      <c r="PWG136" s="105"/>
      <c r="PWH136" s="105"/>
      <c r="PWI136" s="105"/>
      <c r="PWJ136" s="105"/>
      <c r="PWK136" s="105"/>
      <c r="PWL136" s="105"/>
      <c r="PWM136" s="105"/>
      <c r="PWN136" s="105"/>
      <c r="PWO136" s="105"/>
      <c r="PWP136" s="105"/>
      <c r="PWQ136" s="105"/>
      <c r="PWR136" s="105"/>
      <c r="PWS136" s="105"/>
      <c r="PWT136" s="105"/>
      <c r="PWU136" s="105"/>
      <c r="PWV136" s="105"/>
      <c r="PWW136" s="105"/>
      <c r="PWX136" s="105"/>
      <c r="PWY136" s="105"/>
      <c r="PWZ136" s="105"/>
      <c r="PXA136" s="105"/>
      <c r="PXB136" s="105"/>
      <c r="PXC136" s="105"/>
      <c r="PXD136" s="105"/>
      <c r="PXE136" s="105"/>
      <c r="PXF136" s="105"/>
      <c r="PXG136" s="105"/>
      <c r="PXH136" s="105"/>
      <c r="PXI136" s="105"/>
      <c r="PXJ136" s="105"/>
      <c r="PXK136" s="105"/>
      <c r="PXL136" s="105"/>
      <c r="PXM136" s="105"/>
      <c r="PXN136" s="105"/>
      <c r="PXO136" s="105"/>
      <c r="PXP136" s="105"/>
      <c r="PXQ136" s="105"/>
      <c r="PXR136" s="105"/>
      <c r="PXS136" s="105"/>
      <c r="PXT136" s="105"/>
      <c r="PXU136" s="105"/>
      <c r="PXV136" s="105"/>
      <c r="PXW136" s="105"/>
      <c r="PXX136" s="105"/>
      <c r="PXY136" s="105"/>
      <c r="PXZ136" s="105"/>
      <c r="PYA136" s="105"/>
      <c r="PYB136" s="105"/>
      <c r="PYC136" s="105"/>
      <c r="PYD136" s="105"/>
      <c r="PYE136" s="105"/>
      <c r="PYF136" s="105"/>
      <c r="PYG136" s="105"/>
      <c r="PYH136" s="105"/>
      <c r="PYI136" s="105"/>
      <c r="PYJ136" s="105"/>
      <c r="PYK136" s="105"/>
      <c r="PYL136" s="105"/>
      <c r="PYM136" s="105"/>
      <c r="PYN136" s="105"/>
      <c r="PYO136" s="105"/>
      <c r="PYP136" s="105"/>
      <c r="PYQ136" s="105"/>
      <c r="PYR136" s="105"/>
      <c r="PYS136" s="105"/>
      <c r="PYT136" s="105"/>
      <c r="PYU136" s="105"/>
      <c r="PYV136" s="105"/>
      <c r="PYW136" s="105"/>
      <c r="PYX136" s="105"/>
      <c r="PYY136" s="105"/>
      <c r="PYZ136" s="105"/>
      <c r="PZA136" s="105"/>
      <c r="PZB136" s="105"/>
      <c r="PZC136" s="105"/>
      <c r="PZD136" s="105"/>
      <c r="PZE136" s="105"/>
      <c r="PZF136" s="105"/>
      <c r="PZG136" s="105"/>
      <c r="PZH136" s="105"/>
      <c r="PZI136" s="105"/>
      <c r="PZJ136" s="105"/>
      <c r="PZK136" s="105"/>
      <c r="PZL136" s="105"/>
      <c r="PZM136" s="105"/>
      <c r="PZN136" s="105"/>
      <c r="PZO136" s="105"/>
      <c r="PZP136" s="105"/>
      <c r="PZQ136" s="105"/>
      <c r="PZR136" s="105"/>
      <c r="PZS136" s="105"/>
      <c r="PZT136" s="105"/>
      <c r="PZU136" s="105"/>
      <c r="PZV136" s="105"/>
      <c r="PZW136" s="105"/>
      <c r="PZX136" s="105"/>
      <c r="PZY136" s="105"/>
      <c r="PZZ136" s="105"/>
      <c r="QAA136" s="105"/>
      <c r="QAB136" s="105"/>
      <c r="QAC136" s="105"/>
      <c r="QAD136" s="105"/>
      <c r="QAE136" s="105"/>
      <c r="QAF136" s="105"/>
      <c r="QAG136" s="105"/>
      <c r="QAH136" s="105"/>
      <c r="QAI136" s="105"/>
      <c r="QAJ136" s="105"/>
      <c r="QAK136" s="105"/>
      <c r="QAL136" s="105"/>
      <c r="QAM136" s="105"/>
      <c r="QAN136" s="105"/>
      <c r="QAO136" s="105"/>
      <c r="QAP136" s="105"/>
      <c r="QAQ136" s="105"/>
      <c r="QAR136" s="105"/>
      <c r="QAS136" s="105"/>
      <c r="QAT136" s="105"/>
      <c r="QAU136" s="105"/>
      <c r="QAV136" s="105"/>
      <c r="QAW136" s="105"/>
      <c r="QAX136" s="105"/>
      <c r="QAY136" s="105"/>
      <c r="QAZ136" s="105"/>
      <c r="QBA136" s="105"/>
      <c r="QBB136" s="105"/>
      <c r="QBC136" s="105"/>
      <c r="QBD136" s="105"/>
      <c r="QBE136" s="105"/>
      <c r="QBF136" s="105"/>
      <c r="QBG136" s="105"/>
      <c r="QBH136" s="105"/>
      <c r="QBI136" s="105"/>
      <c r="QBJ136" s="105"/>
      <c r="QBK136" s="105"/>
      <c r="QBL136" s="105"/>
      <c r="QBM136" s="105"/>
      <c r="QBN136" s="105"/>
      <c r="QBO136" s="105"/>
      <c r="QBP136" s="105"/>
      <c r="QBQ136" s="105"/>
      <c r="QBR136" s="105"/>
      <c r="QBS136" s="105"/>
      <c r="QBT136" s="105"/>
      <c r="QBU136" s="105"/>
      <c r="QBV136" s="105"/>
      <c r="QBW136" s="105"/>
      <c r="QBX136" s="105"/>
      <c r="QBY136" s="105"/>
      <c r="QBZ136" s="105"/>
      <c r="QCA136" s="105"/>
      <c r="QCB136" s="105"/>
      <c r="QCC136" s="105"/>
      <c r="QCD136" s="105"/>
      <c r="QCE136" s="105"/>
      <c r="QCF136" s="105"/>
      <c r="QCG136" s="105"/>
      <c r="QCH136" s="105"/>
      <c r="QCI136" s="105"/>
      <c r="QCJ136" s="105"/>
      <c r="QCK136" s="105"/>
      <c r="QCL136" s="105"/>
      <c r="QCM136" s="105"/>
      <c r="QCN136" s="105"/>
      <c r="QCO136" s="105"/>
      <c r="QCP136" s="105"/>
      <c r="QCQ136" s="105"/>
      <c r="QCR136" s="105"/>
      <c r="QCS136" s="105"/>
      <c r="QCT136" s="105"/>
      <c r="QCU136" s="105"/>
      <c r="QCV136" s="105"/>
      <c r="QCW136" s="105"/>
      <c r="QCX136" s="105"/>
      <c r="QCY136" s="105"/>
      <c r="QCZ136" s="105"/>
      <c r="QDA136" s="105"/>
      <c r="QDB136" s="105"/>
      <c r="QDC136" s="105"/>
      <c r="QDD136" s="105"/>
      <c r="QDE136" s="105"/>
      <c r="QDF136" s="105"/>
      <c r="QDG136" s="105"/>
      <c r="QDH136" s="105"/>
      <c r="QDI136" s="105"/>
      <c r="QDJ136" s="105"/>
      <c r="QDK136" s="105"/>
      <c r="QDL136" s="105"/>
      <c r="QDM136" s="105"/>
      <c r="QDN136" s="105"/>
      <c r="QDO136" s="105"/>
      <c r="QDP136" s="105"/>
      <c r="QDQ136" s="105"/>
      <c r="QDR136" s="105"/>
      <c r="QDS136" s="105"/>
      <c r="QDT136" s="105"/>
      <c r="QDU136" s="105"/>
      <c r="QDV136" s="105"/>
      <c r="QDW136" s="105"/>
      <c r="QDX136" s="105"/>
      <c r="QDY136" s="105"/>
      <c r="QDZ136" s="105"/>
      <c r="QEA136" s="105"/>
      <c r="QEB136" s="105"/>
      <c r="QEC136" s="105"/>
      <c r="QED136" s="105"/>
      <c r="QEE136" s="105"/>
      <c r="QEF136" s="105"/>
      <c r="QEG136" s="105"/>
      <c r="QEH136" s="105"/>
      <c r="QEI136" s="105"/>
      <c r="QEJ136" s="105"/>
      <c r="QEK136" s="105"/>
      <c r="QEL136" s="105"/>
      <c r="QEM136" s="105"/>
      <c r="QEN136" s="105"/>
      <c r="QEO136" s="105"/>
      <c r="QEP136" s="105"/>
      <c r="QEQ136" s="105"/>
      <c r="QER136" s="105"/>
      <c r="QES136" s="105"/>
      <c r="QET136" s="105"/>
      <c r="QEU136" s="105"/>
      <c r="QEV136" s="105"/>
      <c r="QEW136" s="105"/>
      <c r="QEX136" s="105"/>
      <c r="QEY136" s="105"/>
      <c r="QEZ136" s="105"/>
      <c r="QFA136" s="105"/>
      <c r="QFB136" s="105"/>
      <c r="QFC136" s="105"/>
      <c r="QFD136" s="105"/>
      <c r="QFE136" s="105"/>
      <c r="QFF136" s="105"/>
      <c r="QFG136" s="105"/>
      <c r="QFH136" s="105"/>
      <c r="QFI136" s="105"/>
      <c r="QFJ136" s="105"/>
      <c r="QFK136" s="105"/>
      <c r="QFL136" s="105"/>
      <c r="QFM136" s="105"/>
      <c r="QFN136" s="105"/>
      <c r="QFO136" s="105"/>
      <c r="QFP136" s="105"/>
      <c r="QFQ136" s="105"/>
      <c r="QFR136" s="105"/>
      <c r="QFS136" s="105"/>
      <c r="QFT136" s="105"/>
      <c r="QFU136" s="105"/>
      <c r="QFV136" s="105"/>
      <c r="QFW136" s="105"/>
      <c r="QFX136" s="105"/>
      <c r="QFY136" s="105"/>
      <c r="QFZ136" s="105"/>
      <c r="QGA136" s="105"/>
      <c r="QGB136" s="105"/>
      <c r="QGC136" s="105"/>
      <c r="QGD136" s="105"/>
      <c r="QGE136" s="105"/>
      <c r="QGF136" s="105"/>
      <c r="QGG136" s="105"/>
      <c r="QGH136" s="105"/>
      <c r="QGI136" s="105"/>
      <c r="QGJ136" s="105"/>
      <c r="QGK136" s="105"/>
      <c r="QGL136" s="105"/>
      <c r="QGM136" s="105"/>
      <c r="QGN136" s="105"/>
      <c r="QGO136" s="105"/>
      <c r="QGP136" s="105"/>
      <c r="QGQ136" s="105"/>
      <c r="QGR136" s="105"/>
      <c r="QGS136" s="105"/>
      <c r="QGT136" s="105"/>
      <c r="QGU136" s="105"/>
      <c r="QGV136" s="105"/>
      <c r="QGW136" s="105"/>
      <c r="QGX136" s="105"/>
      <c r="QGY136" s="105"/>
      <c r="QGZ136" s="105"/>
      <c r="QHA136" s="105"/>
      <c r="QHB136" s="105"/>
      <c r="QHC136" s="105"/>
      <c r="QHD136" s="105"/>
      <c r="QHE136" s="105"/>
      <c r="QHF136" s="105"/>
      <c r="QHG136" s="105"/>
      <c r="QHH136" s="105"/>
      <c r="QHI136" s="105"/>
      <c r="QHJ136" s="105"/>
      <c r="QHK136" s="105"/>
      <c r="QHL136" s="105"/>
      <c r="QHM136" s="105"/>
      <c r="QHN136" s="105"/>
      <c r="QHO136" s="105"/>
      <c r="QHP136" s="105"/>
      <c r="QHQ136" s="105"/>
      <c r="QHR136" s="105"/>
      <c r="QHS136" s="105"/>
      <c r="QHT136" s="105"/>
      <c r="QHU136" s="105"/>
      <c r="QHV136" s="105"/>
      <c r="QHW136" s="105"/>
      <c r="QHX136" s="105"/>
      <c r="QHY136" s="105"/>
      <c r="QHZ136" s="105"/>
      <c r="QIA136" s="105"/>
      <c r="QIB136" s="105"/>
      <c r="QIC136" s="105"/>
      <c r="QID136" s="105"/>
      <c r="QIE136" s="105"/>
      <c r="QIF136" s="105"/>
      <c r="QIG136" s="105"/>
      <c r="QIH136" s="105"/>
      <c r="QII136" s="105"/>
      <c r="QIJ136" s="105"/>
      <c r="QIK136" s="105"/>
      <c r="QIL136" s="105"/>
      <c r="QIM136" s="105"/>
      <c r="QIN136" s="105"/>
      <c r="QIO136" s="105"/>
      <c r="QIP136" s="105"/>
      <c r="QIQ136" s="105"/>
      <c r="QIR136" s="105"/>
      <c r="QIS136" s="105"/>
      <c r="QIT136" s="105"/>
      <c r="QIU136" s="105"/>
      <c r="QIV136" s="105"/>
      <c r="QIW136" s="105"/>
      <c r="QIX136" s="105"/>
      <c r="QIY136" s="105"/>
      <c r="QIZ136" s="105"/>
      <c r="QJA136" s="105"/>
      <c r="QJB136" s="105"/>
      <c r="QJC136" s="105"/>
      <c r="QJD136" s="105"/>
      <c r="QJE136" s="105"/>
      <c r="QJF136" s="105"/>
      <c r="QJG136" s="105"/>
      <c r="QJH136" s="105"/>
      <c r="QJI136" s="105"/>
      <c r="QJJ136" s="105"/>
      <c r="QJK136" s="105"/>
      <c r="QJL136" s="105"/>
      <c r="QJM136" s="105"/>
      <c r="QJN136" s="105"/>
      <c r="QJO136" s="105"/>
      <c r="QJP136" s="105"/>
      <c r="QJQ136" s="105"/>
      <c r="QJR136" s="105"/>
      <c r="QJS136" s="105"/>
      <c r="QJT136" s="105"/>
      <c r="QJU136" s="105"/>
      <c r="QJV136" s="105"/>
      <c r="QJW136" s="105"/>
      <c r="QJX136" s="105"/>
      <c r="QJY136" s="105"/>
      <c r="QJZ136" s="105"/>
      <c r="QKA136" s="105"/>
      <c r="QKB136" s="105"/>
      <c r="QKC136" s="105"/>
      <c r="QKD136" s="105"/>
      <c r="QKE136" s="105"/>
      <c r="QKF136" s="105"/>
      <c r="QKG136" s="105"/>
      <c r="QKH136" s="105"/>
      <c r="QKI136" s="105"/>
      <c r="QKJ136" s="105"/>
      <c r="QKK136" s="105"/>
      <c r="QKL136" s="105"/>
      <c r="QKM136" s="105"/>
      <c r="QKN136" s="105"/>
      <c r="QKO136" s="105"/>
      <c r="QKP136" s="105"/>
      <c r="QKQ136" s="105"/>
      <c r="QKR136" s="105"/>
      <c r="QKS136" s="105"/>
      <c r="QKT136" s="105"/>
      <c r="QKU136" s="105"/>
      <c r="QKV136" s="105"/>
      <c r="QKW136" s="105"/>
      <c r="QKX136" s="105"/>
      <c r="QKY136" s="105"/>
      <c r="QKZ136" s="105"/>
      <c r="QLA136" s="105"/>
      <c r="QLB136" s="105"/>
      <c r="QLC136" s="105"/>
      <c r="QLD136" s="105"/>
      <c r="QLE136" s="105"/>
      <c r="QLF136" s="105"/>
      <c r="QLG136" s="105"/>
      <c r="QLH136" s="105"/>
      <c r="QLI136" s="105"/>
      <c r="QLJ136" s="105"/>
      <c r="QLK136" s="105"/>
      <c r="QLL136" s="105"/>
      <c r="QLM136" s="105"/>
      <c r="QLN136" s="105"/>
      <c r="QLO136" s="105"/>
      <c r="QLP136" s="105"/>
      <c r="QLQ136" s="105"/>
      <c r="QLR136" s="105"/>
      <c r="QLS136" s="105"/>
      <c r="QLT136" s="105"/>
      <c r="QLU136" s="105"/>
      <c r="QLV136" s="105"/>
      <c r="QLW136" s="105"/>
      <c r="QLX136" s="105"/>
      <c r="QLY136" s="105"/>
      <c r="QLZ136" s="105"/>
      <c r="QMA136" s="105"/>
      <c r="QMB136" s="105"/>
      <c r="QMC136" s="105"/>
      <c r="QMD136" s="105"/>
      <c r="QME136" s="105"/>
      <c r="QMF136" s="105"/>
      <c r="QMG136" s="105"/>
      <c r="QMH136" s="105"/>
      <c r="QMI136" s="105"/>
      <c r="QMJ136" s="105"/>
      <c r="QMK136" s="105"/>
      <c r="QML136" s="105"/>
      <c r="QMM136" s="105"/>
      <c r="QMN136" s="105"/>
      <c r="QMO136" s="105"/>
      <c r="QMP136" s="105"/>
      <c r="QMQ136" s="105"/>
      <c r="QMR136" s="105"/>
      <c r="QMS136" s="105"/>
      <c r="QMT136" s="105"/>
      <c r="QMU136" s="105"/>
      <c r="QMV136" s="105"/>
      <c r="QMW136" s="105"/>
      <c r="QMX136" s="105"/>
      <c r="QMY136" s="105"/>
      <c r="QMZ136" s="105"/>
      <c r="QNA136" s="105"/>
      <c r="QNB136" s="105"/>
      <c r="QNC136" s="105"/>
      <c r="QND136" s="105"/>
      <c r="QNE136" s="105"/>
      <c r="QNF136" s="105"/>
      <c r="QNG136" s="105"/>
      <c r="QNH136" s="105"/>
      <c r="QNI136" s="105"/>
      <c r="QNJ136" s="105"/>
      <c r="QNK136" s="105"/>
      <c r="QNL136" s="105"/>
      <c r="QNM136" s="105"/>
      <c r="QNN136" s="105"/>
      <c r="QNO136" s="105"/>
      <c r="QNP136" s="105"/>
      <c r="QNQ136" s="105"/>
      <c r="QNR136" s="105"/>
      <c r="QNS136" s="105"/>
      <c r="QNT136" s="105"/>
      <c r="QNU136" s="105"/>
      <c r="QNV136" s="105"/>
      <c r="QNW136" s="105"/>
      <c r="QNX136" s="105"/>
      <c r="QNY136" s="105"/>
      <c r="QNZ136" s="105"/>
      <c r="QOA136" s="105"/>
      <c r="QOB136" s="105"/>
      <c r="QOC136" s="105"/>
      <c r="QOD136" s="105"/>
      <c r="QOE136" s="105"/>
      <c r="QOF136" s="105"/>
      <c r="QOG136" s="105"/>
      <c r="QOH136" s="105"/>
      <c r="QOI136" s="105"/>
      <c r="QOJ136" s="105"/>
      <c r="QOK136" s="105"/>
      <c r="QOL136" s="105"/>
      <c r="QOM136" s="105"/>
      <c r="QON136" s="105"/>
      <c r="QOO136" s="105"/>
      <c r="QOP136" s="105"/>
      <c r="QOQ136" s="105"/>
      <c r="QOR136" s="105"/>
      <c r="QOS136" s="105"/>
      <c r="QOT136" s="105"/>
      <c r="QOU136" s="105"/>
      <c r="QOV136" s="105"/>
      <c r="QOW136" s="105"/>
      <c r="QOX136" s="105"/>
      <c r="QOY136" s="105"/>
      <c r="QOZ136" s="105"/>
      <c r="QPA136" s="105"/>
      <c r="QPB136" s="105"/>
      <c r="QPC136" s="105"/>
      <c r="QPD136" s="105"/>
      <c r="QPE136" s="105"/>
      <c r="QPF136" s="105"/>
      <c r="QPG136" s="105"/>
      <c r="QPH136" s="105"/>
      <c r="QPI136" s="105"/>
      <c r="QPJ136" s="105"/>
      <c r="QPK136" s="105"/>
      <c r="QPL136" s="105"/>
      <c r="QPM136" s="105"/>
      <c r="QPN136" s="105"/>
      <c r="QPO136" s="105"/>
      <c r="QPP136" s="105"/>
      <c r="QPQ136" s="105"/>
      <c r="QPR136" s="105"/>
      <c r="QPS136" s="105"/>
      <c r="QPT136" s="105"/>
      <c r="QPU136" s="105"/>
      <c r="QPV136" s="105"/>
      <c r="QPW136" s="105"/>
      <c r="QPX136" s="105"/>
      <c r="QPY136" s="105"/>
      <c r="QPZ136" s="105"/>
      <c r="QQA136" s="105"/>
      <c r="QQB136" s="105"/>
      <c r="QQC136" s="105"/>
      <c r="QQD136" s="105"/>
      <c r="QQE136" s="105"/>
      <c r="QQF136" s="105"/>
      <c r="QQG136" s="105"/>
      <c r="QQH136" s="105"/>
      <c r="QQI136" s="105"/>
      <c r="QQJ136" s="105"/>
      <c r="QQK136" s="105"/>
      <c r="QQL136" s="105"/>
      <c r="QQM136" s="105"/>
      <c r="QQN136" s="105"/>
      <c r="QQO136" s="105"/>
      <c r="QQP136" s="105"/>
      <c r="QQQ136" s="105"/>
      <c r="QQR136" s="105"/>
      <c r="QQS136" s="105"/>
      <c r="QQT136" s="105"/>
      <c r="QQU136" s="105"/>
      <c r="QQV136" s="105"/>
      <c r="QQW136" s="105"/>
      <c r="QQX136" s="105"/>
      <c r="QQY136" s="105"/>
      <c r="QQZ136" s="105"/>
      <c r="QRA136" s="105"/>
      <c r="QRB136" s="105"/>
      <c r="QRC136" s="105"/>
      <c r="QRD136" s="105"/>
      <c r="QRE136" s="105"/>
      <c r="QRF136" s="105"/>
      <c r="QRG136" s="105"/>
      <c r="QRH136" s="105"/>
      <c r="QRI136" s="105"/>
      <c r="QRJ136" s="105"/>
      <c r="QRK136" s="105"/>
      <c r="QRL136" s="105"/>
      <c r="QRM136" s="105"/>
      <c r="QRN136" s="105"/>
      <c r="QRO136" s="105"/>
      <c r="QRP136" s="105"/>
      <c r="QRQ136" s="105"/>
      <c r="QRR136" s="105"/>
      <c r="QRS136" s="105"/>
      <c r="QRT136" s="105"/>
      <c r="QRU136" s="105"/>
      <c r="QRV136" s="105"/>
      <c r="QRW136" s="105"/>
      <c r="QRX136" s="105"/>
      <c r="QRY136" s="105"/>
      <c r="QRZ136" s="105"/>
      <c r="QSA136" s="105"/>
      <c r="QSB136" s="105"/>
      <c r="QSC136" s="105"/>
      <c r="QSD136" s="105"/>
      <c r="QSE136" s="105"/>
      <c r="QSF136" s="105"/>
      <c r="QSG136" s="105"/>
      <c r="QSH136" s="105"/>
      <c r="QSI136" s="105"/>
      <c r="QSJ136" s="105"/>
      <c r="QSK136" s="105"/>
      <c r="QSL136" s="105"/>
      <c r="QSM136" s="105"/>
      <c r="QSN136" s="105"/>
      <c r="QSO136" s="105"/>
      <c r="QSP136" s="105"/>
      <c r="QSQ136" s="105"/>
      <c r="QSR136" s="105"/>
      <c r="QSS136" s="105"/>
      <c r="QST136" s="105"/>
      <c r="QSU136" s="105"/>
      <c r="QSV136" s="105"/>
      <c r="QSW136" s="105"/>
      <c r="QSX136" s="105"/>
      <c r="QSY136" s="105"/>
      <c r="QSZ136" s="105"/>
      <c r="QTA136" s="105"/>
      <c r="QTB136" s="105"/>
      <c r="QTC136" s="105"/>
      <c r="QTD136" s="105"/>
      <c r="QTE136" s="105"/>
      <c r="QTF136" s="105"/>
      <c r="QTG136" s="105"/>
      <c r="QTH136" s="105"/>
      <c r="QTI136" s="105"/>
      <c r="QTJ136" s="105"/>
      <c r="QTK136" s="105"/>
      <c r="QTL136" s="105"/>
      <c r="QTM136" s="105"/>
      <c r="QTN136" s="105"/>
      <c r="QTO136" s="105"/>
      <c r="QTP136" s="105"/>
      <c r="QTQ136" s="105"/>
      <c r="QTR136" s="105"/>
      <c r="QTS136" s="105"/>
      <c r="QTT136" s="105"/>
      <c r="QTU136" s="105"/>
      <c r="QTV136" s="105"/>
      <c r="QTW136" s="105"/>
      <c r="QTX136" s="105"/>
      <c r="QTY136" s="105"/>
      <c r="QTZ136" s="105"/>
      <c r="QUA136" s="105"/>
      <c r="QUB136" s="105"/>
      <c r="QUC136" s="105"/>
      <c r="QUD136" s="105"/>
      <c r="QUE136" s="105"/>
      <c r="QUF136" s="105"/>
      <c r="QUG136" s="105"/>
      <c r="QUH136" s="105"/>
      <c r="QUI136" s="105"/>
      <c r="QUJ136" s="105"/>
      <c r="QUK136" s="105"/>
      <c r="QUL136" s="105"/>
      <c r="QUM136" s="105"/>
      <c r="QUN136" s="105"/>
      <c r="QUO136" s="105"/>
      <c r="QUP136" s="105"/>
      <c r="QUQ136" s="105"/>
      <c r="QUR136" s="105"/>
      <c r="QUS136" s="105"/>
      <c r="QUT136" s="105"/>
      <c r="QUU136" s="105"/>
      <c r="QUV136" s="105"/>
      <c r="QUW136" s="105"/>
      <c r="QUX136" s="105"/>
      <c r="QUY136" s="105"/>
      <c r="QUZ136" s="105"/>
      <c r="QVA136" s="105"/>
      <c r="QVB136" s="105"/>
      <c r="QVC136" s="105"/>
      <c r="QVD136" s="105"/>
      <c r="QVE136" s="105"/>
      <c r="QVF136" s="105"/>
      <c r="QVG136" s="105"/>
      <c r="QVH136" s="105"/>
      <c r="QVI136" s="105"/>
      <c r="QVJ136" s="105"/>
      <c r="QVK136" s="105"/>
      <c r="QVL136" s="105"/>
      <c r="QVM136" s="105"/>
      <c r="QVN136" s="105"/>
      <c r="QVO136" s="105"/>
      <c r="QVP136" s="105"/>
      <c r="QVQ136" s="105"/>
      <c r="QVR136" s="105"/>
      <c r="QVS136" s="105"/>
      <c r="QVT136" s="105"/>
      <c r="QVU136" s="105"/>
      <c r="QVV136" s="105"/>
      <c r="QVW136" s="105"/>
      <c r="QVX136" s="105"/>
      <c r="QVY136" s="105"/>
      <c r="QVZ136" s="105"/>
      <c r="QWA136" s="105"/>
      <c r="QWB136" s="105"/>
      <c r="QWC136" s="105"/>
      <c r="QWD136" s="105"/>
      <c r="QWE136" s="105"/>
      <c r="QWF136" s="105"/>
      <c r="QWG136" s="105"/>
      <c r="QWH136" s="105"/>
      <c r="QWI136" s="105"/>
      <c r="QWJ136" s="105"/>
      <c r="QWK136" s="105"/>
      <c r="QWL136" s="105"/>
      <c r="QWM136" s="105"/>
      <c r="QWN136" s="105"/>
      <c r="QWO136" s="105"/>
      <c r="QWP136" s="105"/>
      <c r="QWQ136" s="105"/>
      <c r="QWR136" s="105"/>
      <c r="QWS136" s="105"/>
      <c r="QWT136" s="105"/>
      <c r="QWU136" s="105"/>
      <c r="QWV136" s="105"/>
      <c r="QWW136" s="105"/>
      <c r="QWX136" s="105"/>
      <c r="QWY136" s="105"/>
      <c r="QWZ136" s="105"/>
      <c r="QXA136" s="105"/>
      <c r="QXB136" s="105"/>
      <c r="QXC136" s="105"/>
      <c r="QXD136" s="105"/>
      <c r="QXE136" s="105"/>
      <c r="QXF136" s="105"/>
      <c r="QXG136" s="105"/>
      <c r="QXH136" s="105"/>
      <c r="QXI136" s="105"/>
      <c r="QXJ136" s="105"/>
      <c r="QXK136" s="105"/>
      <c r="QXL136" s="105"/>
      <c r="QXM136" s="105"/>
      <c r="QXN136" s="105"/>
      <c r="QXO136" s="105"/>
      <c r="QXP136" s="105"/>
      <c r="QXQ136" s="105"/>
      <c r="QXR136" s="105"/>
      <c r="QXS136" s="105"/>
      <c r="QXT136" s="105"/>
      <c r="QXU136" s="105"/>
      <c r="QXV136" s="105"/>
      <c r="QXW136" s="105"/>
      <c r="QXX136" s="105"/>
      <c r="QXY136" s="105"/>
      <c r="QXZ136" s="105"/>
      <c r="QYA136" s="105"/>
      <c r="QYB136" s="105"/>
      <c r="QYC136" s="105"/>
      <c r="QYD136" s="105"/>
      <c r="QYE136" s="105"/>
      <c r="QYF136" s="105"/>
      <c r="QYG136" s="105"/>
      <c r="QYH136" s="105"/>
      <c r="QYI136" s="105"/>
      <c r="QYJ136" s="105"/>
      <c r="QYK136" s="105"/>
      <c r="QYL136" s="105"/>
      <c r="QYM136" s="105"/>
      <c r="QYN136" s="105"/>
      <c r="QYO136" s="105"/>
      <c r="QYP136" s="105"/>
      <c r="QYQ136" s="105"/>
      <c r="QYR136" s="105"/>
      <c r="QYS136" s="105"/>
      <c r="QYT136" s="105"/>
      <c r="QYU136" s="105"/>
      <c r="QYV136" s="105"/>
      <c r="QYW136" s="105"/>
      <c r="QYX136" s="105"/>
      <c r="QYY136" s="105"/>
      <c r="QYZ136" s="105"/>
      <c r="QZA136" s="105"/>
      <c r="QZB136" s="105"/>
      <c r="QZC136" s="105"/>
      <c r="QZD136" s="105"/>
      <c r="QZE136" s="105"/>
      <c r="QZF136" s="105"/>
      <c r="QZG136" s="105"/>
      <c r="QZH136" s="105"/>
      <c r="QZI136" s="105"/>
      <c r="QZJ136" s="105"/>
      <c r="QZK136" s="105"/>
      <c r="QZL136" s="105"/>
      <c r="QZM136" s="105"/>
      <c r="QZN136" s="105"/>
      <c r="QZO136" s="105"/>
      <c r="QZP136" s="105"/>
      <c r="QZQ136" s="105"/>
      <c r="QZR136" s="105"/>
      <c r="QZS136" s="105"/>
      <c r="QZT136" s="105"/>
      <c r="QZU136" s="105"/>
      <c r="QZV136" s="105"/>
      <c r="QZW136" s="105"/>
      <c r="QZX136" s="105"/>
      <c r="QZY136" s="105"/>
      <c r="QZZ136" s="105"/>
      <c r="RAA136" s="105"/>
      <c r="RAB136" s="105"/>
      <c r="RAC136" s="105"/>
      <c r="RAD136" s="105"/>
      <c r="RAE136" s="105"/>
      <c r="RAF136" s="105"/>
      <c r="RAG136" s="105"/>
      <c r="RAH136" s="105"/>
      <c r="RAI136" s="105"/>
      <c r="RAJ136" s="105"/>
      <c r="RAK136" s="105"/>
      <c r="RAL136" s="105"/>
      <c r="RAM136" s="105"/>
      <c r="RAN136" s="105"/>
      <c r="RAO136" s="105"/>
      <c r="RAP136" s="105"/>
      <c r="RAQ136" s="105"/>
      <c r="RAR136" s="105"/>
      <c r="RAS136" s="105"/>
      <c r="RAT136" s="105"/>
      <c r="RAU136" s="105"/>
      <c r="RAV136" s="105"/>
      <c r="RAW136" s="105"/>
      <c r="RAX136" s="105"/>
      <c r="RAY136" s="105"/>
      <c r="RAZ136" s="105"/>
      <c r="RBA136" s="105"/>
      <c r="RBB136" s="105"/>
      <c r="RBC136" s="105"/>
      <c r="RBD136" s="105"/>
      <c r="RBE136" s="105"/>
      <c r="RBF136" s="105"/>
      <c r="RBG136" s="105"/>
      <c r="RBH136" s="105"/>
      <c r="RBI136" s="105"/>
      <c r="RBJ136" s="105"/>
      <c r="RBK136" s="105"/>
      <c r="RBL136" s="105"/>
      <c r="RBM136" s="105"/>
      <c r="RBN136" s="105"/>
      <c r="RBO136" s="105"/>
      <c r="RBP136" s="105"/>
      <c r="RBQ136" s="105"/>
      <c r="RBR136" s="105"/>
      <c r="RBS136" s="105"/>
      <c r="RBT136" s="105"/>
      <c r="RBU136" s="105"/>
      <c r="RBV136" s="105"/>
      <c r="RBW136" s="105"/>
      <c r="RBX136" s="105"/>
      <c r="RBY136" s="105"/>
      <c r="RBZ136" s="105"/>
      <c r="RCA136" s="105"/>
      <c r="RCB136" s="105"/>
      <c r="RCC136" s="105"/>
      <c r="RCD136" s="105"/>
      <c r="RCE136" s="105"/>
      <c r="RCF136" s="105"/>
      <c r="RCG136" s="105"/>
      <c r="RCH136" s="105"/>
      <c r="RCI136" s="105"/>
      <c r="RCJ136" s="105"/>
      <c r="RCK136" s="105"/>
      <c r="RCL136" s="105"/>
      <c r="RCM136" s="105"/>
      <c r="RCN136" s="105"/>
      <c r="RCO136" s="105"/>
      <c r="RCP136" s="105"/>
      <c r="RCQ136" s="105"/>
      <c r="RCR136" s="105"/>
      <c r="RCS136" s="105"/>
      <c r="RCT136" s="105"/>
      <c r="RCU136" s="105"/>
      <c r="RCV136" s="105"/>
      <c r="RCW136" s="105"/>
      <c r="RCX136" s="105"/>
      <c r="RCY136" s="105"/>
      <c r="RCZ136" s="105"/>
      <c r="RDA136" s="105"/>
      <c r="RDB136" s="105"/>
      <c r="RDC136" s="105"/>
      <c r="RDD136" s="105"/>
      <c r="RDE136" s="105"/>
      <c r="RDF136" s="105"/>
      <c r="RDG136" s="105"/>
      <c r="RDH136" s="105"/>
      <c r="RDI136" s="105"/>
      <c r="RDJ136" s="105"/>
      <c r="RDK136" s="105"/>
      <c r="RDL136" s="105"/>
      <c r="RDM136" s="105"/>
      <c r="RDN136" s="105"/>
      <c r="RDO136" s="105"/>
      <c r="RDP136" s="105"/>
      <c r="RDQ136" s="105"/>
      <c r="RDR136" s="105"/>
      <c r="RDS136" s="105"/>
      <c r="RDT136" s="105"/>
      <c r="RDU136" s="105"/>
      <c r="RDV136" s="105"/>
      <c r="RDW136" s="105"/>
      <c r="RDX136" s="105"/>
      <c r="RDY136" s="105"/>
      <c r="RDZ136" s="105"/>
      <c r="REA136" s="105"/>
      <c r="REB136" s="105"/>
      <c r="REC136" s="105"/>
      <c r="RED136" s="105"/>
      <c r="REE136" s="105"/>
      <c r="REF136" s="105"/>
      <c r="REG136" s="105"/>
      <c r="REH136" s="105"/>
      <c r="REI136" s="105"/>
      <c r="REJ136" s="105"/>
      <c r="REK136" s="105"/>
      <c r="REL136" s="105"/>
      <c r="REM136" s="105"/>
      <c r="REN136" s="105"/>
      <c r="REO136" s="105"/>
      <c r="REP136" s="105"/>
      <c r="REQ136" s="105"/>
      <c r="RER136" s="105"/>
      <c r="RES136" s="105"/>
      <c r="RET136" s="105"/>
      <c r="REU136" s="105"/>
      <c r="REV136" s="105"/>
      <c r="REW136" s="105"/>
      <c r="REX136" s="105"/>
      <c r="REY136" s="105"/>
      <c r="REZ136" s="105"/>
      <c r="RFA136" s="105"/>
      <c r="RFB136" s="105"/>
      <c r="RFC136" s="105"/>
      <c r="RFD136" s="105"/>
      <c r="RFE136" s="105"/>
      <c r="RFF136" s="105"/>
      <c r="RFG136" s="105"/>
      <c r="RFH136" s="105"/>
      <c r="RFI136" s="105"/>
      <c r="RFJ136" s="105"/>
      <c r="RFK136" s="105"/>
      <c r="RFL136" s="105"/>
      <c r="RFM136" s="105"/>
      <c r="RFN136" s="105"/>
      <c r="RFO136" s="105"/>
      <c r="RFP136" s="105"/>
      <c r="RFQ136" s="105"/>
      <c r="RFR136" s="105"/>
      <c r="RFS136" s="105"/>
      <c r="RFT136" s="105"/>
      <c r="RFU136" s="105"/>
      <c r="RFV136" s="105"/>
      <c r="RFW136" s="105"/>
      <c r="RFX136" s="105"/>
      <c r="RFY136" s="105"/>
      <c r="RFZ136" s="105"/>
      <c r="RGA136" s="105"/>
      <c r="RGB136" s="105"/>
      <c r="RGC136" s="105"/>
      <c r="RGD136" s="105"/>
      <c r="RGE136" s="105"/>
      <c r="RGF136" s="105"/>
      <c r="RGG136" s="105"/>
      <c r="RGH136" s="105"/>
      <c r="RGI136" s="105"/>
      <c r="RGJ136" s="105"/>
      <c r="RGK136" s="105"/>
      <c r="RGL136" s="105"/>
      <c r="RGM136" s="105"/>
      <c r="RGN136" s="105"/>
      <c r="RGO136" s="105"/>
      <c r="RGP136" s="105"/>
      <c r="RGQ136" s="105"/>
      <c r="RGR136" s="105"/>
      <c r="RGS136" s="105"/>
      <c r="RGT136" s="105"/>
      <c r="RGU136" s="105"/>
      <c r="RGV136" s="105"/>
      <c r="RGW136" s="105"/>
      <c r="RGX136" s="105"/>
      <c r="RGY136" s="105"/>
      <c r="RGZ136" s="105"/>
      <c r="RHA136" s="105"/>
      <c r="RHB136" s="105"/>
      <c r="RHC136" s="105"/>
      <c r="RHD136" s="105"/>
      <c r="RHE136" s="105"/>
      <c r="RHF136" s="105"/>
      <c r="RHG136" s="105"/>
      <c r="RHH136" s="105"/>
      <c r="RHI136" s="105"/>
      <c r="RHJ136" s="105"/>
      <c r="RHK136" s="105"/>
      <c r="RHL136" s="105"/>
      <c r="RHM136" s="105"/>
      <c r="RHN136" s="105"/>
      <c r="RHO136" s="105"/>
      <c r="RHP136" s="105"/>
      <c r="RHQ136" s="105"/>
      <c r="RHR136" s="105"/>
      <c r="RHS136" s="105"/>
      <c r="RHT136" s="105"/>
      <c r="RHU136" s="105"/>
      <c r="RHV136" s="105"/>
      <c r="RHW136" s="105"/>
      <c r="RHX136" s="105"/>
      <c r="RHY136" s="105"/>
      <c r="RHZ136" s="105"/>
      <c r="RIA136" s="105"/>
      <c r="RIB136" s="105"/>
      <c r="RIC136" s="105"/>
      <c r="RID136" s="105"/>
      <c r="RIE136" s="105"/>
      <c r="RIF136" s="105"/>
      <c r="RIG136" s="105"/>
      <c r="RIH136" s="105"/>
      <c r="RII136" s="105"/>
      <c r="RIJ136" s="105"/>
      <c r="RIK136" s="105"/>
      <c r="RIL136" s="105"/>
      <c r="RIM136" s="105"/>
      <c r="RIN136" s="105"/>
      <c r="RIO136" s="105"/>
      <c r="RIP136" s="105"/>
      <c r="RIQ136" s="105"/>
      <c r="RIR136" s="105"/>
      <c r="RIS136" s="105"/>
      <c r="RIT136" s="105"/>
      <c r="RIU136" s="105"/>
      <c r="RIV136" s="105"/>
      <c r="RIW136" s="105"/>
      <c r="RIX136" s="105"/>
      <c r="RIY136" s="105"/>
      <c r="RIZ136" s="105"/>
      <c r="RJA136" s="105"/>
      <c r="RJB136" s="105"/>
      <c r="RJC136" s="105"/>
      <c r="RJD136" s="105"/>
      <c r="RJE136" s="105"/>
      <c r="RJF136" s="105"/>
      <c r="RJG136" s="105"/>
      <c r="RJH136" s="105"/>
      <c r="RJI136" s="105"/>
      <c r="RJJ136" s="105"/>
      <c r="RJK136" s="105"/>
      <c r="RJL136" s="105"/>
      <c r="RJM136" s="105"/>
      <c r="RJN136" s="105"/>
      <c r="RJO136" s="105"/>
      <c r="RJP136" s="105"/>
      <c r="RJQ136" s="105"/>
      <c r="RJR136" s="105"/>
      <c r="RJS136" s="105"/>
      <c r="RJT136" s="105"/>
      <c r="RJU136" s="105"/>
      <c r="RJV136" s="105"/>
      <c r="RJW136" s="105"/>
      <c r="RJX136" s="105"/>
      <c r="RJY136" s="105"/>
      <c r="RJZ136" s="105"/>
      <c r="RKA136" s="105"/>
      <c r="RKB136" s="105"/>
      <c r="RKC136" s="105"/>
      <c r="RKD136" s="105"/>
      <c r="RKE136" s="105"/>
      <c r="RKF136" s="105"/>
      <c r="RKG136" s="105"/>
      <c r="RKH136" s="105"/>
      <c r="RKI136" s="105"/>
      <c r="RKJ136" s="105"/>
      <c r="RKK136" s="105"/>
      <c r="RKL136" s="105"/>
      <c r="RKM136" s="105"/>
      <c r="RKN136" s="105"/>
      <c r="RKO136" s="105"/>
      <c r="RKP136" s="105"/>
      <c r="RKQ136" s="105"/>
      <c r="RKR136" s="105"/>
      <c r="RKS136" s="105"/>
      <c r="RKT136" s="105"/>
      <c r="RKU136" s="105"/>
      <c r="RKV136" s="105"/>
      <c r="RKW136" s="105"/>
      <c r="RKX136" s="105"/>
      <c r="RKY136" s="105"/>
      <c r="RKZ136" s="105"/>
      <c r="RLA136" s="105"/>
      <c r="RLB136" s="105"/>
      <c r="RLC136" s="105"/>
      <c r="RLD136" s="105"/>
      <c r="RLE136" s="105"/>
      <c r="RLF136" s="105"/>
      <c r="RLG136" s="105"/>
      <c r="RLH136" s="105"/>
      <c r="RLI136" s="105"/>
      <c r="RLJ136" s="105"/>
      <c r="RLK136" s="105"/>
      <c r="RLL136" s="105"/>
      <c r="RLM136" s="105"/>
      <c r="RLN136" s="105"/>
      <c r="RLO136" s="105"/>
      <c r="RLP136" s="105"/>
      <c r="RLQ136" s="105"/>
      <c r="RLR136" s="105"/>
      <c r="RLS136" s="105"/>
      <c r="RLT136" s="105"/>
      <c r="RLU136" s="105"/>
      <c r="RLV136" s="105"/>
      <c r="RLW136" s="105"/>
      <c r="RLX136" s="105"/>
      <c r="RLY136" s="105"/>
      <c r="RLZ136" s="105"/>
      <c r="RMA136" s="105"/>
      <c r="RMB136" s="105"/>
      <c r="RMC136" s="105"/>
      <c r="RMD136" s="105"/>
      <c r="RME136" s="105"/>
      <c r="RMF136" s="105"/>
      <c r="RMG136" s="105"/>
      <c r="RMH136" s="105"/>
      <c r="RMI136" s="105"/>
      <c r="RMJ136" s="105"/>
      <c r="RMK136" s="105"/>
      <c r="RML136" s="105"/>
      <c r="RMM136" s="105"/>
      <c r="RMN136" s="105"/>
      <c r="RMO136" s="105"/>
      <c r="RMP136" s="105"/>
      <c r="RMQ136" s="105"/>
      <c r="RMR136" s="105"/>
      <c r="RMS136" s="105"/>
      <c r="RMT136" s="105"/>
      <c r="RMU136" s="105"/>
      <c r="RMV136" s="105"/>
      <c r="RMW136" s="105"/>
      <c r="RMX136" s="105"/>
      <c r="RMY136" s="105"/>
      <c r="RMZ136" s="105"/>
      <c r="RNA136" s="105"/>
      <c r="RNB136" s="105"/>
      <c r="RNC136" s="105"/>
      <c r="RND136" s="105"/>
      <c r="RNE136" s="105"/>
      <c r="RNF136" s="105"/>
      <c r="RNG136" s="105"/>
      <c r="RNH136" s="105"/>
      <c r="RNI136" s="105"/>
      <c r="RNJ136" s="105"/>
      <c r="RNK136" s="105"/>
      <c r="RNL136" s="105"/>
      <c r="RNM136" s="105"/>
      <c r="RNN136" s="105"/>
      <c r="RNO136" s="105"/>
      <c r="RNP136" s="105"/>
      <c r="RNQ136" s="105"/>
      <c r="RNR136" s="105"/>
      <c r="RNS136" s="105"/>
      <c r="RNT136" s="105"/>
      <c r="RNU136" s="105"/>
      <c r="RNV136" s="105"/>
      <c r="RNW136" s="105"/>
      <c r="RNX136" s="105"/>
      <c r="RNY136" s="105"/>
      <c r="RNZ136" s="105"/>
      <c r="ROA136" s="105"/>
      <c r="ROB136" s="105"/>
      <c r="ROC136" s="105"/>
      <c r="ROD136" s="105"/>
      <c r="ROE136" s="105"/>
      <c r="ROF136" s="105"/>
      <c r="ROG136" s="105"/>
      <c r="ROH136" s="105"/>
      <c r="ROI136" s="105"/>
      <c r="ROJ136" s="105"/>
      <c r="ROK136" s="105"/>
      <c r="ROL136" s="105"/>
      <c r="ROM136" s="105"/>
      <c r="RON136" s="105"/>
      <c r="ROO136" s="105"/>
      <c r="ROP136" s="105"/>
      <c r="ROQ136" s="105"/>
      <c r="ROR136" s="105"/>
      <c r="ROS136" s="105"/>
      <c r="ROT136" s="105"/>
      <c r="ROU136" s="105"/>
      <c r="ROV136" s="105"/>
      <c r="ROW136" s="105"/>
      <c r="ROX136" s="105"/>
      <c r="ROY136" s="105"/>
      <c r="ROZ136" s="105"/>
      <c r="RPA136" s="105"/>
      <c r="RPB136" s="105"/>
      <c r="RPC136" s="105"/>
      <c r="RPD136" s="105"/>
      <c r="RPE136" s="105"/>
      <c r="RPF136" s="105"/>
      <c r="RPG136" s="105"/>
      <c r="RPH136" s="105"/>
      <c r="RPI136" s="105"/>
      <c r="RPJ136" s="105"/>
      <c r="RPK136" s="105"/>
      <c r="RPL136" s="105"/>
      <c r="RPM136" s="105"/>
      <c r="RPN136" s="105"/>
      <c r="RPO136" s="105"/>
      <c r="RPP136" s="105"/>
      <c r="RPQ136" s="105"/>
      <c r="RPR136" s="105"/>
      <c r="RPS136" s="105"/>
      <c r="RPT136" s="105"/>
      <c r="RPU136" s="105"/>
      <c r="RPV136" s="105"/>
      <c r="RPW136" s="105"/>
      <c r="RPX136" s="105"/>
      <c r="RPY136" s="105"/>
      <c r="RPZ136" s="105"/>
      <c r="RQA136" s="105"/>
      <c r="RQB136" s="105"/>
      <c r="RQC136" s="105"/>
      <c r="RQD136" s="105"/>
      <c r="RQE136" s="105"/>
      <c r="RQF136" s="105"/>
      <c r="RQG136" s="105"/>
      <c r="RQH136" s="105"/>
      <c r="RQI136" s="105"/>
      <c r="RQJ136" s="105"/>
      <c r="RQK136" s="105"/>
      <c r="RQL136" s="105"/>
      <c r="RQM136" s="105"/>
      <c r="RQN136" s="105"/>
      <c r="RQO136" s="105"/>
      <c r="RQP136" s="105"/>
      <c r="RQQ136" s="105"/>
      <c r="RQR136" s="105"/>
      <c r="RQS136" s="105"/>
      <c r="RQT136" s="105"/>
      <c r="RQU136" s="105"/>
      <c r="RQV136" s="105"/>
      <c r="RQW136" s="105"/>
      <c r="RQX136" s="105"/>
      <c r="RQY136" s="105"/>
      <c r="RQZ136" s="105"/>
      <c r="RRA136" s="105"/>
      <c r="RRB136" s="105"/>
      <c r="RRC136" s="105"/>
      <c r="RRD136" s="105"/>
      <c r="RRE136" s="105"/>
      <c r="RRF136" s="105"/>
      <c r="RRG136" s="105"/>
      <c r="RRH136" s="105"/>
      <c r="RRI136" s="105"/>
      <c r="RRJ136" s="105"/>
      <c r="RRK136" s="105"/>
      <c r="RRL136" s="105"/>
      <c r="RRM136" s="105"/>
      <c r="RRN136" s="105"/>
      <c r="RRO136" s="105"/>
      <c r="RRP136" s="105"/>
      <c r="RRQ136" s="105"/>
      <c r="RRR136" s="105"/>
      <c r="RRS136" s="105"/>
      <c r="RRT136" s="105"/>
      <c r="RRU136" s="105"/>
      <c r="RRV136" s="105"/>
      <c r="RRW136" s="105"/>
      <c r="RRX136" s="105"/>
      <c r="RRY136" s="105"/>
      <c r="RRZ136" s="105"/>
      <c r="RSA136" s="105"/>
      <c r="RSB136" s="105"/>
      <c r="RSC136" s="105"/>
      <c r="RSD136" s="105"/>
      <c r="RSE136" s="105"/>
      <c r="RSF136" s="105"/>
      <c r="RSG136" s="105"/>
      <c r="RSH136" s="105"/>
      <c r="RSI136" s="105"/>
      <c r="RSJ136" s="105"/>
      <c r="RSK136" s="105"/>
      <c r="RSL136" s="105"/>
      <c r="RSM136" s="105"/>
      <c r="RSN136" s="105"/>
      <c r="RSO136" s="105"/>
      <c r="RSP136" s="105"/>
      <c r="RSQ136" s="105"/>
      <c r="RSR136" s="105"/>
      <c r="RSS136" s="105"/>
      <c r="RST136" s="105"/>
      <c r="RSU136" s="105"/>
      <c r="RSV136" s="105"/>
      <c r="RSW136" s="105"/>
      <c r="RSX136" s="105"/>
      <c r="RSY136" s="105"/>
      <c r="RSZ136" s="105"/>
      <c r="RTA136" s="105"/>
      <c r="RTB136" s="105"/>
      <c r="RTC136" s="105"/>
      <c r="RTD136" s="105"/>
      <c r="RTE136" s="105"/>
      <c r="RTF136" s="105"/>
      <c r="RTG136" s="105"/>
      <c r="RTH136" s="105"/>
      <c r="RTI136" s="105"/>
      <c r="RTJ136" s="105"/>
      <c r="RTK136" s="105"/>
      <c r="RTL136" s="105"/>
      <c r="RTM136" s="105"/>
      <c r="RTN136" s="105"/>
      <c r="RTO136" s="105"/>
      <c r="RTP136" s="105"/>
      <c r="RTQ136" s="105"/>
      <c r="RTR136" s="105"/>
      <c r="RTS136" s="105"/>
      <c r="RTT136" s="105"/>
      <c r="RTU136" s="105"/>
      <c r="RTV136" s="105"/>
      <c r="RTW136" s="105"/>
      <c r="RTX136" s="105"/>
      <c r="RTY136" s="105"/>
      <c r="RTZ136" s="105"/>
      <c r="RUA136" s="105"/>
      <c r="RUB136" s="105"/>
      <c r="RUC136" s="105"/>
      <c r="RUD136" s="105"/>
      <c r="RUE136" s="105"/>
      <c r="RUF136" s="105"/>
      <c r="RUG136" s="105"/>
      <c r="RUH136" s="105"/>
      <c r="RUI136" s="105"/>
      <c r="RUJ136" s="105"/>
      <c r="RUK136" s="105"/>
      <c r="RUL136" s="105"/>
      <c r="RUM136" s="105"/>
      <c r="RUN136" s="105"/>
      <c r="RUO136" s="105"/>
      <c r="RUP136" s="105"/>
      <c r="RUQ136" s="105"/>
      <c r="RUR136" s="105"/>
      <c r="RUS136" s="105"/>
      <c r="RUT136" s="105"/>
      <c r="RUU136" s="105"/>
      <c r="RUV136" s="105"/>
      <c r="RUW136" s="105"/>
      <c r="RUX136" s="105"/>
      <c r="RUY136" s="105"/>
      <c r="RUZ136" s="105"/>
      <c r="RVA136" s="105"/>
      <c r="RVB136" s="105"/>
      <c r="RVC136" s="105"/>
      <c r="RVD136" s="105"/>
      <c r="RVE136" s="105"/>
      <c r="RVF136" s="105"/>
      <c r="RVG136" s="105"/>
      <c r="RVH136" s="105"/>
      <c r="RVI136" s="105"/>
      <c r="RVJ136" s="105"/>
      <c r="RVK136" s="105"/>
      <c r="RVL136" s="105"/>
      <c r="RVM136" s="105"/>
      <c r="RVN136" s="105"/>
      <c r="RVO136" s="105"/>
      <c r="RVP136" s="105"/>
      <c r="RVQ136" s="105"/>
      <c r="RVR136" s="105"/>
      <c r="RVS136" s="105"/>
      <c r="RVT136" s="105"/>
      <c r="RVU136" s="105"/>
      <c r="RVV136" s="105"/>
      <c r="RVW136" s="105"/>
      <c r="RVX136" s="105"/>
      <c r="RVY136" s="105"/>
      <c r="RVZ136" s="105"/>
      <c r="RWA136" s="105"/>
      <c r="RWB136" s="105"/>
      <c r="RWC136" s="105"/>
      <c r="RWD136" s="105"/>
      <c r="RWE136" s="105"/>
      <c r="RWF136" s="105"/>
      <c r="RWG136" s="105"/>
      <c r="RWH136" s="105"/>
      <c r="RWI136" s="105"/>
      <c r="RWJ136" s="105"/>
      <c r="RWK136" s="105"/>
      <c r="RWL136" s="105"/>
      <c r="RWM136" s="105"/>
      <c r="RWN136" s="105"/>
      <c r="RWO136" s="105"/>
      <c r="RWP136" s="105"/>
      <c r="RWQ136" s="105"/>
      <c r="RWR136" s="105"/>
      <c r="RWS136" s="105"/>
      <c r="RWT136" s="105"/>
      <c r="RWU136" s="105"/>
      <c r="RWV136" s="105"/>
      <c r="RWW136" s="105"/>
      <c r="RWX136" s="105"/>
      <c r="RWY136" s="105"/>
      <c r="RWZ136" s="105"/>
      <c r="RXA136" s="105"/>
      <c r="RXB136" s="105"/>
      <c r="RXC136" s="105"/>
      <c r="RXD136" s="105"/>
      <c r="RXE136" s="105"/>
      <c r="RXF136" s="105"/>
      <c r="RXG136" s="105"/>
      <c r="RXH136" s="105"/>
      <c r="RXI136" s="105"/>
      <c r="RXJ136" s="105"/>
      <c r="RXK136" s="105"/>
      <c r="RXL136" s="105"/>
      <c r="RXM136" s="105"/>
      <c r="RXN136" s="105"/>
      <c r="RXO136" s="105"/>
      <c r="RXP136" s="105"/>
      <c r="RXQ136" s="105"/>
      <c r="RXR136" s="105"/>
      <c r="RXS136" s="105"/>
      <c r="RXT136" s="105"/>
      <c r="RXU136" s="105"/>
      <c r="RXV136" s="105"/>
      <c r="RXW136" s="105"/>
      <c r="RXX136" s="105"/>
      <c r="RXY136" s="105"/>
      <c r="RXZ136" s="105"/>
      <c r="RYA136" s="105"/>
      <c r="RYB136" s="105"/>
      <c r="RYC136" s="105"/>
      <c r="RYD136" s="105"/>
      <c r="RYE136" s="105"/>
      <c r="RYF136" s="105"/>
      <c r="RYG136" s="105"/>
      <c r="RYH136" s="105"/>
      <c r="RYI136" s="105"/>
      <c r="RYJ136" s="105"/>
      <c r="RYK136" s="105"/>
      <c r="RYL136" s="105"/>
      <c r="RYM136" s="105"/>
      <c r="RYN136" s="105"/>
      <c r="RYO136" s="105"/>
      <c r="RYP136" s="105"/>
      <c r="RYQ136" s="105"/>
      <c r="RYR136" s="105"/>
      <c r="RYS136" s="105"/>
      <c r="RYT136" s="105"/>
      <c r="RYU136" s="105"/>
      <c r="RYV136" s="105"/>
      <c r="RYW136" s="105"/>
      <c r="RYX136" s="105"/>
      <c r="RYY136" s="105"/>
      <c r="RYZ136" s="105"/>
      <c r="RZA136" s="105"/>
      <c r="RZB136" s="105"/>
      <c r="RZC136" s="105"/>
      <c r="RZD136" s="105"/>
      <c r="RZE136" s="105"/>
      <c r="RZF136" s="105"/>
      <c r="RZG136" s="105"/>
      <c r="RZH136" s="105"/>
      <c r="RZI136" s="105"/>
      <c r="RZJ136" s="105"/>
      <c r="RZK136" s="105"/>
      <c r="RZL136" s="105"/>
      <c r="RZM136" s="105"/>
      <c r="RZN136" s="105"/>
      <c r="RZO136" s="105"/>
      <c r="RZP136" s="105"/>
      <c r="RZQ136" s="105"/>
      <c r="RZR136" s="105"/>
      <c r="RZS136" s="105"/>
      <c r="RZT136" s="105"/>
      <c r="RZU136" s="105"/>
      <c r="RZV136" s="105"/>
      <c r="RZW136" s="105"/>
      <c r="RZX136" s="105"/>
      <c r="RZY136" s="105"/>
      <c r="RZZ136" s="105"/>
      <c r="SAA136" s="105"/>
      <c r="SAB136" s="105"/>
      <c r="SAC136" s="105"/>
      <c r="SAD136" s="105"/>
      <c r="SAE136" s="105"/>
      <c r="SAF136" s="105"/>
      <c r="SAG136" s="105"/>
      <c r="SAH136" s="105"/>
      <c r="SAI136" s="105"/>
      <c r="SAJ136" s="105"/>
      <c r="SAK136" s="105"/>
      <c r="SAL136" s="105"/>
      <c r="SAM136" s="105"/>
      <c r="SAN136" s="105"/>
      <c r="SAO136" s="105"/>
      <c r="SAP136" s="105"/>
      <c r="SAQ136" s="105"/>
      <c r="SAR136" s="105"/>
      <c r="SAS136" s="105"/>
      <c r="SAT136" s="105"/>
      <c r="SAU136" s="105"/>
      <c r="SAV136" s="105"/>
      <c r="SAW136" s="105"/>
      <c r="SAX136" s="105"/>
      <c r="SAY136" s="105"/>
      <c r="SAZ136" s="105"/>
      <c r="SBA136" s="105"/>
      <c r="SBB136" s="105"/>
      <c r="SBC136" s="105"/>
      <c r="SBD136" s="105"/>
      <c r="SBE136" s="105"/>
      <c r="SBF136" s="105"/>
      <c r="SBG136" s="105"/>
      <c r="SBH136" s="105"/>
      <c r="SBI136" s="105"/>
      <c r="SBJ136" s="105"/>
      <c r="SBK136" s="105"/>
      <c r="SBL136" s="105"/>
      <c r="SBM136" s="105"/>
      <c r="SBN136" s="105"/>
      <c r="SBO136" s="105"/>
      <c r="SBP136" s="105"/>
      <c r="SBQ136" s="105"/>
      <c r="SBR136" s="105"/>
      <c r="SBS136" s="105"/>
      <c r="SBT136" s="105"/>
      <c r="SBU136" s="105"/>
      <c r="SBV136" s="105"/>
      <c r="SBW136" s="105"/>
      <c r="SBX136" s="105"/>
      <c r="SBY136" s="105"/>
      <c r="SBZ136" s="105"/>
      <c r="SCA136" s="105"/>
      <c r="SCB136" s="105"/>
      <c r="SCC136" s="105"/>
      <c r="SCD136" s="105"/>
      <c r="SCE136" s="105"/>
      <c r="SCF136" s="105"/>
      <c r="SCG136" s="105"/>
      <c r="SCH136" s="105"/>
      <c r="SCI136" s="105"/>
      <c r="SCJ136" s="105"/>
      <c r="SCK136" s="105"/>
      <c r="SCL136" s="105"/>
      <c r="SCM136" s="105"/>
      <c r="SCN136" s="105"/>
      <c r="SCO136" s="105"/>
      <c r="SCP136" s="105"/>
      <c r="SCQ136" s="105"/>
      <c r="SCR136" s="105"/>
      <c r="SCS136" s="105"/>
      <c r="SCT136" s="105"/>
      <c r="SCU136" s="105"/>
      <c r="SCV136" s="105"/>
      <c r="SCW136" s="105"/>
      <c r="SCX136" s="105"/>
      <c r="SCY136" s="105"/>
      <c r="SCZ136" s="105"/>
      <c r="SDA136" s="105"/>
      <c r="SDB136" s="105"/>
      <c r="SDC136" s="105"/>
      <c r="SDD136" s="105"/>
      <c r="SDE136" s="105"/>
      <c r="SDF136" s="105"/>
      <c r="SDG136" s="105"/>
      <c r="SDH136" s="105"/>
      <c r="SDI136" s="105"/>
      <c r="SDJ136" s="105"/>
      <c r="SDK136" s="105"/>
      <c r="SDL136" s="105"/>
      <c r="SDM136" s="105"/>
      <c r="SDN136" s="105"/>
      <c r="SDO136" s="105"/>
      <c r="SDP136" s="105"/>
      <c r="SDQ136" s="105"/>
      <c r="SDR136" s="105"/>
      <c r="SDS136" s="105"/>
      <c r="SDT136" s="105"/>
      <c r="SDU136" s="105"/>
      <c r="SDV136" s="105"/>
      <c r="SDW136" s="105"/>
      <c r="SDX136" s="105"/>
      <c r="SDY136" s="105"/>
      <c r="SDZ136" s="105"/>
      <c r="SEA136" s="105"/>
      <c r="SEB136" s="105"/>
      <c r="SEC136" s="105"/>
      <c r="SED136" s="105"/>
      <c r="SEE136" s="105"/>
      <c r="SEF136" s="105"/>
      <c r="SEG136" s="105"/>
      <c r="SEH136" s="105"/>
      <c r="SEI136" s="105"/>
      <c r="SEJ136" s="105"/>
      <c r="SEK136" s="105"/>
      <c r="SEL136" s="105"/>
      <c r="SEM136" s="105"/>
      <c r="SEN136" s="105"/>
      <c r="SEO136" s="105"/>
      <c r="SEP136" s="105"/>
      <c r="SEQ136" s="105"/>
      <c r="SER136" s="105"/>
      <c r="SES136" s="105"/>
      <c r="SET136" s="105"/>
      <c r="SEU136" s="105"/>
      <c r="SEV136" s="105"/>
      <c r="SEW136" s="105"/>
      <c r="SEX136" s="105"/>
      <c r="SEY136" s="105"/>
      <c r="SEZ136" s="105"/>
      <c r="SFA136" s="105"/>
      <c r="SFB136" s="105"/>
      <c r="SFC136" s="105"/>
      <c r="SFD136" s="105"/>
      <c r="SFE136" s="105"/>
      <c r="SFF136" s="105"/>
      <c r="SFG136" s="105"/>
      <c r="SFH136" s="105"/>
      <c r="SFI136" s="105"/>
      <c r="SFJ136" s="105"/>
      <c r="SFK136" s="105"/>
      <c r="SFL136" s="105"/>
      <c r="SFM136" s="105"/>
      <c r="SFN136" s="105"/>
      <c r="SFO136" s="105"/>
      <c r="SFP136" s="105"/>
      <c r="SFQ136" s="105"/>
      <c r="SFR136" s="105"/>
      <c r="SFS136" s="105"/>
      <c r="SFT136" s="105"/>
      <c r="SFU136" s="105"/>
      <c r="SFV136" s="105"/>
      <c r="SFW136" s="105"/>
      <c r="SFX136" s="105"/>
      <c r="SFY136" s="105"/>
      <c r="SFZ136" s="105"/>
      <c r="SGA136" s="105"/>
      <c r="SGB136" s="105"/>
      <c r="SGC136" s="105"/>
      <c r="SGD136" s="105"/>
      <c r="SGE136" s="105"/>
      <c r="SGF136" s="105"/>
      <c r="SGG136" s="105"/>
      <c r="SGH136" s="105"/>
      <c r="SGI136" s="105"/>
      <c r="SGJ136" s="105"/>
      <c r="SGK136" s="105"/>
      <c r="SGL136" s="105"/>
      <c r="SGM136" s="105"/>
      <c r="SGN136" s="105"/>
      <c r="SGO136" s="105"/>
      <c r="SGP136" s="105"/>
      <c r="SGQ136" s="105"/>
      <c r="SGR136" s="105"/>
      <c r="SGS136" s="105"/>
      <c r="SGT136" s="105"/>
      <c r="SGU136" s="105"/>
      <c r="SGV136" s="105"/>
      <c r="SGW136" s="105"/>
      <c r="SGX136" s="105"/>
      <c r="SGY136" s="105"/>
      <c r="SGZ136" s="105"/>
      <c r="SHA136" s="105"/>
      <c r="SHB136" s="105"/>
      <c r="SHC136" s="105"/>
      <c r="SHD136" s="105"/>
      <c r="SHE136" s="105"/>
      <c r="SHF136" s="105"/>
      <c r="SHG136" s="105"/>
      <c r="SHH136" s="105"/>
      <c r="SHI136" s="105"/>
      <c r="SHJ136" s="105"/>
      <c r="SHK136" s="105"/>
      <c r="SHL136" s="105"/>
      <c r="SHM136" s="105"/>
      <c r="SHN136" s="105"/>
      <c r="SHO136" s="105"/>
      <c r="SHP136" s="105"/>
      <c r="SHQ136" s="105"/>
      <c r="SHR136" s="105"/>
      <c r="SHS136" s="105"/>
      <c r="SHT136" s="105"/>
      <c r="SHU136" s="105"/>
      <c r="SHV136" s="105"/>
      <c r="SHW136" s="105"/>
      <c r="SHX136" s="105"/>
      <c r="SHY136" s="105"/>
      <c r="SHZ136" s="105"/>
      <c r="SIA136" s="105"/>
      <c r="SIB136" s="105"/>
      <c r="SIC136" s="105"/>
      <c r="SID136" s="105"/>
      <c r="SIE136" s="105"/>
      <c r="SIF136" s="105"/>
      <c r="SIG136" s="105"/>
      <c r="SIH136" s="105"/>
      <c r="SII136" s="105"/>
      <c r="SIJ136" s="105"/>
      <c r="SIK136" s="105"/>
      <c r="SIL136" s="105"/>
      <c r="SIM136" s="105"/>
      <c r="SIN136" s="105"/>
      <c r="SIO136" s="105"/>
      <c r="SIP136" s="105"/>
      <c r="SIQ136" s="105"/>
      <c r="SIR136" s="105"/>
      <c r="SIS136" s="105"/>
      <c r="SIT136" s="105"/>
      <c r="SIU136" s="105"/>
      <c r="SIV136" s="105"/>
      <c r="SIW136" s="105"/>
      <c r="SIX136" s="105"/>
      <c r="SIY136" s="105"/>
      <c r="SIZ136" s="105"/>
      <c r="SJA136" s="105"/>
      <c r="SJB136" s="105"/>
      <c r="SJC136" s="105"/>
      <c r="SJD136" s="105"/>
      <c r="SJE136" s="105"/>
      <c r="SJF136" s="105"/>
      <c r="SJG136" s="105"/>
      <c r="SJH136" s="105"/>
      <c r="SJI136" s="105"/>
      <c r="SJJ136" s="105"/>
      <c r="SJK136" s="105"/>
      <c r="SJL136" s="105"/>
      <c r="SJM136" s="105"/>
      <c r="SJN136" s="105"/>
      <c r="SJO136" s="105"/>
      <c r="SJP136" s="105"/>
      <c r="SJQ136" s="105"/>
      <c r="SJR136" s="105"/>
      <c r="SJS136" s="105"/>
      <c r="SJT136" s="105"/>
      <c r="SJU136" s="105"/>
      <c r="SJV136" s="105"/>
      <c r="SJW136" s="105"/>
      <c r="SJX136" s="105"/>
      <c r="SJY136" s="105"/>
      <c r="SJZ136" s="105"/>
      <c r="SKA136" s="105"/>
      <c r="SKB136" s="105"/>
      <c r="SKC136" s="105"/>
      <c r="SKD136" s="105"/>
      <c r="SKE136" s="105"/>
      <c r="SKF136" s="105"/>
      <c r="SKG136" s="105"/>
      <c r="SKH136" s="105"/>
      <c r="SKI136" s="105"/>
      <c r="SKJ136" s="105"/>
      <c r="SKK136" s="105"/>
      <c r="SKL136" s="105"/>
      <c r="SKM136" s="105"/>
      <c r="SKN136" s="105"/>
      <c r="SKO136" s="105"/>
      <c r="SKP136" s="105"/>
      <c r="SKQ136" s="105"/>
      <c r="SKR136" s="105"/>
      <c r="SKS136" s="105"/>
      <c r="SKT136" s="105"/>
      <c r="SKU136" s="105"/>
      <c r="SKV136" s="105"/>
      <c r="SKW136" s="105"/>
      <c r="SKX136" s="105"/>
      <c r="SKY136" s="105"/>
      <c r="SKZ136" s="105"/>
      <c r="SLA136" s="105"/>
      <c r="SLB136" s="105"/>
      <c r="SLC136" s="105"/>
      <c r="SLD136" s="105"/>
      <c r="SLE136" s="105"/>
      <c r="SLF136" s="105"/>
      <c r="SLG136" s="105"/>
      <c r="SLH136" s="105"/>
      <c r="SLI136" s="105"/>
      <c r="SLJ136" s="105"/>
      <c r="SLK136" s="105"/>
      <c r="SLL136" s="105"/>
      <c r="SLM136" s="105"/>
      <c r="SLN136" s="105"/>
      <c r="SLO136" s="105"/>
      <c r="SLP136" s="105"/>
      <c r="SLQ136" s="105"/>
      <c r="SLR136" s="105"/>
      <c r="SLS136" s="105"/>
      <c r="SLT136" s="105"/>
      <c r="SLU136" s="105"/>
      <c r="SLV136" s="105"/>
      <c r="SLW136" s="105"/>
      <c r="SLX136" s="105"/>
      <c r="SLY136" s="105"/>
      <c r="SLZ136" s="105"/>
      <c r="SMA136" s="105"/>
      <c r="SMB136" s="105"/>
      <c r="SMC136" s="105"/>
      <c r="SMD136" s="105"/>
      <c r="SME136" s="105"/>
      <c r="SMF136" s="105"/>
      <c r="SMG136" s="105"/>
      <c r="SMH136" s="105"/>
      <c r="SMI136" s="105"/>
      <c r="SMJ136" s="105"/>
      <c r="SMK136" s="105"/>
      <c r="SML136" s="105"/>
      <c r="SMM136" s="105"/>
      <c r="SMN136" s="105"/>
      <c r="SMO136" s="105"/>
      <c r="SMP136" s="105"/>
      <c r="SMQ136" s="105"/>
      <c r="SMR136" s="105"/>
      <c r="SMS136" s="105"/>
      <c r="SMT136" s="105"/>
      <c r="SMU136" s="105"/>
      <c r="SMV136" s="105"/>
      <c r="SMW136" s="105"/>
      <c r="SMX136" s="105"/>
      <c r="SMY136" s="105"/>
      <c r="SMZ136" s="105"/>
      <c r="SNA136" s="105"/>
      <c r="SNB136" s="105"/>
      <c r="SNC136" s="105"/>
      <c r="SND136" s="105"/>
      <c r="SNE136" s="105"/>
      <c r="SNF136" s="105"/>
      <c r="SNG136" s="105"/>
      <c r="SNH136" s="105"/>
      <c r="SNI136" s="105"/>
      <c r="SNJ136" s="105"/>
      <c r="SNK136" s="105"/>
      <c r="SNL136" s="105"/>
      <c r="SNM136" s="105"/>
      <c r="SNN136" s="105"/>
      <c r="SNO136" s="105"/>
      <c r="SNP136" s="105"/>
      <c r="SNQ136" s="105"/>
      <c r="SNR136" s="105"/>
      <c r="SNS136" s="105"/>
      <c r="SNT136" s="105"/>
      <c r="SNU136" s="105"/>
      <c r="SNV136" s="105"/>
      <c r="SNW136" s="105"/>
      <c r="SNX136" s="105"/>
      <c r="SNY136" s="105"/>
      <c r="SNZ136" s="105"/>
      <c r="SOA136" s="105"/>
      <c r="SOB136" s="105"/>
      <c r="SOC136" s="105"/>
      <c r="SOD136" s="105"/>
      <c r="SOE136" s="105"/>
      <c r="SOF136" s="105"/>
      <c r="SOG136" s="105"/>
      <c r="SOH136" s="105"/>
      <c r="SOI136" s="105"/>
      <c r="SOJ136" s="105"/>
      <c r="SOK136" s="105"/>
      <c r="SOL136" s="105"/>
      <c r="SOM136" s="105"/>
      <c r="SON136" s="105"/>
      <c r="SOO136" s="105"/>
      <c r="SOP136" s="105"/>
      <c r="SOQ136" s="105"/>
      <c r="SOR136" s="105"/>
      <c r="SOS136" s="105"/>
      <c r="SOT136" s="105"/>
      <c r="SOU136" s="105"/>
      <c r="SOV136" s="105"/>
      <c r="SOW136" s="105"/>
      <c r="SOX136" s="105"/>
      <c r="SOY136" s="105"/>
      <c r="SOZ136" s="105"/>
      <c r="SPA136" s="105"/>
      <c r="SPB136" s="105"/>
      <c r="SPC136" s="105"/>
      <c r="SPD136" s="105"/>
      <c r="SPE136" s="105"/>
      <c r="SPF136" s="105"/>
      <c r="SPG136" s="105"/>
      <c r="SPH136" s="105"/>
      <c r="SPI136" s="105"/>
      <c r="SPJ136" s="105"/>
      <c r="SPK136" s="105"/>
      <c r="SPL136" s="105"/>
      <c r="SPM136" s="105"/>
      <c r="SPN136" s="105"/>
      <c r="SPO136" s="105"/>
      <c r="SPP136" s="105"/>
      <c r="SPQ136" s="105"/>
      <c r="SPR136" s="105"/>
      <c r="SPS136" s="105"/>
      <c r="SPT136" s="105"/>
      <c r="SPU136" s="105"/>
      <c r="SPV136" s="105"/>
      <c r="SPW136" s="105"/>
      <c r="SPX136" s="105"/>
      <c r="SPY136" s="105"/>
      <c r="SPZ136" s="105"/>
      <c r="SQA136" s="105"/>
      <c r="SQB136" s="105"/>
      <c r="SQC136" s="105"/>
      <c r="SQD136" s="105"/>
      <c r="SQE136" s="105"/>
      <c r="SQF136" s="105"/>
      <c r="SQG136" s="105"/>
      <c r="SQH136" s="105"/>
      <c r="SQI136" s="105"/>
      <c r="SQJ136" s="105"/>
      <c r="SQK136" s="105"/>
      <c r="SQL136" s="105"/>
      <c r="SQM136" s="105"/>
      <c r="SQN136" s="105"/>
      <c r="SQO136" s="105"/>
      <c r="SQP136" s="105"/>
      <c r="SQQ136" s="105"/>
      <c r="SQR136" s="105"/>
      <c r="SQS136" s="105"/>
      <c r="SQT136" s="105"/>
      <c r="SQU136" s="105"/>
      <c r="SQV136" s="105"/>
      <c r="SQW136" s="105"/>
      <c r="SQX136" s="105"/>
      <c r="SQY136" s="105"/>
      <c r="SQZ136" s="105"/>
      <c r="SRA136" s="105"/>
      <c r="SRB136" s="105"/>
      <c r="SRC136" s="105"/>
      <c r="SRD136" s="105"/>
      <c r="SRE136" s="105"/>
      <c r="SRF136" s="105"/>
      <c r="SRG136" s="105"/>
      <c r="SRH136" s="105"/>
      <c r="SRI136" s="105"/>
      <c r="SRJ136" s="105"/>
      <c r="SRK136" s="105"/>
      <c r="SRL136" s="105"/>
      <c r="SRM136" s="105"/>
      <c r="SRN136" s="105"/>
      <c r="SRO136" s="105"/>
      <c r="SRP136" s="105"/>
      <c r="SRQ136" s="105"/>
      <c r="SRR136" s="105"/>
      <c r="SRS136" s="105"/>
      <c r="SRT136" s="105"/>
      <c r="SRU136" s="105"/>
      <c r="SRV136" s="105"/>
      <c r="SRW136" s="105"/>
      <c r="SRX136" s="105"/>
      <c r="SRY136" s="105"/>
      <c r="SRZ136" s="105"/>
      <c r="SSA136" s="105"/>
      <c r="SSB136" s="105"/>
      <c r="SSC136" s="105"/>
      <c r="SSD136" s="105"/>
      <c r="SSE136" s="105"/>
      <c r="SSF136" s="105"/>
      <c r="SSG136" s="105"/>
      <c r="SSH136" s="105"/>
      <c r="SSI136" s="105"/>
      <c r="SSJ136" s="105"/>
      <c r="SSK136" s="105"/>
      <c r="SSL136" s="105"/>
      <c r="SSM136" s="105"/>
      <c r="SSN136" s="105"/>
      <c r="SSO136" s="105"/>
      <c r="SSP136" s="105"/>
      <c r="SSQ136" s="105"/>
      <c r="SSR136" s="105"/>
      <c r="SSS136" s="105"/>
      <c r="SST136" s="105"/>
      <c r="SSU136" s="105"/>
      <c r="SSV136" s="105"/>
      <c r="SSW136" s="105"/>
      <c r="SSX136" s="105"/>
      <c r="SSY136" s="105"/>
      <c r="SSZ136" s="105"/>
      <c r="STA136" s="105"/>
      <c r="STB136" s="105"/>
      <c r="STC136" s="105"/>
      <c r="STD136" s="105"/>
      <c r="STE136" s="105"/>
      <c r="STF136" s="105"/>
      <c r="STG136" s="105"/>
      <c r="STH136" s="105"/>
      <c r="STI136" s="105"/>
      <c r="STJ136" s="105"/>
      <c r="STK136" s="105"/>
      <c r="STL136" s="105"/>
      <c r="STM136" s="105"/>
      <c r="STN136" s="105"/>
      <c r="STO136" s="105"/>
      <c r="STP136" s="105"/>
      <c r="STQ136" s="105"/>
      <c r="STR136" s="105"/>
      <c r="STS136" s="105"/>
      <c r="STT136" s="105"/>
      <c r="STU136" s="105"/>
      <c r="STV136" s="105"/>
      <c r="STW136" s="105"/>
      <c r="STX136" s="105"/>
      <c r="STY136" s="105"/>
      <c r="STZ136" s="105"/>
      <c r="SUA136" s="105"/>
      <c r="SUB136" s="105"/>
      <c r="SUC136" s="105"/>
      <c r="SUD136" s="105"/>
      <c r="SUE136" s="105"/>
      <c r="SUF136" s="105"/>
      <c r="SUG136" s="105"/>
      <c r="SUH136" s="105"/>
      <c r="SUI136" s="105"/>
      <c r="SUJ136" s="105"/>
      <c r="SUK136" s="105"/>
      <c r="SUL136" s="105"/>
      <c r="SUM136" s="105"/>
      <c r="SUN136" s="105"/>
      <c r="SUO136" s="105"/>
      <c r="SUP136" s="105"/>
      <c r="SUQ136" s="105"/>
      <c r="SUR136" s="105"/>
      <c r="SUS136" s="105"/>
      <c r="SUT136" s="105"/>
      <c r="SUU136" s="105"/>
      <c r="SUV136" s="105"/>
      <c r="SUW136" s="105"/>
      <c r="SUX136" s="105"/>
      <c r="SUY136" s="105"/>
      <c r="SUZ136" s="105"/>
      <c r="SVA136" s="105"/>
      <c r="SVB136" s="105"/>
      <c r="SVC136" s="105"/>
      <c r="SVD136" s="105"/>
      <c r="SVE136" s="105"/>
      <c r="SVF136" s="105"/>
      <c r="SVG136" s="105"/>
      <c r="SVH136" s="105"/>
      <c r="SVI136" s="105"/>
      <c r="SVJ136" s="105"/>
      <c r="SVK136" s="105"/>
      <c r="SVL136" s="105"/>
      <c r="SVM136" s="105"/>
      <c r="SVN136" s="105"/>
      <c r="SVO136" s="105"/>
      <c r="SVP136" s="105"/>
      <c r="SVQ136" s="105"/>
      <c r="SVR136" s="105"/>
      <c r="SVS136" s="105"/>
      <c r="SVT136" s="105"/>
      <c r="SVU136" s="105"/>
      <c r="SVV136" s="105"/>
      <c r="SVW136" s="105"/>
      <c r="SVX136" s="105"/>
      <c r="SVY136" s="105"/>
      <c r="SVZ136" s="105"/>
      <c r="SWA136" s="105"/>
      <c r="SWB136" s="105"/>
      <c r="SWC136" s="105"/>
      <c r="SWD136" s="105"/>
      <c r="SWE136" s="105"/>
      <c r="SWF136" s="105"/>
      <c r="SWG136" s="105"/>
      <c r="SWH136" s="105"/>
      <c r="SWI136" s="105"/>
      <c r="SWJ136" s="105"/>
      <c r="SWK136" s="105"/>
      <c r="SWL136" s="105"/>
      <c r="SWM136" s="105"/>
      <c r="SWN136" s="105"/>
      <c r="SWO136" s="105"/>
      <c r="SWP136" s="105"/>
      <c r="SWQ136" s="105"/>
      <c r="SWR136" s="105"/>
      <c r="SWS136" s="105"/>
      <c r="SWT136" s="105"/>
      <c r="SWU136" s="105"/>
      <c r="SWV136" s="105"/>
      <c r="SWW136" s="105"/>
      <c r="SWX136" s="105"/>
      <c r="SWY136" s="105"/>
      <c r="SWZ136" s="105"/>
      <c r="SXA136" s="105"/>
      <c r="SXB136" s="105"/>
      <c r="SXC136" s="105"/>
      <c r="SXD136" s="105"/>
      <c r="SXE136" s="105"/>
      <c r="SXF136" s="105"/>
      <c r="SXG136" s="105"/>
      <c r="SXH136" s="105"/>
      <c r="SXI136" s="105"/>
      <c r="SXJ136" s="105"/>
      <c r="SXK136" s="105"/>
      <c r="SXL136" s="105"/>
      <c r="SXM136" s="105"/>
      <c r="SXN136" s="105"/>
      <c r="SXO136" s="105"/>
      <c r="SXP136" s="105"/>
      <c r="SXQ136" s="105"/>
      <c r="SXR136" s="105"/>
      <c r="SXS136" s="105"/>
      <c r="SXT136" s="105"/>
      <c r="SXU136" s="105"/>
      <c r="SXV136" s="105"/>
      <c r="SXW136" s="105"/>
      <c r="SXX136" s="105"/>
      <c r="SXY136" s="105"/>
      <c r="SXZ136" s="105"/>
      <c r="SYA136" s="105"/>
      <c r="SYB136" s="105"/>
      <c r="SYC136" s="105"/>
      <c r="SYD136" s="105"/>
      <c r="SYE136" s="105"/>
      <c r="SYF136" s="105"/>
      <c r="SYG136" s="105"/>
      <c r="SYH136" s="105"/>
      <c r="SYI136" s="105"/>
      <c r="SYJ136" s="105"/>
      <c r="SYK136" s="105"/>
      <c r="SYL136" s="105"/>
      <c r="SYM136" s="105"/>
      <c r="SYN136" s="105"/>
      <c r="SYO136" s="105"/>
      <c r="SYP136" s="105"/>
      <c r="SYQ136" s="105"/>
      <c r="SYR136" s="105"/>
      <c r="SYS136" s="105"/>
      <c r="SYT136" s="105"/>
      <c r="SYU136" s="105"/>
      <c r="SYV136" s="105"/>
      <c r="SYW136" s="105"/>
      <c r="SYX136" s="105"/>
      <c r="SYY136" s="105"/>
      <c r="SYZ136" s="105"/>
      <c r="SZA136" s="105"/>
      <c r="SZB136" s="105"/>
      <c r="SZC136" s="105"/>
      <c r="SZD136" s="105"/>
      <c r="SZE136" s="105"/>
      <c r="SZF136" s="105"/>
      <c r="SZG136" s="105"/>
      <c r="SZH136" s="105"/>
      <c r="SZI136" s="105"/>
      <c r="SZJ136" s="105"/>
      <c r="SZK136" s="105"/>
      <c r="SZL136" s="105"/>
      <c r="SZM136" s="105"/>
      <c r="SZN136" s="105"/>
      <c r="SZO136" s="105"/>
      <c r="SZP136" s="105"/>
      <c r="SZQ136" s="105"/>
      <c r="SZR136" s="105"/>
      <c r="SZS136" s="105"/>
      <c r="SZT136" s="105"/>
      <c r="SZU136" s="105"/>
      <c r="SZV136" s="105"/>
      <c r="SZW136" s="105"/>
      <c r="SZX136" s="105"/>
      <c r="SZY136" s="105"/>
      <c r="SZZ136" s="105"/>
      <c r="TAA136" s="105"/>
      <c r="TAB136" s="105"/>
      <c r="TAC136" s="105"/>
      <c r="TAD136" s="105"/>
      <c r="TAE136" s="105"/>
      <c r="TAF136" s="105"/>
      <c r="TAG136" s="105"/>
      <c r="TAH136" s="105"/>
      <c r="TAI136" s="105"/>
      <c r="TAJ136" s="105"/>
      <c r="TAK136" s="105"/>
      <c r="TAL136" s="105"/>
      <c r="TAM136" s="105"/>
      <c r="TAN136" s="105"/>
      <c r="TAO136" s="105"/>
      <c r="TAP136" s="105"/>
      <c r="TAQ136" s="105"/>
      <c r="TAR136" s="105"/>
      <c r="TAS136" s="105"/>
      <c r="TAT136" s="105"/>
      <c r="TAU136" s="105"/>
      <c r="TAV136" s="105"/>
      <c r="TAW136" s="105"/>
      <c r="TAX136" s="105"/>
      <c r="TAY136" s="105"/>
      <c r="TAZ136" s="105"/>
      <c r="TBA136" s="105"/>
      <c r="TBB136" s="105"/>
      <c r="TBC136" s="105"/>
      <c r="TBD136" s="105"/>
      <c r="TBE136" s="105"/>
      <c r="TBF136" s="105"/>
      <c r="TBG136" s="105"/>
      <c r="TBH136" s="105"/>
      <c r="TBI136" s="105"/>
      <c r="TBJ136" s="105"/>
      <c r="TBK136" s="105"/>
      <c r="TBL136" s="105"/>
      <c r="TBM136" s="105"/>
      <c r="TBN136" s="105"/>
      <c r="TBO136" s="105"/>
      <c r="TBP136" s="105"/>
      <c r="TBQ136" s="105"/>
      <c r="TBR136" s="105"/>
      <c r="TBS136" s="105"/>
      <c r="TBT136" s="105"/>
      <c r="TBU136" s="105"/>
      <c r="TBV136" s="105"/>
      <c r="TBW136" s="105"/>
      <c r="TBX136" s="105"/>
      <c r="TBY136" s="105"/>
      <c r="TBZ136" s="105"/>
      <c r="TCA136" s="105"/>
      <c r="TCB136" s="105"/>
      <c r="TCC136" s="105"/>
      <c r="TCD136" s="105"/>
      <c r="TCE136" s="105"/>
      <c r="TCF136" s="105"/>
      <c r="TCG136" s="105"/>
      <c r="TCH136" s="105"/>
      <c r="TCI136" s="105"/>
      <c r="TCJ136" s="105"/>
      <c r="TCK136" s="105"/>
      <c r="TCL136" s="105"/>
      <c r="TCM136" s="105"/>
      <c r="TCN136" s="105"/>
      <c r="TCO136" s="105"/>
      <c r="TCP136" s="105"/>
      <c r="TCQ136" s="105"/>
      <c r="TCR136" s="105"/>
      <c r="TCS136" s="105"/>
      <c r="TCT136" s="105"/>
      <c r="TCU136" s="105"/>
      <c r="TCV136" s="105"/>
      <c r="TCW136" s="105"/>
      <c r="TCX136" s="105"/>
      <c r="TCY136" s="105"/>
      <c r="TCZ136" s="105"/>
      <c r="TDA136" s="105"/>
      <c r="TDB136" s="105"/>
      <c r="TDC136" s="105"/>
      <c r="TDD136" s="105"/>
      <c r="TDE136" s="105"/>
      <c r="TDF136" s="105"/>
      <c r="TDG136" s="105"/>
      <c r="TDH136" s="105"/>
      <c r="TDI136" s="105"/>
      <c r="TDJ136" s="105"/>
      <c r="TDK136" s="105"/>
      <c r="TDL136" s="105"/>
      <c r="TDM136" s="105"/>
      <c r="TDN136" s="105"/>
      <c r="TDO136" s="105"/>
      <c r="TDP136" s="105"/>
      <c r="TDQ136" s="105"/>
      <c r="TDR136" s="105"/>
      <c r="TDS136" s="105"/>
      <c r="TDT136" s="105"/>
      <c r="TDU136" s="105"/>
      <c r="TDV136" s="105"/>
      <c r="TDW136" s="105"/>
      <c r="TDX136" s="105"/>
      <c r="TDY136" s="105"/>
      <c r="TDZ136" s="105"/>
      <c r="TEA136" s="105"/>
      <c r="TEB136" s="105"/>
      <c r="TEC136" s="105"/>
      <c r="TED136" s="105"/>
      <c r="TEE136" s="105"/>
      <c r="TEF136" s="105"/>
      <c r="TEG136" s="105"/>
      <c r="TEH136" s="105"/>
      <c r="TEI136" s="105"/>
      <c r="TEJ136" s="105"/>
      <c r="TEK136" s="105"/>
      <c r="TEL136" s="105"/>
      <c r="TEM136" s="105"/>
      <c r="TEN136" s="105"/>
      <c r="TEO136" s="105"/>
      <c r="TEP136" s="105"/>
      <c r="TEQ136" s="105"/>
      <c r="TER136" s="105"/>
      <c r="TES136" s="105"/>
      <c r="TET136" s="105"/>
      <c r="TEU136" s="105"/>
      <c r="TEV136" s="105"/>
      <c r="TEW136" s="105"/>
      <c r="TEX136" s="105"/>
      <c r="TEY136" s="105"/>
      <c r="TEZ136" s="105"/>
      <c r="TFA136" s="105"/>
      <c r="TFB136" s="105"/>
      <c r="TFC136" s="105"/>
      <c r="TFD136" s="105"/>
      <c r="TFE136" s="105"/>
      <c r="TFF136" s="105"/>
      <c r="TFG136" s="105"/>
      <c r="TFH136" s="105"/>
      <c r="TFI136" s="105"/>
      <c r="TFJ136" s="105"/>
      <c r="TFK136" s="105"/>
      <c r="TFL136" s="105"/>
      <c r="TFM136" s="105"/>
      <c r="TFN136" s="105"/>
      <c r="TFO136" s="105"/>
      <c r="TFP136" s="105"/>
      <c r="TFQ136" s="105"/>
      <c r="TFR136" s="105"/>
      <c r="TFS136" s="105"/>
      <c r="TFT136" s="105"/>
      <c r="TFU136" s="105"/>
      <c r="TFV136" s="105"/>
      <c r="TFW136" s="105"/>
      <c r="TFX136" s="105"/>
      <c r="TFY136" s="105"/>
      <c r="TFZ136" s="105"/>
      <c r="TGA136" s="105"/>
      <c r="TGB136" s="105"/>
      <c r="TGC136" s="105"/>
      <c r="TGD136" s="105"/>
      <c r="TGE136" s="105"/>
      <c r="TGF136" s="105"/>
      <c r="TGG136" s="105"/>
      <c r="TGH136" s="105"/>
      <c r="TGI136" s="105"/>
      <c r="TGJ136" s="105"/>
      <c r="TGK136" s="105"/>
      <c r="TGL136" s="105"/>
      <c r="TGM136" s="105"/>
      <c r="TGN136" s="105"/>
      <c r="TGO136" s="105"/>
      <c r="TGP136" s="105"/>
      <c r="TGQ136" s="105"/>
      <c r="TGR136" s="105"/>
      <c r="TGS136" s="105"/>
      <c r="TGT136" s="105"/>
      <c r="TGU136" s="105"/>
      <c r="TGV136" s="105"/>
      <c r="TGW136" s="105"/>
      <c r="TGX136" s="105"/>
      <c r="TGY136" s="105"/>
      <c r="TGZ136" s="105"/>
      <c r="THA136" s="105"/>
      <c r="THB136" s="105"/>
      <c r="THC136" s="105"/>
      <c r="THD136" s="105"/>
      <c r="THE136" s="105"/>
      <c r="THF136" s="105"/>
      <c r="THG136" s="105"/>
      <c r="THH136" s="105"/>
      <c r="THI136" s="105"/>
      <c r="THJ136" s="105"/>
      <c r="THK136" s="105"/>
      <c r="THL136" s="105"/>
      <c r="THM136" s="105"/>
      <c r="THN136" s="105"/>
      <c r="THO136" s="105"/>
      <c r="THP136" s="105"/>
      <c r="THQ136" s="105"/>
      <c r="THR136" s="105"/>
      <c r="THS136" s="105"/>
      <c r="THT136" s="105"/>
      <c r="THU136" s="105"/>
      <c r="THV136" s="105"/>
      <c r="THW136" s="105"/>
      <c r="THX136" s="105"/>
      <c r="THY136" s="105"/>
      <c r="THZ136" s="105"/>
      <c r="TIA136" s="105"/>
      <c r="TIB136" s="105"/>
      <c r="TIC136" s="105"/>
      <c r="TID136" s="105"/>
      <c r="TIE136" s="105"/>
      <c r="TIF136" s="105"/>
      <c r="TIG136" s="105"/>
      <c r="TIH136" s="105"/>
      <c r="TII136" s="105"/>
      <c r="TIJ136" s="105"/>
      <c r="TIK136" s="105"/>
      <c r="TIL136" s="105"/>
      <c r="TIM136" s="105"/>
      <c r="TIN136" s="105"/>
      <c r="TIO136" s="105"/>
      <c r="TIP136" s="105"/>
      <c r="TIQ136" s="105"/>
      <c r="TIR136" s="105"/>
      <c r="TIS136" s="105"/>
      <c r="TIT136" s="105"/>
      <c r="TIU136" s="105"/>
      <c r="TIV136" s="105"/>
      <c r="TIW136" s="105"/>
      <c r="TIX136" s="105"/>
      <c r="TIY136" s="105"/>
      <c r="TIZ136" s="105"/>
      <c r="TJA136" s="105"/>
      <c r="TJB136" s="105"/>
      <c r="TJC136" s="105"/>
      <c r="TJD136" s="105"/>
      <c r="TJE136" s="105"/>
      <c r="TJF136" s="105"/>
      <c r="TJG136" s="105"/>
      <c r="TJH136" s="105"/>
      <c r="TJI136" s="105"/>
      <c r="TJJ136" s="105"/>
      <c r="TJK136" s="105"/>
      <c r="TJL136" s="105"/>
      <c r="TJM136" s="105"/>
      <c r="TJN136" s="105"/>
      <c r="TJO136" s="105"/>
      <c r="TJP136" s="105"/>
      <c r="TJQ136" s="105"/>
      <c r="TJR136" s="105"/>
      <c r="TJS136" s="105"/>
      <c r="TJT136" s="105"/>
      <c r="TJU136" s="105"/>
      <c r="TJV136" s="105"/>
      <c r="TJW136" s="105"/>
      <c r="TJX136" s="105"/>
      <c r="TJY136" s="105"/>
      <c r="TJZ136" s="105"/>
      <c r="TKA136" s="105"/>
      <c r="TKB136" s="105"/>
      <c r="TKC136" s="105"/>
      <c r="TKD136" s="105"/>
      <c r="TKE136" s="105"/>
      <c r="TKF136" s="105"/>
      <c r="TKG136" s="105"/>
      <c r="TKH136" s="105"/>
      <c r="TKI136" s="105"/>
      <c r="TKJ136" s="105"/>
      <c r="TKK136" s="105"/>
      <c r="TKL136" s="105"/>
      <c r="TKM136" s="105"/>
      <c r="TKN136" s="105"/>
      <c r="TKO136" s="105"/>
      <c r="TKP136" s="105"/>
      <c r="TKQ136" s="105"/>
      <c r="TKR136" s="105"/>
      <c r="TKS136" s="105"/>
      <c r="TKT136" s="105"/>
      <c r="TKU136" s="105"/>
      <c r="TKV136" s="105"/>
      <c r="TKW136" s="105"/>
      <c r="TKX136" s="105"/>
      <c r="TKY136" s="105"/>
      <c r="TKZ136" s="105"/>
      <c r="TLA136" s="105"/>
      <c r="TLB136" s="105"/>
      <c r="TLC136" s="105"/>
      <c r="TLD136" s="105"/>
      <c r="TLE136" s="105"/>
      <c r="TLF136" s="105"/>
      <c r="TLG136" s="105"/>
      <c r="TLH136" s="105"/>
      <c r="TLI136" s="105"/>
      <c r="TLJ136" s="105"/>
      <c r="TLK136" s="105"/>
      <c r="TLL136" s="105"/>
      <c r="TLM136" s="105"/>
      <c r="TLN136" s="105"/>
      <c r="TLO136" s="105"/>
      <c r="TLP136" s="105"/>
      <c r="TLQ136" s="105"/>
      <c r="TLR136" s="105"/>
      <c r="TLS136" s="105"/>
      <c r="TLT136" s="105"/>
      <c r="TLU136" s="105"/>
      <c r="TLV136" s="105"/>
      <c r="TLW136" s="105"/>
      <c r="TLX136" s="105"/>
      <c r="TLY136" s="105"/>
      <c r="TLZ136" s="105"/>
      <c r="TMA136" s="105"/>
      <c r="TMB136" s="105"/>
      <c r="TMC136" s="105"/>
      <c r="TMD136" s="105"/>
      <c r="TME136" s="105"/>
      <c r="TMF136" s="105"/>
      <c r="TMG136" s="105"/>
      <c r="TMH136" s="105"/>
      <c r="TMI136" s="105"/>
      <c r="TMJ136" s="105"/>
      <c r="TMK136" s="105"/>
      <c r="TML136" s="105"/>
      <c r="TMM136" s="105"/>
      <c r="TMN136" s="105"/>
      <c r="TMO136" s="105"/>
      <c r="TMP136" s="105"/>
      <c r="TMQ136" s="105"/>
      <c r="TMR136" s="105"/>
      <c r="TMS136" s="105"/>
      <c r="TMT136" s="105"/>
      <c r="TMU136" s="105"/>
      <c r="TMV136" s="105"/>
      <c r="TMW136" s="105"/>
      <c r="TMX136" s="105"/>
      <c r="TMY136" s="105"/>
      <c r="TMZ136" s="105"/>
      <c r="TNA136" s="105"/>
      <c r="TNB136" s="105"/>
      <c r="TNC136" s="105"/>
      <c r="TND136" s="105"/>
      <c r="TNE136" s="105"/>
      <c r="TNF136" s="105"/>
      <c r="TNG136" s="105"/>
      <c r="TNH136" s="105"/>
      <c r="TNI136" s="105"/>
      <c r="TNJ136" s="105"/>
      <c r="TNK136" s="105"/>
      <c r="TNL136" s="105"/>
      <c r="TNM136" s="105"/>
      <c r="TNN136" s="105"/>
      <c r="TNO136" s="105"/>
      <c r="TNP136" s="105"/>
      <c r="TNQ136" s="105"/>
      <c r="TNR136" s="105"/>
      <c r="TNS136" s="105"/>
      <c r="TNT136" s="105"/>
      <c r="TNU136" s="105"/>
      <c r="TNV136" s="105"/>
      <c r="TNW136" s="105"/>
      <c r="TNX136" s="105"/>
      <c r="TNY136" s="105"/>
      <c r="TNZ136" s="105"/>
      <c r="TOA136" s="105"/>
      <c r="TOB136" s="105"/>
      <c r="TOC136" s="105"/>
      <c r="TOD136" s="105"/>
      <c r="TOE136" s="105"/>
      <c r="TOF136" s="105"/>
      <c r="TOG136" s="105"/>
      <c r="TOH136" s="105"/>
      <c r="TOI136" s="105"/>
      <c r="TOJ136" s="105"/>
      <c r="TOK136" s="105"/>
      <c r="TOL136" s="105"/>
      <c r="TOM136" s="105"/>
      <c r="TON136" s="105"/>
      <c r="TOO136" s="105"/>
      <c r="TOP136" s="105"/>
      <c r="TOQ136" s="105"/>
      <c r="TOR136" s="105"/>
      <c r="TOS136" s="105"/>
      <c r="TOT136" s="105"/>
      <c r="TOU136" s="105"/>
      <c r="TOV136" s="105"/>
      <c r="TOW136" s="105"/>
      <c r="TOX136" s="105"/>
      <c r="TOY136" s="105"/>
      <c r="TOZ136" s="105"/>
      <c r="TPA136" s="105"/>
      <c r="TPB136" s="105"/>
      <c r="TPC136" s="105"/>
      <c r="TPD136" s="105"/>
      <c r="TPE136" s="105"/>
      <c r="TPF136" s="105"/>
      <c r="TPG136" s="105"/>
      <c r="TPH136" s="105"/>
      <c r="TPI136" s="105"/>
      <c r="TPJ136" s="105"/>
      <c r="TPK136" s="105"/>
      <c r="TPL136" s="105"/>
      <c r="TPM136" s="105"/>
      <c r="TPN136" s="105"/>
      <c r="TPO136" s="105"/>
      <c r="TPP136" s="105"/>
      <c r="TPQ136" s="105"/>
      <c r="TPR136" s="105"/>
      <c r="TPS136" s="105"/>
      <c r="TPT136" s="105"/>
      <c r="TPU136" s="105"/>
      <c r="TPV136" s="105"/>
      <c r="TPW136" s="105"/>
      <c r="TPX136" s="105"/>
      <c r="TPY136" s="105"/>
      <c r="TPZ136" s="105"/>
      <c r="TQA136" s="105"/>
      <c r="TQB136" s="105"/>
      <c r="TQC136" s="105"/>
      <c r="TQD136" s="105"/>
      <c r="TQE136" s="105"/>
      <c r="TQF136" s="105"/>
      <c r="TQG136" s="105"/>
      <c r="TQH136" s="105"/>
      <c r="TQI136" s="105"/>
      <c r="TQJ136" s="105"/>
      <c r="TQK136" s="105"/>
      <c r="TQL136" s="105"/>
      <c r="TQM136" s="105"/>
      <c r="TQN136" s="105"/>
      <c r="TQO136" s="105"/>
      <c r="TQP136" s="105"/>
      <c r="TQQ136" s="105"/>
      <c r="TQR136" s="105"/>
      <c r="TQS136" s="105"/>
      <c r="TQT136" s="105"/>
      <c r="TQU136" s="105"/>
      <c r="TQV136" s="105"/>
      <c r="TQW136" s="105"/>
      <c r="TQX136" s="105"/>
      <c r="TQY136" s="105"/>
      <c r="TQZ136" s="105"/>
      <c r="TRA136" s="105"/>
      <c r="TRB136" s="105"/>
      <c r="TRC136" s="105"/>
      <c r="TRD136" s="105"/>
      <c r="TRE136" s="105"/>
      <c r="TRF136" s="105"/>
      <c r="TRG136" s="105"/>
      <c r="TRH136" s="105"/>
      <c r="TRI136" s="105"/>
      <c r="TRJ136" s="105"/>
      <c r="TRK136" s="105"/>
      <c r="TRL136" s="105"/>
      <c r="TRM136" s="105"/>
      <c r="TRN136" s="105"/>
      <c r="TRO136" s="105"/>
      <c r="TRP136" s="105"/>
      <c r="TRQ136" s="105"/>
      <c r="TRR136" s="105"/>
      <c r="TRS136" s="105"/>
      <c r="TRT136" s="105"/>
      <c r="TRU136" s="105"/>
      <c r="TRV136" s="105"/>
      <c r="TRW136" s="105"/>
      <c r="TRX136" s="105"/>
      <c r="TRY136" s="105"/>
      <c r="TRZ136" s="105"/>
      <c r="TSA136" s="105"/>
      <c r="TSB136" s="105"/>
      <c r="TSC136" s="105"/>
      <c r="TSD136" s="105"/>
      <c r="TSE136" s="105"/>
      <c r="TSF136" s="105"/>
      <c r="TSG136" s="105"/>
      <c r="TSH136" s="105"/>
      <c r="TSI136" s="105"/>
      <c r="TSJ136" s="105"/>
      <c r="TSK136" s="105"/>
      <c r="TSL136" s="105"/>
      <c r="TSM136" s="105"/>
      <c r="TSN136" s="105"/>
      <c r="TSO136" s="105"/>
      <c r="TSP136" s="105"/>
      <c r="TSQ136" s="105"/>
      <c r="TSR136" s="105"/>
      <c r="TSS136" s="105"/>
      <c r="TST136" s="105"/>
      <c r="TSU136" s="105"/>
      <c r="TSV136" s="105"/>
      <c r="TSW136" s="105"/>
      <c r="TSX136" s="105"/>
      <c r="TSY136" s="105"/>
      <c r="TSZ136" s="105"/>
      <c r="TTA136" s="105"/>
      <c r="TTB136" s="105"/>
      <c r="TTC136" s="105"/>
      <c r="TTD136" s="105"/>
      <c r="TTE136" s="105"/>
      <c r="TTF136" s="105"/>
      <c r="TTG136" s="105"/>
      <c r="TTH136" s="105"/>
      <c r="TTI136" s="105"/>
      <c r="TTJ136" s="105"/>
      <c r="TTK136" s="105"/>
      <c r="TTL136" s="105"/>
      <c r="TTM136" s="105"/>
      <c r="TTN136" s="105"/>
      <c r="TTO136" s="105"/>
      <c r="TTP136" s="105"/>
      <c r="TTQ136" s="105"/>
      <c r="TTR136" s="105"/>
      <c r="TTS136" s="105"/>
      <c r="TTT136" s="105"/>
      <c r="TTU136" s="105"/>
      <c r="TTV136" s="105"/>
      <c r="TTW136" s="105"/>
      <c r="TTX136" s="105"/>
      <c r="TTY136" s="105"/>
      <c r="TTZ136" s="105"/>
      <c r="TUA136" s="105"/>
      <c r="TUB136" s="105"/>
      <c r="TUC136" s="105"/>
      <c r="TUD136" s="105"/>
      <c r="TUE136" s="105"/>
      <c r="TUF136" s="105"/>
      <c r="TUG136" s="105"/>
      <c r="TUH136" s="105"/>
      <c r="TUI136" s="105"/>
      <c r="TUJ136" s="105"/>
      <c r="TUK136" s="105"/>
      <c r="TUL136" s="105"/>
      <c r="TUM136" s="105"/>
      <c r="TUN136" s="105"/>
      <c r="TUO136" s="105"/>
      <c r="TUP136" s="105"/>
      <c r="TUQ136" s="105"/>
      <c r="TUR136" s="105"/>
      <c r="TUS136" s="105"/>
      <c r="TUT136" s="105"/>
      <c r="TUU136" s="105"/>
      <c r="TUV136" s="105"/>
      <c r="TUW136" s="105"/>
      <c r="TUX136" s="105"/>
      <c r="TUY136" s="105"/>
      <c r="TUZ136" s="105"/>
      <c r="TVA136" s="105"/>
      <c r="TVB136" s="105"/>
      <c r="TVC136" s="105"/>
      <c r="TVD136" s="105"/>
      <c r="TVE136" s="105"/>
      <c r="TVF136" s="105"/>
      <c r="TVG136" s="105"/>
      <c r="TVH136" s="105"/>
      <c r="TVI136" s="105"/>
      <c r="TVJ136" s="105"/>
      <c r="TVK136" s="105"/>
      <c r="TVL136" s="105"/>
      <c r="TVM136" s="105"/>
      <c r="TVN136" s="105"/>
      <c r="TVO136" s="105"/>
      <c r="TVP136" s="105"/>
      <c r="TVQ136" s="105"/>
      <c r="TVR136" s="105"/>
      <c r="TVS136" s="105"/>
      <c r="TVT136" s="105"/>
      <c r="TVU136" s="105"/>
      <c r="TVV136" s="105"/>
      <c r="TVW136" s="105"/>
      <c r="TVX136" s="105"/>
      <c r="TVY136" s="105"/>
      <c r="TVZ136" s="105"/>
      <c r="TWA136" s="105"/>
      <c r="TWB136" s="105"/>
      <c r="TWC136" s="105"/>
      <c r="TWD136" s="105"/>
      <c r="TWE136" s="105"/>
      <c r="TWF136" s="105"/>
      <c r="TWG136" s="105"/>
      <c r="TWH136" s="105"/>
      <c r="TWI136" s="105"/>
      <c r="TWJ136" s="105"/>
      <c r="TWK136" s="105"/>
      <c r="TWL136" s="105"/>
      <c r="TWM136" s="105"/>
      <c r="TWN136" s="105"/>
      <c r="TWO136" s="105"/>
      <c r="TWP136" s="105"/>
      <c r="TWQ136" s="105"/>
      <c r="TWR136" s="105"/>
      <c r="TWS136" s="105"/>
      <c r="TWT136" s="105"/>
      <c r="TWU136" s="105"/>
      <c r="TWV136" s="105"/>
      <c r="TWW136" s="105"/>
      <c r="TWX136" s="105"/>
      <c r="TWY136" s="105"/>
      <c r="TWZ136" s="105"/>
      <c r="TXA136" s="105"/>
      <c r="TXB136" s="105"/>
      <c r="TXC136" s="105"/>
      <c r="TXD136" s="105"/>
      <c r="TXE136" s="105"/>
      <c r="TXF136" s="105"/>
      <c r="TXG136" s="105"/>
      <c r="TXH136" s="105"/>
      <c r="TXI136" s="105"/>
      <c r="TXJ136" s="105"/>
      <c r="TXK136" s="105"/>
      <c r="TXL136" s="105"/>
      <c r="TXM136" s="105"/>
      <c r="TXN136" s="105"/>
      <c r="TXO136" s="105"/>
      <c r="TXP136" s="105"/>
      <c r="TXQ136" s="105"/>
      <c r="TXR136" s="105"/>
      <c r="TXS136" s="105"/>
      <c r="TXT136" s="105"/>
      <c r="TXU136" s="105"/>
      <c r="TXV136" s="105"/>
      <c r="TXW136" s="105"/>
      <c r="TXX136" s="105"/>
      <c r="TXY136" s="105"/>
      <c r="TXZ136" s="105"/>
      <c r="TYA136" s="105"/>
      <c r="TYB136" s="105"/>
      <c r="TYC136" s="105"/>
      <c r="TYD136" s="105"/>
      <c r="TYE136" s="105"/>
      <c r="TYF136" s="105"/>
      <c r="TYG136" s="105"/>
      <c r="TYH136" s="105"/>
      <c r="TYI136" s="105"/>
      <c r="TYJ136" s="105"/>
      <c r="TYK136" s="105"/>
      <c r="TYL136" s="105"/>
      <c r="TYM136" s="105"/>
      <c r="TYN136" s="105"/>
      <c r="TYO136" s="105"/>
      <c r="TYP136" s="105"/>
      <c r="TYQ136" s="105"/>
      <c r="TYR136" s="105"/>
      <c r="TYS136" s="105"/>
      <c r="TYT136" s="105"/>
      <c r="TYU136" s="105"/>
      <c r="TYV136" s="105"/>
      <c r="TYW136" s="105"/>
      <c r="TYX136" s="105"/>
      <c r="TYY136" s="105"/>
      <c r="TYZ136" s="105"/>
      <c r="TZA136" s="105"/>
      <c r="TZB136" s="105"/>
      <c r="TZC136" s="105"/>
      <c r="TZD136" s="105"/>
      <c r="TZE136" s="105"/>
      <c r="TZF136" s="105"/>
      <c r="TZG136" s="105"/>
      <c r="TZH136" s="105"/>
      <c r="TZI136" s="105"/>
      <c r="TZJ136" s="105"/>
      <c r="TZK136" s="105"/>
      <c r="TZL136" s="105"/>
      <c r="TZM136" s="105"/>
      <c r="TZN136" s="105"/>
      <c r="TZO136" s="105"/>
      <c r="TZP136" s="105"/>
      <c r="TZQ136" s="105"/>
      <c r="TZR136" s="105"/>
      <c r="TZS136" s="105"/>
      <c r="TZT136" s="105"/>
      <c r="TZU136" s="105"/>
      <c r="TZV136" s="105"/>
      <c r="TZW136" s="105"/>
      <c r="TZX136" s="105"/>
      <c r="TZY136" s="105"/>
      <c r="TZZ136" s="105"/>
      <c r="UAA136" s="105"/>
      <c r="UAB136" s="105"/>
      <c r="UAC136" s="105"/>
      <c r="UAD136" s="105"/>
      <c r="UAE136" s="105"/>
      <c r="UAF136" s="105"/>
      <c r="UAG136" s="105"/>
      <c r="UAH136" s="105"/>
      <c r="UAI136" s="105"/>
      <c r="UAJ136" s="105"/>
      <c r="UAK136" s="105"/>
      <c r="UAL136" s="105"/>
      <c r="UAM136" s="105"/>
      <c r="UAN136" s="105"/>
      <c r="UAO136" s="105"/>
      <c r="UAP136" s="105"/>
      <c r="UAQ136" s="105"/>
      <c r="UAR136" s="105"/>
      <c r="UAS136" s="105"/>
      <c r="UAT136" s="105"/>
      <c r="UAU136" s="105"/>
      <c r="UAV136" s="105"/>
      <c r="UAW136" s="105"/>
      <c r="UAX136" s="105"/>
      <c r="UAY136" s="105"/>
      <c r="UAZ136" s="105"/>
      <c r="UBA136" s="105"/>
      <c r="UBB136" s="105"/>
      <c r="UBC136" s="105"/>
      <c r="UBD136" s="105"/>
      <c r="UBE136" s="105"/>
      <c r="UBF136" s="105"/>
      <c r="UBG136" s="105"/>
      <c r="UBH136" s="105"/>
      <c r="UBI136" s="105"/>
      <c r="UBJ136" s="105"/>
      <c r="UBK136" s="105"/>
      <c r="UBL136" s="105"/>
      <c r="UBM136" s="105"/>
      <c r="UBN136" s="105"/>
      <c r="UBO136" s="105"/>
      <c r="UBP136" s="105"/>
      <c r="UBQ136" s="105"/>
      <c r="UBR136" s="105"/>
      <c r="UBS136" s="105"/>
      <c r="UBT136" s="105"/>
      <c r="UBU136" s="105"/>
      <c r="UBV136" s="105"/>
      <c r="UBW136" s="105"/>
      <c r="UBX136" s="105"/>
      <c r="UBY136" s="105"/>
      <c r="UBZ136" s="105"/>
      <c r="UCA136" s="105"/>
      <c r="UCB136" s="105"/>
      <c r="UCC136" s="105"/>
      <c r="UCD136" s="105"/>
      <c r="UCE136" s="105"/>
      <c r="UCF136" s="105"/>
      <c r="UCG136" s="105"/>
      <c r="UCH136" s="105"/>
      <c r="UCI136" s="105"/>
      <c r="UCJ136" s="105"/>
      <c r="UCK136" s="105"/>
      <c r="UCL136" s="105"/>
      <c r="UCM136" s="105"/>
      <c r="UCN136" s="105"/>
      <c r="UCO136" s="105"/>
      <c r="UCP136" s="105"/>
      <c r="UCQ136" s="105"/>
      <c r="UCR136" s="105"/>
      <c r="UCS136" s="105"/>
      <c r="UCT136" s="105"/>
      <c r="UCU136" s="105"/>
      <c r="UCV136" s="105"/>
      <c r="UCW136" s="105"/>
      <c r="UCX136" s="105"/>
      <c r="UCY136" s="105"/>
      <c r="UCZ136" s="105"/>
      <c r="UDA136" s="105"/>
      <c r="UDB136" s="105"/>
      <c r="UDC136" s="105"/>
      <c r="UDD136" s="105"/>
      <c r="UDE136" s="105"/>
      <c r="UDF136" s="105"/>
      <c r="UDG136" s="105"/>
      <c r="UDH136" s="105"/>
      <c r="UDI136" s="105"/>
      <c r="UDJ136" s="105"/>
      <c r="UDK136" s="105"/>
      <c r="UDL136" s="105"/>
      <c r="UDM136" s="105"/>
      <c r="UDN136" s="105"/>
      <c r="UDO136" s="105"/>
      <c r="UDP136" s="105"/>
      <c r="UDQ136" s="105"/>
      <c r="UDR136" s="105"/>
      <c r="UDS136" s="105"/>
      <c r="UDT136" s="105"/>
      <c r="UDU136" s="105"/>
      <c r="UDV136" s="105"/>
      <c r="UDW136" s="105"/>
      <c r="UDX136" s="105"/>
      <c r="UDY136" s="105"/>
      <c r="UDZ136" s="105"/>
      <c r="UEA136" s="105"/>
      <c r="UEB136" s="105"/>
      <c r="UEC136" s="105"/>
      <c r="UED136" s="105"/>
      <c r="UEE136" s="105"/>
      <c r="UEF136" s="105"/>
      <c r="UEG136" s="105"/>
      <c r="UEH136" s="105"/>
      <c r="UEI136" s="105"/>
      <c r="UEJ136" s="105"/>
      <c r="UEK136" s="105"/>
      <c r="UEL136" s="105"/>
      <c r="UEM136" s="105"/>
      <c r="UEN136" s="105"/>
      <c r="UEO136" s="105"/>
      <c r="UEP136" s="105"/>
      <c r="UEQ136" s="105"/>
      <c r="UER136" s="105"/>
      <c r="UES136" s="105"/>
      <c r="UET136" s="105"/>
      <c r="UEU136" s="105"/>
      <c r="UEV136" s="105"/>
      <c r="UEW136" s="105"/>
      <c r="UEX136" s="105"/>
      <c r="UEY136" s="105"/>
      <c r="UEZ136" s="105"/>
      <c r="UFA136" s="105"/>
      <c r="UFB136" s="105"/>
      <c r="UFC136" s="105"/>
      <c r="UFD136" s="105"/>
      <c r="UFE136" s="105"/>
      <c r="UFF136" s="105"/>
      <c r="UFG136" s="105"/>
      <c r="UFH136" s="105"/>
      <c r="UFI136" s="105"/>
      <c r="UFJ136" s="105"/>
      <c r="UFK136" s="105"/>
      <c r="UFL136" s="105"/>
      <c r="UFM136" s="105"/>
      <c r="UFN136" s="105"/>
      <c r="UFO136" s="105"/>
      <c r="UFP136" s="105"/>
      <c r="UFQ136" s="105"/>
      <c r="UFR136" s="105"/>
      <c r="UFS136" s="105"/>
      <c r="UFT136" s="105"/>
      <c r="UFU136" s="105"/>
      <c r="UFV136" s="105"/>
      <c r="UFW136" s="105"/>
      <c r="UFX136" s="105"/>
      <c r="UFY136" s="105"/>
      <c r="UFZ136" s="105"/>
      <c r="UGA136" s="105"/>
      <c r="UGB136" s="105"/>
      <c r="UGC136" s="105"/>
      <c r="UGD136" s="105"/>
      <c r="UGE136" s="105"/>
      <c r="UGF136" s="105"/>
      <c r="UGG136" s="105"/>
      <c r="UGH136" s="105"/>
      <c r="UGI136" s="105"/>
      <c r="UGJ136" s="105"/>
      <c r="UGK136" s="105"/>
      <c r="UGL136" s="105"/>
      <c r="UGM136" s="105"/>
      <c r="UGN136" s="105"/>
      <c r="UGO136" s="105"/>
      <c r="UGP136" s="105"/>
      <c r="UGQ136" s="105"/>
      <c r="UGR136" s="105"/>
      <c r="UGS136" s="105"/>
      <c r="UGT136" s="105"/>
      <c r="UGU136" s="105"/>
      <c r="UGV136" s="105"/>
      <c r="UGW136" s="105"/>
      <c r="UGX136" s="105"/>
      <c r="UGY136" s="105"/>
      <c r="UGZ136" s="105"/>
      <c r="UHA136" s="105"/>
      <c r="UHB136" s="105"/>
      <c r="UHC136" s="105"/>
      <c r="UHD136" s="105"/>
      <c r="UHE136" s="105"/>
      <c r="UHF136" s="105"/>
      <c r="UHG136" s="105"/>
      <c r="UHH136" s="105"/>
      <c r="UHI136" s="105"/>
      <c r="UHJ136" s="105"/>
      <c r="UHK136" s="105"/>
      <c r="UHL136" s="105"/>
      <c r="UHM136" s="105"/>
      <c r="UHN136" s="105"/>
      <c r="UHO136" s="105"/>
      <c r="UHP136" s="105"/>
      <c r="UHQ136" s="105"/>
      <c r="UHR136" s="105"/>
      <c r="UHS136" s="105"/>
      <c r="UHT136" s="105"/>
      <c r="UHU136" s="105"/>
      <c r="UHV136" s="105"/>
      <c r="UHW136" s="105"/>
      <c r="UHX136" s="105"/>
      <c r="UHY136" s="105"/>
      <c r="UHZ136" s="105"/>
      <c r="UIA136" s="105"/>
      <c r="UIB136" s="105"/>
      <c r="UIC136" s="105"/>
      <c r="UID136" s="105"/>
      <c r="UIE136" s="105"/>
      <c r="UIF136" s="105"/>
      <c r="UIG136" s="105"/>
      <c r="UIH136" s="105"/>
      <c r="UII136" s="105"/>
      <c r="UIJ136" s="105"/>
      <c r="UIK136" s="105"/>
      <c r="UIL136" s="105"/>
      <c r="UIM136" s="105"/>
      <c r="UIN136" s="105"/>
      <c r="UIO136" s="105"/>
      <c r="UIP136" s="105"/>
      <c r="UIQ136" s="105"/>
      <c r="UIR136" s="105"/>
      <c r="UIS136" s="105"/>
      <c r="UIT136" s="105"/>
      <c r="UIU136" s="105"/>
      <c r="UIV136" s="105"/>
      <c r="UIW136" s="105"/>
      <c r="UIX136" s="105"/>
      <c r="UIY136" s="105"/>
      <c r="UIZ136" s="105"/>
      <c r="UJA136" s="105"/>
      <c r="UJB136" s="105"/>
      <c r="UJC136" s="105"/>
      <c r="UJD136" s="105"/>
      <c r="UJE136" s="105"/>
      <c r="UJF136" s="105"/>
      <c r="UJG136" s="105"/>
      <c r="UJH136" s="105"/>
      <c r="UJI136" s="105"/>
      <c r="UJJ136" s="105"/>
      <c r="UJK136" s="105"/>
      <c r="UJL136" s="105"/>
      <c r="UJM136" s="105"/>
      <c r="UJN136" s="105"/>
      <c r="UJO136" s="105"/>
      <c r="UJP136" s="105"/>
      <c r="UJQ136" s="105"/>
      <c r="UJR136" s="105"/>
      <c r="UJS136" s="105"/>
      <c r="UJT136" s="105"/>
      <c r="UJU136" s="105"/>
      <c r="UJV136" s="105"/>
      <c r="UJW136" s="105"/>
      <c r="UJX136" s="105"/>
      <c r="UJY136" s="105"/>
      <c r="UJZ136" s="105"/>
      <c r="UKA136" s="105"/>
      <c r="UKB136" s="105"/>
      <c r="UKC136" s="105"/>
      <c r="UKD136" s="105"/>
      <c r="UKE136" s="105"/>
      <c r="UKF136" s="105"/>
      <c r="UKG136" s="105"/>
      <c r="UKH136" s="105"/>
      <c r="UKI136" s="105"/>
      <c r="UKJ136" s="105"/>
      <c r="UKK136" s="105"/>
      <c r="UKL136" s="105"/>
      <c r="UKM136" s="105"/>
      <c r="UKN136" s="105"/>
      <c r="UKO136" s="105"/>
      <c r="UKP136" s="105"/>
      <c r="UKQ136" s="105"/>
      <c r="UKR136" s="105"/>
      <c r="UKS136" s="105"/>
      <c r="UKT136" s="105"/>
      <c r="UKU136" s="105"/>
      <c r="UKV136" s="105"/>
      <c r="UKW136" s="105"/>
      <c r="UKX136" s="105"/>
      <c r="UKY136" s="105"/>
      <c r="UKZ136" s="105"/>
      <c r="ULA136" s="105"/>
      <c r="ULB136" s="105"/>
      <c r="ULC136" s="105"/>
      <c r="ULD136" s="105"/>
      <c r="ULE136" s="105"/>
      <c r="ULF136" s="105"/>
      <c r="ULG136" s="105"/>
      <c r="ULH136" s="105"/>
      <c r="ULI136" s="105"/>
      <c r="ULJ136" s="105"/>
      <c r="ULK136" s="105"/>
      <c r="ULL136" s="105"/>
      <c r="ULM136" s="105"/>
      <c r="ULN136" s="105"/>
      <c r="ULO136" s="105"/>
      <c r="ULP136" s="105"/>
      <c r="ULQ136" s="105"/>
      <c r="ULR136" s="105"/>
      <c r="ULS136" s="105"/>
      <c r="ULT136" s="105"/>
      <c r="ULU136" s="105"/>
      <c r="ULV136" s="105"/>
      <c r="ULW136" s="105"/>
      <c r="ULX136" s="105"/>
      <c r="ULY136" s="105"/>
      <c r="ULZ136" s="105"/>
      <c r="UMA136" s="105"/>
      <c r="UMB136" s="105"/>
      <c r="UMC136" s="105"/>
      <c r="UMD136" s="105"/>
      <c r="UME136" s="105"/>
      <c r="UMF136" s="105"/>
      <c r="UMG136" s="105"/>
      <c r="UMH136" s="105"/>
      <c r="UMI136" s="105"/>
      <c r="UMJ136" s="105"/>
      <c r="UMK136" s="105"/>
      <c r="UML136" s="105"/>
      <c r="UMM136" s="105"/>
      <c r="UMN136" s="105"/>
      <c r="UMO136" s="105"/>
      <c r="UMP136" s="105"/>
      <c r="UMQ136" s="105"/>
      <c r="UMR136" s="105"/>
      <c r="UMS136" s="105"/>
      <c r="UMT136" s="105"/>
      <c r="UMU136" s="105"/>
      <c r="UMV136" s="105"/>
      <c r="UMW136" s="105"/>
      <c r="UMX136" s="105"/>
      <c r="UMY136" s="105"/>
      <c r="UMZ136" s="105"/>
      <c r="UNA136" s="105"/>
      <c r="UNB136" s="105"/>
      <c r="UNC136" s="105"/>
      <c r="UND136" s="105"/>
      <c r="UNE136" s="105"/>
      <c r="UNF136" s="105"/>
      <c r="UNG136" s="105"/>
      <c r="UNH136" s="105"/>
      <c r="UNI136" s="105"/>
      <c r="UNJ136" s="105"/>
      <c r="UNK136" s="105"/>
      <c r="UNL136" s="105"/>
      <c r="UNM136" s="105"/>
      <c r="UNN136" s="105"/>
      <c r="UNO136" s="105"/>
      <c r="UNP136" s="105"/>
      <c r="UNQ136" s="105"/>
      <c r="UNR136" s="105"/>
      <c r="UNS136" s="105"/>
      <c r="UNT136" s="105"/>
      <c r="UNU136" s="105"/>
      <c r="UNV136" s="105"/>
      <c r="UNW136" s="105"/>
      <c r="UNX136" s="105"/>
      <c r="UNY136" s="105"/>
      <c r="UNZ136" s="105"/>
      <c r="UOA136" s="105"/>
      <c r="UOB136" s="105"/>
      <c r="UOC136" s="105"/>
      <c r="UOD136" s="105"/>
      <c r="UOE136" s="105"/>
      <c r="UOF136" s="105"/>
      <c r="UOG136" s="105"/>
      <c r="UOH136" s="105"/>
      <c r="UOI136" s="105"/>
      <c r="UOJ136" s="105"/>
      <c r="UOK136" s="105"/>
      <c r="UOL136" s="105"/>
      <c r="UOM136" s="105"/>
      <c r="UON136" s="105"/>
      <c r="UOO136" s="105"/>
      <c r="UOP136" s="105"/>
      <c r="UOQ136" s="105"/>
      <c r="UOR136" s="105"/>
      <c r="UOS136" s="105"/>
      <c r="UOT136" s="105"/>
      <c r="UOU136" s="105"/>
      <c r="UOV136" s="105"/>
      <c r="UOW136" s="105"/>
      <c r="UOX136" s="105"/>
      <c r="UOY136" s="105"/>
      <c r="UOZ136" s="105"/>
      <c r="UPA136" s="105"/>
      <c r="UPB136" s="105"/>
      <c r="UPC136" s="105"/>
      <c r="UPD136" s="105"/>
      <c r="UPE136" s="105"/>
      <c r="UPF136" s="105"/>
      <c r="UPG136" s="105"/>
      <c r="UPH136" s="105"/>
      <c r="UPI136" s="105"/>
      <c r="UPJ136" s="105"/>
      <c r="UPK136" s="105"/>
      <c r="UPL136" s="105"/>
      <c r="UPM136" s="105"/>
      <c r="UPN136" s="105"/>
      <c r="UPO136" s="105"/>
      <c r="UPP136" s="105"/>
      <c r="UPQ136" s="105"/>
      <c r="UPR136" s="105"/>
      <c r="UPS136" s="105"/>
      <c r="UPT136" s="105"/>
      <c r="UPU136" s="105"/>
      <c r="UPV136" s="105"/>
      <c r="UPW136" s="105"/>
      <c r="UPX136" s="105"/>
      <c r="UPY136" s="105"/>
      <c r="UPZ136" s="105"/>
      <c r="UQA136" s="105"/>
      <c r="UQB136" s="105"/>
      <c r="UQC136" s="105"/>
      <c r="UQD136" s="105"/>
      <c r="UQE136" s="105"/>
      <c r="UQF136" s="105"/>
      <c r="UQG136" s="105"/>
      <c r="UQH136" s="105"/>
      <c r="UQI136" s="105"/>
      <c r="UQJ136" s="105"/>
      <c r="UQK136" s="105"/>
      <c r="UQL136" s="105"/>
      <c r="UQM136" s="105"/>
      <c r="UQN136" s="105"/>
      <c r="UQO136" s="105"/>
      <c r="UQP136" s="105"/>
      <c r="UQQ136" s="105"/>
      <c r="UQR136" s="105"/>
      <c r="UQS136" s="105"/>
      <c r="UQT136" s="105"/>
      <c r="UQU136" s="105"/>
      <c r="UQV136" s="105"/>
      <c r="UQW136" s="105"/>
      <c r="UQX136" s="105"/>
      <c r="UQY136" s="105"/>
      <c r="UQZ136" s="105"/>
      <c r="URA136" s="105"/>
      <c r="URB136" s="105"/>
      <c r="URC136" s="105"/>
      <c r="URD136" s="105"/>
      <c r="URE136" s="105"/>
      <c r="URF136" s="105"/>
      <c r="URG136" s="105"/>
      <c r="URH136" s="105"/>
      <c r="URI136" s="105"/>
      <c r="URJ136" s="105"/>
      <c r="URK136" s="105"/>
      <c r="URL136" s="105"/>
      <c r="URM136" s="105"/>
      <c r="URN136" s="105"/>
      <c r="URO136" s="105"/>
      <c r="URP136" s="105"/>
      <c r="URQ136" s="105"/>
      <c r="URR136" s="105"/>
      <c r="URS136" s="105"/>
      <c r="URT136" s="105"/>
      <c r="URU136" s="105"/>
      <c r="URV136" s="105"/>
      <c r="URW136" s="105"/>
      <c r="URX136" s="105"/>
      <c r="URY136" s="105"/>
      <c r="URZ136" s="105"/>
      <c r="USA136" s="105"/>
      <c r="USB136" s="105"/>
      <c r="USC136" s="105"/>
      <c r="USD136" s="105"/>
      <c r="USE136" s="105"/>
      <c r="USF136" s="105"/>
      <c r="USG136" s="105"/>
      <c r="USH136" s="105"/>
      <c r="USI136" s="105"/>
      <c r="USJ136" s="105"/>
      <c r="USK136" s="105"/>
      <c r="USL136" s="105"/>
      <c r="USM136" s="105"/>
      <c r="USN136" s="105"/>
      <c r="USO136" s="105"/>
      <c r="USP136" s="105"/>
      <c r="USQ136" s="105"/>
      <c r="USR136" s="105"/>
      <c r="USS136" s="105"/>
      <c r="UST136" s="105"/>
      <c r="USU136" s="105"/>
      <c r="USV136" s="105"/>
      <c r="USW136" s="105"/>
      <c r="USX136" s="105"/>
      <c r="USY136" s="105"/>
      <c r="USZ136" s="105"/>
      <c r="UTA136" s="105"/>
      <c r="UTB136" s="105"/>
      <c r="UTC136" s="105"/>
      <c r="UTD136" s="105"/>
      <c r="UTE136" s="105"/>
      <c r="UTF136" s="105"/>
      <c r="UTG136" s="105"/>
      <c r="UTH136" s="105"/>
      <c r="UTI136" s="105"/>
      <c r="UTJ136" s="105"/>
      <c r="UTK136" s="105"/>
      <c r="UTL136" s="105"/>
      <c r="UTM136" s="105"/>
      <c r="UTN136" s="105"/>
      <c r="UTO136" s="105"/>
      <c r="UTP136" s="105"/>
      <c r="UTQ136" s="105"/>
      <c r="UTR136" s="105"/>
      <c r="UTS136" s="105"/>
      <c r="UTT136" s="105"/>
      <c r="UTU136" s="105"/>
      <c r="UTV136" s="105"/>
      <c r="UTW136" s="105"/>
      <c r="UTX136" s="105"/>
      <c r="UTY136" s="105"/>
      <c r="UTZ136" s="105"/>
      <c r="UUA136" s="105"/>
      <c r="UUB136" s="105"/>
      <c r="UUC136" s="105"/>
      <c r="UUD136" s="105"/>
      <c r="UUE136" s="105"/>
      <c r="UUF136" s="105"/>
      <c r="UUG136" s="105"/>
      <c r="UUH136" s="105"/>
      <c r="UUI136" s="105"/>
      <c r="UUJ136" s="105"/>
      <c r="UUK136" s="105"/>
      <c r="UUL136" s="105"/>
      <c r="UUM136" s="105"/>
      <c r="UUN136" s="105"/>
      <c r="UUO136" s="105"/>
      <c r="UUP136" s="105"/>
      <c r="UUQ136" s="105"/>
      <c r="UUR136" s="105"/>
      <c r="UUS136" s="105"/>
      <c r="UUT136" s="105"/>
      <c r="UUU136" s="105"/>
      <c r="UUV136" s="105"/>
      <c r="UUW136" s="105"/>
      <c r="UUX136" s="105"/>
      <c r="UUY136" s="105"/>
      <c r="UUZ136" s="105"/>
      <c r="UVA136" s="105"/>
      <c r="UVB136" s="105"/>
      <c r="UVC136" s="105"/>
      <c r="UVD136" s="105"/>
      <c r="UVE136" s="105"/>
      <c r="UVF136" s="105"/>
      <c r="UVG136" s="105"/>
      <c r="UVH136" s="105"/>
      <c r="UVI136" s="105"/>
      <c r="UVJ136" s="105"/>
      <c r="UVK136" s="105"/>
      <c r="UVL136" s="105"/>
      <c r="UVM136" s="105"/>
      <c r="UVN136" s="105"/>
      <c r="UVO136" s="105"/>
      <c r="UVP136" s="105"/>
      <c r="UVQ136" s="105"/>
      <c r="UVR136" s="105"/>
      <c r="UVS136" s="105"/>
      <c r="UVT136" s="105"/>
      <c r="UVU136" s="105"/>
      <c r="UVV136" s="105"/>
      <c r="UVW136" s="105"/>
      <c r="UVX136" s="105"/>
      <c r="UVY136" s="105"/>
      <c r="UVZ136" s="105"/>
      <c r="UWA136" s="105"/>
      <c r="UWB136" s="105"/>
      <c r="UWC136" s="105"/>
      <c r="UWD136" s="105"/>
      <c r="UWE136" s="105"/>
      <c r="UWF136" s="105"/>
      <c r="UWG136" s="105"/>
      <c r="UWH136" s="105"/>
      <c r="UWI136" s="105"/>
      <c r="UWJ136" s="105"/>
      <c r="UWK136" s="105"/>
      <c r="UWL136" s="105"/>
      <c r="UWM136" s="105"/>
      <c r="UWN136" s="105"/>
      <c r="UWO136" s="105"/>
      <c r="UWP136" s="105"/>
      <c r="UWQ136" s="105"/>
      <c r="UWR136" s="105"/>
      <c r="UWS136" s="105"/>
      <c r="UWT136" s="105"/>
      <c r="UWU136" s="105"/>
      <c r="UWV136" s="105"/>
      <c r="UWW136" s="105"/>
      <c r="UWX136" s="105"/>
      <c r="UWY136" s="105"/>
      <c r="UWZ136" s="105"/>
      <c r="UXA136" s="105"/>
      <c r="UXB136" s="105"/>
      <c r="UXC136" s="105"/>
      <c r="UXD136" s="105"/>
      <c r="UXE136" s="105"/>
      <c r="UXF136" s="105"/>
      <c r="UXG136" s="105"/>
      <c r="UXH136" s="105"/>
      <c r="UXI136" s="105"/>
      <c r="UXJ136" s="105"/>
      <c r="UXK136" s="105"/>
      <c r="UXL136" s="105"/>
      <c r="UXM136" s="105"/>
      <c r="UXN136" s="105"/>
      <c r="UXO136" s="105"/>
      <c r="UXP136" s="105"/>
      <c r="UXQ136" s="105"/>
      <c r="UXR136" s="105"/>
      <c r="UXS136" s="105"/>
      <c r="UXT136" s="105"/>
      <c r="UXU136" s="105"/>
      <c r="UXV136" s="105"/>
      <c r="UXW136" s="105"/>
      <c r="UXX136" s="105"/>
      <c r="UXY136" s="105"/>
      <c r="UXZ136" s="105"/>
      <c r="UYA136" s="105"/>
      <c r="UYB136" s="105"/>
      <c r="UYC136" s="105"/>
      <c r="UYD136" s="105"/>
      <c r="UYE136" s="105"/>
      <c r="UYF136" s="105"/>
      <c r="UYG136" s="105"/>
      <c r="UYH136" s="105"/>
      <c r="UYI136" s="105"/>
      <c r="UYJ136" s="105"/>
      <c r="UYK136" s="105"/>
      <c r="UYL136" s="105"/>
      <c r="UYM136" s="105"/>
      <c r="UYN136" s="105"/>
      <c r="UYO136" s="105"/>
      <c r="UYP136" s="105"/>
      <c r="UYQ136" s="105"/>
      <c r="UYR136" s="105"/>
      <c r="UYS136" s="105"/>
      <c r="UYT136" s="105"/>
      <c r="UYU136" s="105"/>
      <c r="UYV136" s="105"/>
      <c r="UYW136" s="105"/>
      <c r="UYX136" s="105"/>
      <c r="UYY136" s="105"/>
      <c r="UYZ136" s="105"/>
      <c r="UZA136" s="105"/>
      <c r="UZB136" s="105"/>
      <c r="UZC136" s="105"/>
      <c r="UZD136" s="105"/>
      <c r="UZE136" s="105"/>
      <c r="UZF136" s="105"/>
      <c r="UZG136" s="105"/>
      <c r="UZH136" s="105"/>
      <c r="UZI136" s="105"/>
      <c r="UZJ136" s="105"/>
      <c r="UZK136" s="105"/>
      <c r="UZL136" s="105"/>
      <c r="UZM136" s="105"/>
      <c r="UZN136" s="105"/>
      <c r="UZO136" s="105"/>
      <c r="UZP136" s="105"/>
      <c r="UZQ136" s="105"/>
      <c r="UZR136" s="105"/>
      <c r="UZS136" s="105"/>
      <c r="UZT136" s="105"/>
      <c r="UZU136" s="105"/>
      <c r="UZV136" s="105"/>
      <c r="UZW136" s="105"/>
      <c r="UZX136" s="105"/>
      <c r="UZY136" s="105"/>
      <c r="UZZ136" s="105"/>
      <c r="VAA136" s="105"/>
      <c r="VAB136" s="105"/>
      <c r="VAC136" s="105"/>
      <c r="VAD136" s="105"/>
      <c r="VAE136" s="105"/>
      <c r="VAF136" s="105"/>
      <c r="VAG136" s="105"/>
      <c r="VAH136" s="105"/>
      <c r="VAI136" s="105"/>
      <c r="VAJ136" s="105"/>
      <c r="VAK136" s="105"/>
      <c r="VAL136" s="105"/>
      <c r="VAM136" s="105"/>
      <c r="VAN136" s="105"/>
      <c r="VAO136" s="105"/>
      <c r="VAP136" s="105"/>
      <c r="VAQ136" s="105"/>
      <c r="VAR136" s="105"/>
      <c r="VAS136" s="105"/>
      <c r="VAT136" s="105"/>
      <c r="VAU136" s="105"/>
      <c r="VAV136" s="105"/>
      <c r="VAW136" s="105"/>
      <c r="VAX136" s="105"/>
      <c r="VAY136" s="105"/>
      <c r="VAZ136" s="105"/>
      <c r="VBA136" s="105"/>
      <c r="VBB136" s="105"/>
      <c r="VBC136" s="105"/>
      <c r="VBD136" s="105"/>
      <c r="VBE136" s="105"/>
      <c r="VBF136" s="105"/>
      <c r="VBG136" s="105"/>
      <c r="VBH136" s="105"/>
      <c r="VBI136" s="105"/>
      <c r="VBJ136" s="105"/>
      <c r="VBK136" s="105"/>
      <c r="VBL136" s="105"/>
      <c r="VBM136" s="105"/>
      <c r="VBN136" s="105"/>
      <c r="VBO136" s="105"/>
      <c r="VBP136" s="105"/>
      <c r="VBQ136" s="105"/>
      <c r="VBR136" s="105"/>
      <c r="VBS136" s="105"/>
      <c r="VBT136" s="105"/>
      <c r="VBU136" s="105"/>
      <c r="VBV136" s="105"/>
      <c r="VBW136" s="105"/>
      <c r="VBX136" s="105"/>
      <c r="VBY136" s="105"/>
      <c r="VBZ136" s="105"/>
      <c r="VCA136" s="105"/>
      <c r="VCB136" s="105"/>
      <c r="VCC136" s="105"/>
      <c r="VCD136" s="105"/>
      <c r="VCE136" s="105"/>
      <c r="VCF136" s="105"/>
      <c r="VCG136" s="105"/>
      <c r="VCH136" s="105"/>
      <c r="VCI136" s="105"/>
      <c r="VCJ136" s="105"/>
      <c r="VCK136" s="105"/>
      <c r="VCL136" s="105"/>
      <c r="VCM136" s="105"/>
      <c r="VCN136" s="105"/>
      <c r="VCO136" s="105"/>
      <c r="VCP136" s="105"/>
      <c r="VCQ136" s="105"/>
      <c r="VCR136" s="105"/>
      <c r="VCS136" s="105"/>
      <c r="VCT136" s="105"/>
      <c r="VCU136" s="105"/>
      <c r="VCV136" s="105"/>
      <c r="VCW136" s="105"/>
      <c r="VCX136" s="105"/>
      <c r="VCY136" s="105"/>
      <c r="VCZ136" s="105"/>
      <c r="VDA136" s="105"/>
      <c r="VDB136" s="105"/>
      <c r="VDC136" s="105"/>
      <c r="VDD136" s="105"/>
      <c r="VDE136" s="105"/>
      <c r="VDF136" s="105"/>
      <c r="VDG136" s="105"/>
      <c r="VDH136" s="105"/>
      <c r="VDI136" s="105"/>
      <c r="VDJ136" s="105"/>
      <c r="VDK136" s="105"/>
      <c r="VDL136" s="105"/>
      <c r="VDM136" s="105"/>
      <c r="VDN136" s="105"/>
      <c r="VDO136" s="105"/>
      <c r="VDP136" s="105"/>
      <c r="VDQ136" s="105"/>
      <c r="VDR136" s="105"/>
      <c r="VDS136" s="105"/>
      <c r="VDT136" s="105"/>
      <c r="VDU136" s="105"/>
      <c r="VDV136" s="105"/>
      <c r="VDW136" s="105"/>
      <c r="VDX136" s="105"/>
      <c r="VDY136" s="105"/>
      <c r="VDZ136" s="105"/>
      <c r="VEA136" s="105"/>
      <c r="VEB136" s="105"/>
      <c r="VEC136" s="105"/>
      <c r="VED136" s="105"/>
      <c r="VEE136" s="105"/>
      <c r="VEF136" s="105"/>
      <c r="VEG136" s="105"/>
      <c r="VEH136" s="105"/>
      <c r="VEI136" s="105"/>
      <c r="VEJ136" s="105"/>
      <c r="VEK136" s="105"/>
      <c r="VEL136" s="105"/>
      <c r="VEM136" s="105"/>
      <c r="VEN136" s="105"/>
      <c r="VEO136" s="105"/>
      <c r="VEP136" s="105"/>
      <c r="VEQ136" s="105"/>
      <c r="VER136" s="105"/>
      <c r="VES136" s="105"/>
      <c r="VET136" s="105"/>
      <c r="VEU136" s="105"/>
      <c r="VEV136" s="105"/>
      <c r="VEW136" s="105"/>
      <c r="VEX136" s="105"/>
      <c r="VEY136" s="105"/>
      <c r="VEZ136" s="105"/>
      <c r="VFA136" s="105"/>
      <c r="VFB136" s="105"/>
      <c r="VFC136" s="105"/>
      <c r="VFD136" s="105"/>
      <c r="VFE136" s="105"/>
      <c r="VFF136" s="105"/>
      <c r="VFG136" s="105"/>
      <c r="VFH136" s="105"/>
      <c r="VFI136" s="105"/>
      <c r="VFJ136" s="105"/>
      <c r="VFK136" s="105"/>
      <c r="VFL136" s="105"/>
      <c r="VFM136" s="105"/>
      <c r="VFN136" s="105"/>
      <c r="VFO136" s="105"/>
      <c r="VFP136" s="105"/>
      <c r="VFQ136" s="105"/>
      <c r="VFR136" s="105"/>
      <c r="VFS136" s="105"/>
      <c r="VFT136" s="105"/>
      <c r="VFU136" s="105"/>
      <c r="VFV136" s="105"/>
      <c r="VFW136" s="105"/>
      <c r="VFX136" s="105"/>
      <c r="VFY136" s="105"/>
      <c r="VFZ136" s="105"/>
      <c r="VGA136" s="105"/>
      <c r="VGB136" s="105"/>
      <c r="VGC136" s="105"/>
      <c r="VGD136" s="105"/>
      <c r="VGE136" s="105"/>
      <c r="VGF136" s="105"/>
      <c r="VGG136" s="105"/>
      <c r="VGH136" s="105"/>
      <c r="VGI136" s="105"/>
      <c r="VGJ136" s="105"/>
      <c r="VGK136" s="105"/>
      <c r="VGL136" s="105"/>
      <c r="VGM136" s="105"/>
      <c r="VGN136" s="105"/>
      <c r="VGO136" s="105"/>
      <c r="VGP136" s="105"/>
      <c r="VGQ136" s="105"/>
      <c r="VGR136" s="105"/>
      <c r="VGS136" s="105"/>
      <c r="VGT136" s="105"/>
      <c r="VGU136" s="105"/>
      <c r="VGV136" s="105"/>
      <c r="VGW136" s="105"/>
      <c r="VGX136" s="105"/>
      <c r="VGY136" s="105"/>
      <c r="VGZ136" s="105"/>
      <c r="VHA136" s="105"/>
      <c r="VHB136" s="105"/>
      <c r="VHC136" s="105"/>
      <c r="VHD136" s="105"/>
      <c r="VHE136" s="105"/>
      <c r="VHF136" s="105"/>
      <c r="VHG136" s="105"/>
      <c r="VHH136" s="105"/>
      <c r="VHI136" s="105"/>
      <c r="VHJ136" s="105"/>
      <c r="VHK136" s="105"/>
      <c r="VHL136" s="105"/>
      <c r="VHM136" s="105"/>
      <c r="VHN136" s="105"/>
      <c r="VHO136" s="105"/>
      <c r="VHP136" s="105"/>
      <c r="VHQ136" s="105"/>
      <c r="VHR136" s="105"/>
      <c r="VHS136" s="105"/>
      <c r="VHT136" s="105"/>
      <c r="VHU136" s="105"/>
      <c r="VHV136" s="105"/>
      <c r="VHW136" s="105"/>
      <c r="VHX136" s="105"/>
      <c r="VHY136" s="105"/>
      <c r="VHZ136" s="105"/>
      <c r="VIA136" s="105"/>
      <c r="VIB136" s="105"/>
      <c r="VIC136" s="105"/>
      <c r="VID136" s="105"/>
      <c r="VIE136" s="105"/>
      <c r="VIF136" s="105"/>
      <c r="VIG136" s="105"/>
      <c r="VIH136" s="105"/>
      <c r="VII136" s="105"/>
      <c r="VIJ136" s="105"/>
      <c r="VIK136" s="105"/>
      <c r="VIL136" s="105"/>
      <c r="VIM136" s="105"/>
      <c r="VIN136" s="105"/>
      <c r="VIO136" s="105"/>
      <c r="VIP136" s="105"/>
      <c r="VIQ136" s="105"/>
      <c r="VIR136" s="105"/>
      <c r="VIS136" s="105"/>
      <c r="VIT136" s="105"/>
      <c r="VIU136" s="105"/>
      <c r="VIV136" s="105"/>
      <c r="VIW136" s="105"/>
      <c r="VIX136" s="105"/>
      <c r="VIY136" s="105"/>
      <c r="VIZ136" s="105"/>
      <c r="VJA136" s="105"/>
      <c r="VJB136" s="105"/>
      <c r="VJC136" s="105"/>
      <c r="VJD136" s="105"/>
      <c r="VJE136" s="105"/>
      <c r="VJF136" s="105"/>
      <c r="VJG136" s="105"/>
      <c r="VJH136" s="105"/>
      <c r="VJI136" s="105"/>
      <c r="VJJ136" s="105"/>
      <c r="VJK136" s="105"/>
      <c r="VJL136" s="105"/>
      <c r="VJM136" s="105"/>
      <c r="VJN136" s="105"/>
      <c r="VJO136" s="105"/>
      <c r="VJP136" s="105"/>
      <c r="VJQ136" s="105"/>
      <c r="VJR136" s="105"/>
      <c r="VJS136" s="105"/>
      <c r="VJT136" s="105"/>
      <c r="VJU136" s="105"/>
      <c r="VJV136" s="105"/>
      <c r="VJW136" s="105"/>
      <c r="VJX136" s="105"/>
      <c r="VJY136" s="105"/>
      <c r="VJZ136" s="105"/>
      <c r="VKA136" s="105"/>
      <c r="VKB136" s="105"/>
      <c r="VKC136" s="105"/>
      <c r="VKD136" s="105"/>
      <c r="VKE136" s="105"/>
      <c r="VKF136" s="105"/>
      <c r="VKG136" s="105"/>
      <c r="VKH136" s="105"/>
      <c r="VKI136" s="105"/>
      <c r="VKJ136" s="105"/>
      <c r="VKK136" s="105"/>
      <c r="VKL136" s="105"/>
      <c r="VKM136" s="105"/>
      <c r="VKN136" s="105"/>
      <c r="VKO136" s="105"/>
      <c r="VKP136" s="105"/>
      <c r="VKQ136" s="105"/>
      <c r="VKR136" s="105"/>
      <c r="VKS136" s="105"/>
      <c r="VKT136" s="105"/>
      <c r="VKU136" s="105"/>
      <c r="VKV136" s="105"/>
      <c r="VKW136" s="105"/>
      <c r="VKX136" s="105"/>
      <c r="VKY136" s="105"/>
      <c r="VKZ136" s="105"/>
      <c r="VLA136" s="105"/>
      <c r="VLB136" s="105"/>
      <c r="VLC136" s="105"/>
      <c r="VLD136" s="105"/>
      <c r="VLE136" s="105"/>
      <c r="VLF136" s="105"/>
      <c r="VLG136" s="105"/>
      <c r="VLH136" s="105"/>
      <c r="VLI136" s="105"/>
      <c r="VLJ136" s="105"/>
      <c r="VLK136" s="105"/>
      <c r="VLL136" s="105"/>
      <c r="VLM136" s="105"/>
      <c r="VLN136" s="105"/>
      <c r="VLO136" s="105"/>
      <c r="VLP136" s="105"/>
      <c r="VLQ136" s="105"/>
      <c r="VLR136" s="105"/>
      <c r="VLS136" s="105"/>
      <c r="VLT136" s="105"/>
      <c r="VLU136" s="105"/>
      <c r="VLV136" s="105"/>
      <c r="VLW136" s="105"/>
      <c r="VLX136" s="105"/>
      <c r="VLY136" s="105"/>
      <c r="VLZ136" s="105"/>
      <c r="VMA136" s="105"/>
      <c r="VMB136" s="105"/>
      <c r="VMC136" s="105"/>
      <c r="VMD136" s="105"/>
      <c r="VME136" s="105"/>
      <c r="VMF136" s="105"/>
      <c r="VMG136" s="105"/>
      <c r="VMH136" s="105"/>
      <c r="VMI136" s="105"/>
      <c r="VMJ136" s="105"/>
      <c r="VMK136" s="105"/>
      <c r="VML136" s="105"/>
      <c r="VMM136" s="105"/>
      <c r="VMN136" s="105"/>
      <c r="VMO136" s="105"/>
      <c r="VMP136" s="105"/>
      <c r="VMQ136" s="105"/>
      <c r="VMR136" s="105"/>
      <c r="VMS136" s="105"/>
      <c r="VMT136" s="105"/>
      <c r="VMU136" s="105"/>
      <c r="VMV136" s="105"/>
      <c r="VMW136" s="105"/>
      <c r="VMX136" s="105"/>
      <c r="VMY136" s="105"/>
      <c r="VMZ136" s="105"/>
      <c r="VNA136" s="105"/>
      <c r="VNB136" s="105"/>
      <c r="VNC136" s="105"/>
      <c r="VND136" s="105"/>
      <c r="VNE136" s="105"/>
      <c r="VNF136" s="105"/>
      <c r="VNG136" s="105"/>
      <c r="VNH136" s="105"/>
      <c r="VNI136" s="105"/>
      <c r="VNJ136" s="105"/>
      <c r="VNK136" s="105"/>
      <c r="VNL136" s="105"/>
      <c r="VNM136" s="105"/>
      <c r="VNN136" s="105"/>
      <c r="VNO136" s="105"/>
      <c r="VNP136" s="105"/>
      <c r="VNQ136" s="105"/>
      <c r="VNR136" s="105"/>
      <c r="VNS136" s="105"/>
      <c r="VNT136" s="105"/>
      <c r="VNU136" s="105"/>
      <c r="VNV136" s="105"/>
      <c r="VNW136" s="105"/>
      <c r="VNX136" s="105"/>
      <c r="VNY136" s="105"/>
      <c r="VNZ136" s="105"/>
      <c r="VOA136" s="105"/>
      <c r="VOB136" s="105"/>
      <c r="VOC136" s="105"/>
      <c r="VOD136" s="105"/>
      <c r="VOE136" s="105"/>
      <c r="VOF136" s="105"/>
      <c r="VOG136" s="105"/>
      <c r="VOH136" s="105"/>
      <c r="VOI136" s="105"/>
      <c r="VOJ136" s="105"/>
      <c r="VOK136" s="105"/>
      <c r="VOL136" s="105"/>
      <c r="VOM136" s="105"/>
      <c r="VON136" s="105"/>
      <c r="VOO136" s="105"/>
      <c r="VOP136" s="105"/>
      <c r="VOQ136" s="105"/>
      <c r="VOR136" s="105"/>
      <c r="VOS136" s="105"/>
      <c r="VOT136" s="105"/>
      <c r="VOU136" s="105"/>
      <c r="VOV136" s="105"/>
      <c r="VOW136" s="105"/>
      <c r="VOX136" s="105"/>
      <c r="VOY136" s="105"/>
      <c r="VOZ136" s="105"/>
      <c r="VPA136" s="105"/>
      <c r="VPB136" s="105"/>
      <c r="VPC136" s="105"/>
      <c r="VPD136" s="105"/>
      <c r="VPE136" s="105"/>
      <c r="VPF136" s="105"/>
      <c r="VPG136" s="105"/>
      <c r="VPH136" s="105"/>
      <c r="VPI136" s="105"/>
      <c r="VPJ136" s="105"/>
      <c r="VPK136" s="105"/>
      <c r="VPL136" s="105"/>
      <c r="VPM136" s="105"/>
      <c r="VPN136" s="105"/>
      <c r="VPO136" s="105"/>
      <c r="VPP136" s="105"/>
      <c r="VPQ136" s="105"/>
      <c r="VPR136" s="105"/>
      <c r="VPS136" s="105"/>
      <c r="VPT136" s="105"/>
      <c r="VPU136" s="105"/>
      <c r="VPV136" s="105"/>
      <c r="VPW136" s="105"/>
      <c r="VPX136" s="105"/>
      <c r="VPY136" s="105"/>
      <c r="VPZ136" s="105"/>
      <c r="VQA136" s="105"/>
      <c r="VQB136" s="105"/>
      <c r="VQC136" s="105"/>
      <c r="VQD136" s="105"/>
      <c r="VQE136" s="105"/>
      <c r="VQF136" s="105"/>
      <c r="VQG136" s="105"/>
      <c r="VQH136" s="105"/>
      <c r="VQI136" s="105"/>
      <c r="VQJ136" s="105"/>
      <c r="VQK136" s="105"/>
      <c r="VQL136" s="105"/>
      <c r="VQM136" s="105"/>
      <c r="VQN136" s="105"/>
      <c r="VQO136" s="105"/>
      <c r="VQP136" s="105"/>
      <c r="VQQ136" s="105"/>
      <c r="VQR136" s="105"/>
      <c r="VQS136" s="105"/>
      <c r="VQT136" s="105"/>
      <c r="VQU136" s="105"/>
      <c r="VQV136" s="105"/>
      <c r="VQW136" s="105"/>
      <c r="VQX136" s="105"/>
      <c r="VQY136" s="105"/>
      <c r="VQZ136" s="105"/>
      <c r="VRA136" s="105"/>
      <c r="VRB136" s="105"/>
      <c r="VRC136" s="105"/>
      <c r="VRD136" s="105"/>
      <c r="VRE136" s="105"/>
      <c r="VRF136" s="105"/>
      <c r="VRG136" s="105"/>
      <c r="VRH136" s="105"/>
      <c r="VRI136" s="105"/>
      <c r="VRJ136" s="105"/>
      <c r="VRK136" s="105"/>
      <c r="VRL136" s="105"/>
      <c r="VRM136" s="105"/>
      <c r="VRN136" s="105"/>
      <c r="VRO136" s="105"/>
      <c r="VRP136" s="105"/>
      <c r="VRQ136" s="105"/>
      <c r="VRR136" s="105"/>
      <c r="VRS136" s="105"/>
      <c r="VRT136" s="105"/>
      <c r="VRU136" s="105"/>
      <c r="VRV136" s="105"/>
      <c r="VRW136" s="105"/>
      <c r="VRX136" s="105"/>
      <c r="VRY136" s="105"/>
      <c r="VRZ136" s="105"/>
      <c r="VSA136" s="105"/>
      <c r="VSB136" s="105"/>
      <c r="VSC136" s="105"/>
      <c r="VSD136" s="105"/>
      <c r="VSE136" s="105"/>
      <c r="VSF136" s="105"/>
      <c r="VSG136" s="105"/>
      <c r="VSH136" s="105"/>
      <c r="VSI136" s="105"/>
      <c r="VSJ136" s="105"/>
      <c r="VSK136" s="105"/>
      <c r="VSL136" s="105"/>
      <c r="VSM136" s="105"/>
      <c r="VSN136" s="105"/>
      <c r="VSO136" s="105"/>
      <c r="VSP136" s="105"/>
      <c r="VSQ136" s="105"/>
      <c r="VSR136" s="105"/>
      <c r="VSS136" s="105"/>
      <c r="VST136" s="105"/>
      <c r="VSU136" s="105"/>
      <c r="VSV136" s="105"/>
      <c r="VSW136" s="105"/>
      <c r="VSX136" s="105"/>
      <c r="VSY136" s="105"/>
      <c r="VSZ136" s="105"/>
      <c r="VTA136" s="105"/>
      <c r="VTB136" s="105"/>
      <c r="VTC136" s="105"/>
      <c r="VTD136" s="105"/>
      <c r="VTE136" s="105"/>
      <c r="VTF136" s="105"/>
      <c r="VTG136" s="105"/>
      <c r="VTH136" s="105"/>
      <c r="VTI136" s="105"/>
      <c r="VTJ136" s="105"/>
      <c r="VTK136" s="105"/>
      <c r="VTL136" s="105"/>
      <c r="VTM136" s="105"/>
      <c r="VTN136" s="105"/>
      <c r="VTO136" s="105"/>
      <c r="VTP136" s="105"/>
      <c r="VTQ136" s="105"/>
      <c r="VTR136" s="105"/>
      <c r="VTS136" s="105"/>
      <c r="VTT136" s="105"/>
      <c r="VTU136" s="105"/>
      <c r="VTV136" s="105"/>
      <c r="VTW136" s="105"/>
      <c r="VTX136" s="105"/>
      <c r="VTY136" s="105"/>
      <c r="VTZ136" s="105"/>
      <c r="VUA136" s="105"/>
      <c r="VUB136" s="105"/>
      <c r="VUC136" s="105"/>
      <c r="VUD136" s="105"/>
      <c r="VUE136" s="105"/>
      <c r="VUF136" s="105"/>
      <c r="VUG136" s="105"/>
      <c r="VUH136" s="105"/>
      <c r="VUI136" s="105"/>
      <c r="VUJ136" s="105"/>
      <c r="VUK136" s="105"/>
      <c r="VUL136" s="105"/>
      <c r="VUM136" s="105"/>
      <c r="VUN136" s="105"/>
      <c r="VUO136" s="105"/>
      <c r="VUP136" s="105"/>
      <c r="VUQ136" s="105"/>
      <c r="VUR136" s="105"/>
      <c r="VUS136" s="105"/>
      <c r="VUT136" s="105"/>
      <c r="VUU136" s="105"/>
      <c r="VUV136" s="105"/>
      <c r="VUW136" s="105"/>
      <c r="VUX136" s="105"/>
      <c r="VUY136" s="105"/>
      <c r="VUZ136" s="105"/>
      <c r="VVA136" s="105"/>
      <c r="VVB136" s="105"/>
      <c r="VVC136" s="105"/>
      <c r="VVD136" s="105"/>
      <c r="VVE136" s="105"/>
      <c r="VVF136" s="105"/>
      <c r="VVG136" s="105"/>
      <c r="VVH136" s="105"/>
      <c r="VVI136" s="105"/>
      <c r="VVJ136" s="105"/>
      <c r="VVK136" s="105"/>
      <c r="VVL136" s="105"/>
      <c r="VVM136" s="105"/>
      <c r="VVN136" s="105"/>
      <c r="VVO136" s="105"/>
      <c r="VVP136" s="105"/>
      <c r="VVQ136" s="105"/>
      <c r="VVR136" s="105"/>
      <c r="VVS136" s="105"/>
      <c r="VVT136" s="105"/>
      <c r="VVU136" s="105"/>
      <c r="VVV136" s="105"/>
      <c r="VVW136" s="105"/>
      <c r="VVX136" s="105"/>
      <c r="VVY136" s="105"/>
      <c r="VVZ136" s="105"/>
      <c r="VWA136" s="105"/>
      <c r="VWB136" s="105"/>
      <c r="VWC136" s="105"/>
      <c r="VWD136" s="105"/>
      <c r="VWE136" s="105"/>
      <c r="VWF136" s="105"/>
      <c r="VWG136" s="105"/>
      <c r="VWH136" s="105"/>
      <c r="VWI136" s="105"/>
      <c r="VWJ136" s="105"/>
      <c r="VWK136" s="105"/>
      <c r="VWL136" s="105"/>
      <c r="VWM136" s="105"/>
      <c r="VWN136" s="105"/>
      <c r="VWO136" s="105"/>
      <c r="VWP136" s="105"/>
      <c r="VWQ136" s="105"/>
      <c r="VWR136" s="105"/>
      <c r="VWS136" s="105"/>
      <c r="VWT136" s="105"/>
      <c r="VWU136" s="105"/>
      <c r="VWV136" s="105"/>
      <c r="VWW136" s="105"/>
      <c r="VWX136" s="105"/>
      <c r="VWY136" s="105"/>
      <c r="VWZ136" s="105"/>
      <c r="VXA136" s="105"/>
      <c r="VXB136" s="105"/>
      <c r="VXC136" s="105"/>
      <c r="VXD136" s="105"/>
      <c r="VXE136" s="105"/>
      <c r="VXF136" s="105"/>
      <c r="VXG136" s="105"/>
      <c r="VXH136" s="105"/>
      <c r="VXI136" s="105"/>
      <c r="VXJ136" s="105"/>
      <c r="VXK136" s="105"/>
      <c r="VXL136" s="105"/>
      <c r="VXM136" s="105"/>
      <c r="VXN136" s="105"/>
      <c r="VXO136" s="105"/>
      <c r="VXP136" s="105"/>
      <c r="VXQ136" s="105"/>
      <c r="VXR136" s="105"/>
      <c r="VXS136" s="105"/>
      <c r="VXT136" s="105"/>
      <c r="VXU136" s="105"/>
      <c r="VXV136" s="105"/>
      <c r="VXW136" s="105"/>
      <c r="VXX136" s="105"/>
      <c r="VXY136" s="105"/>
      <c r="VXZ136" s="105"/>
      <c r="VYA136" s="105"/>
      <c r="VYB136" s="105"/>
      <c r="VYC136" s="105"/>
      <c r="VYD136" s="105"/>
      <c r="VYE136" s="105"/>
      <c r="VYF136" s="105"/>
      <c r="VYG136" s="105"/>
      <c r="VYH136" s="105"/>
      <c r="VYI136" s="105"/>
      <c r="VYJ136" s="105"/>
      <c r="VYK136" s="105"/>
      <c r="VYL136" s="105"/>
      <c r="VYM136" s="105"/>
      <c r="VYN136" s="105"/>
      <c r="VYO136" s="105"/>
      <c r="VYP136" s="105"/>
      <c r="VYQ136" s="105"/>
      <c r="VYR136" s="105"/>
      <c r="VYS136" s="105"/>
      <c r="VYT136" s="105"/>
      <c r="VYU136" s="105"/>
      <c r="VYV136" s="105"/>
      <c r="VYW136" s="105"/>
      <c r="VYX136" s="105"/>
      <c r="VYY136" s="105"/>
      <c r="VYZ136" s="105"/>
      <c r="VZA136" s="105"/>
      <c r="VZB136" s="105"/>
      <c r="VZC136" s="105"/>
      <c r="VZD136" s="105"/>
      <c r="VZE136" s="105"/>
      <c r="VZF136" s="105"/>
      <c r="VZG136" s="105"/>
      <c r="VZH136" s="105"/>
      <c r="VZI136" s="105"/>
      <c r="VZJ136" s="105"/>
      <c r="VZK136" s="105"/>
      <c r="VZL136" s="105"/>
      <c r="VZM136" s="105"/>
      <c r="VZN136" s="105"/>
      <c r="VZO136" s="105"/>
      <c r="VZP136" s="105"/>
      <c r="VZQ136" s="105"/>
      <c r="VZR136" s="105"/>
      <c r="VZS136" s="105"/>
      <c r="VZT136" s="105"/>
      <c r="VZU136" s="105"/>
      <c r="VZV136" s="105"/>
      <c r="VZW136" s="105"/>
      <c r="VZX136" s="105"/>
      <c r="VZY136" s="105"/>
      <c r="VZZ136" s="105"/>
      <c r="WAA136" s="105"/>
      <c r="WAB136" s="105"/>
      <c r="WAC136" s="105"/>
      <c r="WAD136" s="105"/>
      <c r="WAE136" s="105"/>
      <c r="WAF136" s="105"/>
      <c r="WAG136" s="105"/>
      <c r="WAH136" s="105"/>
      <c r="WAI136" s="105"/>
      <c r="WAJ136" s="105"/>
      <c r="WAK136" s="105"/>
      <c r="WAL136" s="105"/>
      <c r="WAM136" s="105"/>
      <c r="WAN136" s="105"/>
      <c r="WAO136" s="105"/>
      <c r="WAP136" s="105"/>
      <c r="WAQ136" s="105"/>
      <c r="WAR136" s="105"/>
      <c r="WAS136" s="105"/>
      <c r="WAT136" s="105"/>
      <c r="WAU136" s="105"/>
      <c r="WAV136" s="105"/>
      <c r="WAW136" s="105"/>
      <c r="WAX136" s="105"/>
      <c r="WAY136" s="105"/>
      <c r="WAZ136" s="105"/>
      <c r="WBA136" s="105"/>
      <c r="WBB136" s="105"/>
      <c r="WBC136" s="105"/>
      <c r="WBD136" s="105"/>
      <c r="WBE136" s="105"/>
      <c r="WBF136" s="105"/>
      <c r="WBG136" s="105"/>
      <c r="WBH136" s="105"/>
      <c r="WBI136" s="105"/>
      <c r="WBJ136" s="105"/>
      <c r="WBK136" s="105"/>
      <c r="WBL136" s="105"/>
      <c r="WBM136" s="105"/>
      <c r="WBN136" s="105"/>
      <c r="WBO136" s="105"/>
      <c r="WBP136" s="105"/>
      <c r="WBQ136" s="105"/>
      <c r="WBR136" s="105"/>
      <c r="WBS136" s="105"/>
      <c r="WBT136" s="105"/>
      <c r="WBU136" s="105"/>
      <c r="WBV136" s="105"/>
      <c r="WBW136" s="105"/>
      <c r="WBX136" s="105"/>
      <c r="WBY136" s="105"/>
      <c r="WBZ136" s="105"/>
      <c r="WCA136" s="105"/>
      <c r="WCB136" s="105"/>
      <c r="WCC136" s="105"/>
      <c r="WCD136" s="105"/>
      <c r="WCE136" s="105"/>
      <c r="WCF136" s="105"/>
      <c r="WCG136" s="105"/>
      <c r="WCH136" s="105"/>
      <c r="WCI136" s="105"/>
      <c r="WCJ136" s="105"/>
      <c r="WCK136" s="105"/>
      <c r="WCL136" s="105"/>
      <c r="WCM136" s="105"/>
      <c r="WCN136" s="105"/>
      <c r="WCO136" s="105"/>
      <c r="WCP136" s="105"/>
      <c r="WCQ136" s="105"/>
      <c r="WCR136" s="105"/>
      <c r="WCS136" s="105"/>
      <c r="WCT136" s="105"/>
      <c r="WCU136" s="105"/>
      <c r="WCV136" s="105"/>
      <c r="WCW136" s="105"/>
      <c r="WCX136" s="105"/>
      <c r="WCY136" s="105"/>
      <c r="WCZ136" s="105"/>
      <c r="WDA136" s="105"/>
      <c r="WDB136" s="105"/>
      <c r="WDC136" s="105"/>
      <c r="WDD136" s="105"/>
      <c r="WDE136" s="105"/>
      <c r="WDF136" s="105"/>
      <c r="WDG136" s="105"/>
      <c r="WDH136" s="105"/>
      <c r="WDI136" s="105"/>
      <c r="WDJ136" s="105"/>
      <c r="WDK136" s="105"/>
      <c r="WDL136" s="105"/>
      <c r="WDM136" s="105"/>
      <c r="WDN136" s="105"/>
      <c r="WDO136" s="105"/>
      <c r="WDP136" s="105"/>
      <c r="WDQ136" s="105"/>
      <c r="WDR136" s="105"/>
      <c r="WDS136" s="105"/>
      <c r="WDT136" s="105"/>
      <c r="WDU136" s="105"/>
      <c r="WDV136" s="105"/>
      <c r="WDW136" s="105"/>
      <c r="WDX136" s="105"/>
      <c r="WDY136" s="105"/>
      <c r="WDZ136" s="105"/>
      <c r="WEA136" s="105"/>
      <c r="WEB136" s="105"/>
      <c r="WEC136" s="105"/>
      <c r="WED136" s="105"/>
      <c r="WEE136" s="105"/>
      <c r="WEF136" s="105"/>
      <c r="WEG136" s="105"/>
      <c r="WEH136" s="105"/>
      <c r="WEI136" s="105"/>
      <c r="WEJ136" s="105"/>
      <c r="WEK136" s="105"/>
      <c r="WEL136" s="105"/>
      <c r="WEM136" s="105"/>
      <c r="WEN136" s="105"/>
      <c r="WEO136" s="105"/>
      <c r="WEP136" s="105"/>
      <c r="WEQ136" s="105"/>
      <c r="WER136" s="105"/>
      <c r="WES136" s="105"/>
      <c r="WET136" s="105"/>
      <c r="WEU136" s="105"/>
      <c r="WEV136" s="105"/>
      <c r="WEW136" s="105"/>
      <c r="WEX136" s="105"/>
      <c r="WEY136" s="105"/>
      <c r="WEZ136" s="105"/>
      <c r="WFA136" s="105"/>
      <c r="WFB136" s="105"/>
      <c r="WFC136" s="105"/>
      <c r="WFD136" s="105"/>
      <c r="WFE136" s="105"/>
      <c r="WFF136" s="105"/>
      <c r="WFG136" s="105"/>
      <c r="WFH136" s="105"/>
      <c r="WFI136" s="105"/>
      <c r="WFJ136" s="105"/>
      <c r="WFK136" s="105"/>
      <c r="WFL136" s="105"/>
      <c r="WFM136" s="105"/>
      <c r="WFN136" s="105"/>
      <c r="WFO136" s="105"/>
      <c r="WFP136" s="105"/>
      <c r="WFQ136" s="105"/>
      <c r="WFR136" s="105"/>
      <c r="WFS136" s="105"/>
      <c r="WFT136" s="105"/>
      <c r="WFU136" s="105"/>
      <c r="WFV136" s="105"/>
      <c r="WFW136" s="105"/>
      <c r="WFX136" s="105"/>
      <c r="WFY136" s="105"/>
      <c r="WFZ136" s="105"/>
      <c r="WGA136" s="105"/>
      <c r="WGB136" s="105"/>
      <c r="WGC136" s="105"/>
      <c r="WGD136" s="105"/>
      <c r="WGE136" s="105"/>
      <c r="WGF136" s="105"/>
      <c r="WGG136" s="105"/>
      <c r="WGH136" s="105"/>
      <c r="WGI136" s="105"/>
      <c r="WGJ136" s="105"/>
      <c r="WGK136" s="105"/>
      <c r="WGL136" s="105"/>
      <c r="WGM136" s="105"/>
      <c r="WGN136" s="105"/>
      <c r="WGO136" s="105"/>
      <c r="WGP136" s="105"/>
      <c r="WGQ136" s="105"/>
      <c r="WGR136" s="105"/>
      <c r="WGS136" s="105"/>
      <c r="WGT136" s="105"/>
      <c r="WGU136" s="105"/>
      <c r="WGV136" s="105"/>
      <c r="WGW136" s="105"/>
      <c r="WGX136" s="105"/>
      <c r="WGY136" s="105"/>
      <c r="WGZ136" s="105"/>
      <c r="WHA136" s="105"/>
      <c r="WHB136" s="105"/>
      <c r="WHC136" s="105"/>
      <c r="WHD136" s="105"/>
      <c r="WHE136" s="105"/>
      <c r="WHF136" s="105"/>
      <c r="WHG136" s="105"/>
      <c r="WHH136" s="105"/>
      <c r="WHI136" s="105"/>
      <c r="WHJ136" s="105"/>
      <c r="WHK136" s="105"/>
      <c r="WHL136" s="105"/>
      <c r="WHM136" s="105"/>
      <c r="WHN136" s="105"/>
      <c r="WHO136" s="105"/>
      <c r="WHP136" s="105"/>
      <c r="WHQ136" s="105"/>
      <c r="WHR136" s="105"/>
      <c r="WHS136" s="105"/>
      <c r="WHT136" s="105"/>
      <c r="WHU136" s="105"/>
      <c r="WHV136" s="105"/>
      <c r="WHW136" s="105"/>
      <c r="WHX136" s="105"/>
      <c r="WHY136" s="105"/>
      <c r="WHZ136" s="105"/>
      <c r="WIA136" s="105"/>
      <c r="WIB136" s="105"/>
      <c r="WIC136" s="105"/>
      <c r="WID136" s="105"/>
      <c r="WIE136" s="105"/>
      <c r="WIF136" s="105"/>
      <c r="WIG136" s="105"/>
      <c r="WIH136" s="105"/>
      <c r="WII136" s="105"/>
      <c r="WIJ136" s="105"/>
      <c r="WIK136" s="105"/>
      <c r="WIL136" s="105"/>
      <c r="WIM136" s="105"/>
      <c r="WIN136" s="105"/>
      <c r="WIO136" s="105"/>
      <c r="WIP136" s="105"/>
      <c r="WIQ136" s="105"/>
      <c r="WIR136" s="105"/>
      <c r="WIS136" s="105"/>
      <c r="WIT136" s="105"/>
      <c r="WIU136" s="105"/>
      <c r="WIV136" s="105"/>
      <c r="WIW136" s="105"/>
      <c r="WIX136" s="105"/>
      <c r="WIY136" s="105"/>
      <c r="WIZ136" s="105"/>
      <c r="WJA136" s="105"/>
      <c r="WJB136" s="105"/>
      <c r="WJC136" s="105"/>
      <c r="WJD136" s="105"/>
      <c r="WJE136" s="105"/>
      <c r="WJF136" s="105"/>
      <c r="WJG136" s="105"/>
      <c r="WJH136" s="105"/>
      <c r="WJI136" s="105"/>
      <c r="WJJ136" s="105"/>
      <c r="WJK136" s="105"/>
      <c r="WJL136" s="105"/>
      <c r="WJM136" s="105"/>
      <c r="WJN136" s="105"/>
      <c r="WJO136" s="105"/>
      <c r="WJP136" s="105"/>
      <c r="WJQ136" s="105"/>
      <c r="WJR136" s="105"/>
      <c r="WJS136" s="105"/>
      <c r="WJT136" s="105"/>
      <c r="WJU136" s="105"/>
      <c r="WJV136" s="105"/>
      <c r="WJW136" s="105"/>
      <c r="WJX136" s="105"/>
      <c r="WJY136" s="105"/>
      <c r="WJZ136" s="105"/>
      <c r="WKA136" s="105"/>
      <c r="WKB136" s="105"/>
      <c r="WKC136" s="105"/>
      <c r="WKD136" s="105"/>
      <c r="WKE136" s="105"/>
      <c r="WKF136" s="105"/>
      <c r="WKG136" s="105"/>
      <c r="WKH136" s="105"/>
      <c r="WKI136" s="105"/>
      <c r="WKJ136" s="105"/>
      <c r="WKK136" s="105"/>
      <c r="WKL136" s="105"/>
      <c r="WKM136" s="105"/>
      <c r="WKN136" s="105"/>
      <c r="WKO136" s="105"/>
      <c r="WKP136" s="105"/>
      <c r="WKQ136" s="105"/>
      <c r="WKR136" s="105"/>
      <c r="WKS136" s="105"/>
      <c r="WKT136" s="105"/>
      <c r="WKU136" s="105"/>
      <c r="WKV136" s="105"/>
      <c r="WKW136" s="105"/>
      <c r="WKX136" s="105"/>
      <c r="WKY136" s="105"/>
      <c r="WKZ136" s="105"/>
      <c r="WLA136" s="105"/>
      <c r="WLB136" s="105"/>
      <c r="WLC136" s="105"/>
      <c r="WLD136" s="105"/>
      <c r="WLE136" s="105"/>
      <c r="WLF136" s="105"/>
      <c r="WLG136" s="105"/>
      <c r="WLH136" s="105"/>
      <c r="WLI136" s="105"/>
      <c r="WLJ136" s="105"/>
      <c r="WLK136" s="105"/>
      <c r="WLL136" s="105"/>
      <c r="WLM136" s="105"/>
      <c r="WLN136" s="105"/>
      <c r="WLO136" s="105"/>
      <c r="WLP136" s="105"/>
      <c r="WLQ136" s="105"/>
      <c r="WLR136" s="105"/>
      <c r="WLS136" s="105"/>
      <c r="WLT136" s="105"/>
      <c r="WLU136" s="105"/>
      <c r="WLV136" s="105"/>
      <c r="WLW136" s="105"/>
      <c r="WLX136" s="105"/>
      <c r="WLY136" s="105"/>
      <c r="WLZ136" s="105"/>
      <c r="WMA136" s="105"/>
      <c r="WMB136" s="105"/>
      <c r="WMC136" s="105"/>
      <c r="WMD136" s="105"/>
      <c r="WME136" s="105"/>
      <c r="WMF136" s="105"/>
      <c r="WMG136" s="105"/>
      <c r="WMH136" s="105"/>
      <c r="WMI136" s="105"/>
      <c r="WMJ136" s="105"/>
      <c r="WMK136" s="105"/>
      <c r="WML136" s="105"/>
      <c r="WMM136" s="105"/>
      <c r="WMN136" s="105"/>
      <c r="WMO136" s="105"/>
      <c r="WMP136" s="105"/>
      <c r="WMQ136" s="105"/>
      <c r="WMR136" s="105"/>
      <c r="WMS136" s="105"/>
      <c r="WMT136" s="105"/>
      <c r="WMU136" s="105"/>
      <c r="WMV136" s="105"/>
      <c r="WMW136" s="105"/>
      <c r="WMX136" s="105"/>
      <c r="WMY136" s="105"/>
      <c r="WMZ136" s="105"/>
      <c r="WNA136" s="105"/>
      <c r="WNB136" s="105"/>
      <c r="WNC136" s="105"/>
      <c r="WND136" s="105"/>
      <c r="WNE136" s="105"/>
      <c r="WNF136" s="105"/>
      <c r="WNG136" s="105"/>
      <c r="WNH136" s="105"/>
      <c r="WNI136" s="105"/>
      <c r="WNJ136" s="105"/>
      <c r="WNK136" s="105"/>
      <c r="WNL136" s="105"/>
      <c r="WNM136" s="105"/>
      <c r="WNN136" s="105"/>
      <c r="WNO136" s="105"/>
      <c r="WNP136" s="105"/>
      <c r="WNQ136" s="105"/>
      <c r="WNR136" s="105"/>
      <c r="WNS136" s="105"/>
      <c r="WNT136" s="105"/>
      <c r="WNU136" s="105"/>
      <c r="WNV136" s="105"/>
      <c r="WNW136" s="105"/>
      <c r="WNX136" s="105"/>
      <c r="WNY136" s="105"/>
      <c r="WNZ136" s="105"/>
      <c r="WOA136" s="105"/>
      <c r="WOB136" s="105"/>
      <c r="WOC136" s="105"/>
      <c r="WOD136" s="105"/>
      <c r="WOE136" s="105"/>
      <c r="WOF136" s="105"/>
      <c r="WOG136" s="105"/>
      <c r="WOH136" s="105"/>
      <c r="WOI136" s="105"/>
      <c r="WOJ136" s="105"/>
      <c r="WOK136" s="105"/>
      <c r="WOL136" s="105"/>
      <c r="WOM136" s="105"/>
      <c r="WON136" s="105"/>
      <c r="WOO136" s="105"/>
      <c r="WOP136" s="105"/>
      <c r="WOQ136" s="105"/>
      <c r="WOR136" s="105"/>
      <c r="WOS136" s="105"/>
      <c r="WOT136" s="105"/>
      <c r="WOU136" s="105"/>
      <c r="WOV136" s="105"/>
      <c r="WOW136" s="105"/>
      <c r="WOX136" s="105"/>
      <c r="WOY136" s="105"/>
      <c r="WOZ136" s="105"/>
      <c r="WPA136" s="105"/>
      <c r="WPB136" s="105"/>
      <c r="WPC136" s="105"/>
      <c r="WPD136" s="105"/>
      <c r="WPE136" s="105"/>
      <c r="WPF136" s="105"/>
      <c r="WPG136" s="105"/>
      <c r="WPH136" s="105"/>
      <c r="WPI136" s="105"/>
      <c r="WPJ136" s="105"/>
      <c r="WPK136" s="105"/>
      <c r="WPL136" s="105"/>
      <c r="WPM136" s="105"/>
      <c r="WPN136" s="105"/>
      <c r="WPO136" s="105"/>
      <c r="WPP136" s="105"/>
      <c r="WPQ136" s="105"/>
      <c r="WPR136" s="105"/>
      <c r="WPS136" s="105"/>
      <c r="WPT136" s="105"/>
      <c r="WPU136" s="105"/>
      <c r="WPV136" s="105"/>
      <c r="WPW136" s="105"/>
      <c r="WPX136" s="105"/>
      <c r="WPY136" s="105"/>
      <c r="WPZ136" s="105"/>
      <c r="WQA136" s="105"/>
      <c r="WQB136" s="105"/>
      <c r="WQC136" s="105"/>
      <c r="WQD136" s="105"/>
      <c r="WQE136" s="105"/>
      <c r="WQF136" s="105"/>
      <c r="WQG136" s="105"/>
      <c r="WQH136" s="105"/>
      <c r="WQI136" s="105"/>
      <c r="WQJ136" s="105"/>
      <c r="WQK136" s="105"/>
      <c r="WQL136" s="105"/>
      <c r="WQM136" s="105"/>
      <c r="WQN136" s="105"/>
      <c r="WQO136" s="105"/>
      <c r="WQP136" s="105"/>
      <c r="WQQ136" s="105"/>
      <c r="WQR136" s="105"/>
      <c r="WQS136" s="105"/>
      <c r="WQT136" s="105"/>
      <c r="WQU136" s="105"/>
      <c r="WQV136" s="105"/>
      <c r="WQW136" s="105"/>
      <c r="WQX136" s="105"/>
      <c r="WQY136" s="105"/>
      <c r="WQZ136" s="105"/>
      <c r="WRA136" s="105"/>
      <c r="WRB136" s="105"/>
      <c r="WRC136" s="105"/>
      <c r="WRD136" s="105"/>
      <c r="WRE136" s="105"/>
      <c r="WRF136" s="105"/>
      <c r="WRG136" s="105"/>
      <c r="WRH136" s="105"/>
      <c r="WRI136" s="105"/>
      <c r="WRJ136" s="105"/>
      <c r="WRK136" s="105"/>
      <c r="WRL136" s="105"/>
      <c r="WRM136" s="105"/>
      <c r="WRN136" s="105"/>
      <c r="WRO136" s="105"/>
      <c r="WRP136" s="105"/>
      <c r="WRQ136" s="105"/>
      <c r="WRR136" s="105"/>
      <c r="WRS136" s="105"/>
      <c r="WRT136" s="105"/>
      <c r="WRU136" s="105"/>
      <c r="WRV136" s="105"/>
      <c r="WRW136" s="105"/>
      <c r="WRX136" s="105"/>
      <c r="WRY136" s="105"/>
      <c r="WRZ136" s="105"/>
      <c r="WSA136" s="105"/>
      <c r="WSB136" s="105"/>
      <c r="WSC136" s="105"/>
      <c r="WSD136" s="105"/>
      <c r="WSE136" s="105"/>
      <c r="WSF136" s="105"/>
      <c r="WSG136" s="105"/>
      <c r="WSH136" s="105"/>
      <c r="WSI136" s="105"/>
      <c r="WSJ136" s="105"/>
      <c r="WSK136" s="105"/>
      <c r="WSL136" s="105"/>
      <c r="WSM136" s="105"/>
      <c r="WSN136" s="105"/>
      <c r="WSO136" s="105"/>
      <c r="WSP136" s="105"/>
      <c r="WSQ136" s="105"/>
      <c r="WSR136" s="105"/>
      <c r="WSS136" s="105"/>
      <c r="WST136" s="105"/>
      <c r="WSU136" s="105"/>
      <c r="WSV136" s="105"/>
      <c r="WSW136" s="105"/>
      <c r="WSX136" s="105"/>
      <c r="WSY136" s="105"/>
      <c r="WSZ136" s="105"/>
      <c r="WTA136" s="105"/>
      <c r="WTB136" s="105"/>
      <c r="WTC136" s="105"/>
      <c r="WTD136" s="105"/>
      <c r="WTE136" s="105"/>
      <c r="WTF136" s="105"/>
      <c r="WTG136" s="105"/>
      <c r="WTH136" s="105"/>
      <c r="WTI136" s="105"/>
      <c r="WTJ136" s="105"/>
      <c r="WTK136" s="105"/>
      <c r="WTL136" s="105"/>
      <c r="WTM136" s="105"/>
      <c r="WTN136" s="105"/>
      <c r="WTO136" s="105"/>
      <c r="WTP136" s="105"/>
      <c r="WTQ136" s="105"/>
      <c r="WTR136" s="105"/>
      <c r="WTS136" s="105"/>
      <c r="WTT136" s="105"/>
      <c r="WTU136" s="105"/>
      <c r="WTV136" s="105"/>
      <c r="WTW136" s="105"/>
      <c r="WTX136" s="105"/>
      <c r="WTY136" s="105"/>
      <c r="WTZ136" s="105"/>
      <c r="WUA136" s="105"/>
      <c r="WUB136" s="105"/>
      <c r="WUC136" s="105"/>
      <c r="WUD136" s="105"/>
      <c r="WUE136" s="105"/>
      <c r="WUF136" s="105"/>
      <c r="WUG136" s="105"/>
      <c r="WUH136" s="105"/>
      <c r="WUI136" s="105"/>
      <c r="WUJ136" s="105"/>
      <c r="WUK136" s="105"/>
      <c r="WUL136" s="105"/>
      <c r="WUM136" s="105"/>
      <c r="WUN136" s="105"/>
      <c r="WUO136" s="105"/>
      <c r="WUP136" s="105"/>
      <c r="WUQ136" s="105"/>
      <c r="WUR136" s="105"/>
      <c r="WUS136" s="105"/>
      <c r="WUT136" s="105"/>
      <c r="WUU136" s="105"/>
      <c r="WUV136" s="105"/>
      <c r="WUW136" s="105"/>
      <c r="WUX136" s="105"/>
      <c r="WUY136" s="105"/>
      <c r="WUZ136" s="105"/>
      <c r="WVA136" s="105"/>
      <c r="WVB136" s="105"/>
      <c r="WVC136" s="105"/>
      <c r="WVD136" s="105"/>
      <c r="WVE136" s="105"/>
      <c r="WVF136" s="105"/>
      <c r="WVG136" s="105"/>
      <c r="WVH136" s="105"/>
      <c r="WVI136" s="105"/>
      <c r="WVJ136" s="105"/>
      <c r="WVK136" s="105"/>
      <c r="WVL136" s="105"/>
      <c r="WVM136" s="105"/>
      <c r="WVN136" s="105"/>
      <c r="WVO136" s="105"/>
      <c r="WVP136" s="105"/>
      <c r="WVQ136" s="105"/>
      <c r="WVR136" s="105"/>
      <c r="WVS136" s="105"/>
      <c r="WVT136" s="105"/>
      <c r="WVU136" s="105"/>
      <c r="WVV136" s="105"/>
      <c r="WVW136" s="105"/>
      <c r="WVX136" s="105"/>
      <c r="WVY136" s="105"/>
      <c r="WVZ136" s="105"/>
      <c r="WWA136" s="105"/>
      <c r="WWB136" s="105"/>
      <c r="WWC136" s="105"/>
      <c r="WWD136" s="105"/>
      <c r="WWE136" s="105"/>
      <c r="WWF136" s="105"/>
      <c r="WWG136" s="105"/>
      <c r="WWH136" s="105"/>
      <c r="WWI136" s="105"/>
      <c r="WWJ136" s="105"/>
      <c r="WWK136" s="105"/>
      <c r="WWL136" s="105"/>
      <c r="WWM136" s="105"/>
      <c r="WWN136" s="105"/>
      <c r="WWO136" s="105"/>
      <c r="WWP136" s="105"/>
      <c r="WWQ136" s="105"/>
      <c r="WWR136" s="105"/>
      <c r="WWS136" s="105"/>
      <c r="WWT136" s="105"/>
      <c r="WWU136" s="105"/>
      <c r="WWV136" s="105"/>
      <c r="WWW136" s="105"/>
      <c r="WWX136" s="105"/>
      <c r="WWY136" s="105"/>
      <c r="WWZ136" s="105"/>
      <c r="WXA136" s="105"/>
      <c r="WXB136" s="105"/>
      <c r="WXC136" s="105"/>
      <c r="WXD136" s="105"/>
      <c r="WXE136" s="105"/>
      <c r="WXF136" s="105"/>
      <c r="WXG136" s="105"/>
      <c r="WXH136" s="105"/>
      <c r="WXI136" s="105"/>
      <c r="WXJ136" s="105"/>
      <c r="WXK136" s="105"/>
      <c r="WXL136" s="105"/>
      <c r="WXM136" s="105"/>
      <c r="WXN136" s="105"/>
      <c r="WXO136" s="105"/>
      <c r="WXP136" s="105"/>
      <c r="WXQ136" s="105"/>
      <c r="WXR136" s="105"/>
      <c r="WXS136" s="105"/>
      <c r="WXT136" s="105"/>
      <c r="WXU136" s="105"/>
      <c r="WXV136" s="105"/>
      <c r="WXW136" s="105"/>
      <c r="WXX136" s="105"/>
      <c r="WXY136" s="105"/>
      <c r="WXZ136" s="105"/>
      <c r="WYA136" s="105"/>
      <c r="WYB136" s="105"/>
      <c r="WYC136" s="105"/>
      <c r="WYD136" s="105"/>
      <c r="WYE136" s="105"/>
      <c r="WYF136" s="105"/>
      <c r="WYG136" s="105"/>
      <c r="WYH136" s="105"/>
      <c r="WYI136" s="105"/>
      <c r="WYJ136" s="105"/>
      <c r="WYK136" s="105"/>
      <c r="WYL136" s="105"/>
      <c r="WYM136" s="105"/>
      <c r="WYN136" s="105"/>
      <c r="WYO136" s="105"/>
      <c r="WYP136" s="105"/>
      <c r="WYQ136" s="105"/>
      <c r="WYR136" s="105"/>
      <c r="WYS136" s="105"/>
      <c r="WYT136" s="105"/>
      <c r="WYU136" s="105"/>
      <c r="WYV136" s="105"/>
      <c r="WYW136" s="105"/>
      <c r="WYX136" s="105"/>
      <c r="WYY136" s="105"/>
      <c r="WYZ136" s="105"/>
      <c r="WZA136" s="105"/>
      <c r="WZB136" s="105"/>
      <c r="WZC136" s="105"/>
      <c r="WZD136" s="105"/>
      <c r="WZE136" s="105"/>
      <c r="WZF136" s="105"/>
      <c r="WZG136" s="105"/>
      <c r="WZH136" s="105"/>
      <c r="WZI136" s="105"/>
      <c r="WZJ136" s="105"/>
      <c r="WZK136" s="105"/>
      <c r="WZL136" s="105"/>
      <c r="WZM136" s="105"/>
      <c r="WZN136" s="105"/>
      <c r="WZO136" s="105"/>
      <c r="WZP136" s="105"/>
      <c r="WZQ136" s="105"/>
      <c r="WZR136" s="105"/>
      <c r="WZS136" s="105"/>
      <c r="WZT136" s="105"/>
      <c r="WZU136" s="105"/>
      <c r="WZV136" s="105"/>
      <c r="WZW136" s="105"/>
      <c r="WZX136" s="105"/>
      <c r="WZY136" s="105"/>
      <c r="WZZ136" s="105"/>
      <c r="XAA136" s="105"/>
      <c r="XAB136" s="105"/>
      <c r="XAC136" s="105"/>
      <c r="XAD136" s="105"/>
      <c r="XAE136" s="105"/>
      <c r="XAF136" s="105"/>
      <c r="XAG136" s="105"/>
      <c r="XAH136" s="105"/>
      <c r="XAI136" s="105"/>
      <c r="XAJ136" s="105"/>
      <c r="XAK136" s="105"/>
      <c r="XAL136" s="105"/>
      <c r="XAM136" s="105"/>
      <c r="XAN136" s="105"/>
      <c r="XAO136" s="105"/>
      <c r="XAP136" s="105"/>
      <c r="XAQ136" s="105"/>
      <c r="XAR136" s="105"/>
      <c r="XAS136" s="105"/>
      <c r="XAT136" s="105"/>
      <c r="XAU136" s="105"/>
      <c r="XAV136" s="105"/>
      <c r="XAW136" s="105"/>
      <c r="XAX136" s="105"/>
      <c r="XAY136" s="105"/>
      <c r="XAZ136" s="105"/>
      <c r="XBA136" s="105"/>
      <c r="XBB136" s="105"/>
      <c r="XBC136" s="105"/>
      <c r="XBD136" s="105"/>
      <c r="XBE136" s="105"/>
      <c r="XBF136" s="105"/>
      <c r="XBG136" s="105"/>
      <c r="XBH136" s="105"/>
      <c r="XBI136" s="105"/>
      <c r="XBJ136" s="105"/>
      <c r="XBK136" s="105"/>
      <c r="XBL136" s="105"/>
      <c r="XBM136" s="105"/>
      <c r="XBN136" s="105"/>
      <c r="XBO136" s="105"/>
      <c r="XBP136" s="105"/>
      <c r="XBQ136" s="105"/>
      <c r="XBR136" s="105"/>
      <c r="XBS136" s="105"/>
      <c r="XBT136" s="105"/>
      <c r="XBU136" s="105"/>
      <c r="XBV136" s="105"/>
      <c r="XBW136" s="105"/>
      <c r="XBX136" s="105"/>
      <c r="XBY136" s="105"/>
      <c r="XBZ136" s="105"/>
      <c r="XCA136" s="105"/>
      <c r="XCB136" s="105"/>
      <c r="XCC136" s="105"/>
      <c r="XCD136" s="105"/>
      <c r="XCE136" s="105"/>
      <c r="XCF136" s="105"/>
      <c r="XCG136" s="105"/>
      <c r="XCH136" s="105"/>
      <c r="XCI136" s="105"/>
      <c r="XCJ136" s="105"/>
      <c r="XCK136" s="105"/>
      <c r="XCL136" s="105"/>
      <c r="XCM136" s="105"/>
      <c r="XCN136" s="105"/>
      <c r="XCO136" s="105"/>
      <c r="XCP136" s="105"/>
      <c r="XCQ136" s="105"/>
      <c r="XCR136" s="105"/>
      <c r="XCS136" s="105"/>
      <c r="XCT136" s="105"/>
      <c r="XCU136" s="105"/>
      <c r="XCV136" s="105"/>
      <c r="XCW136" s="105"/>
      <c r="XCX136" s="105"/>
      <c r="XCY136" s="105"/>
      <c r="XCZ136" s="105"/>
      <c r="XDA136" s="105"/>
      <c r="XDB136" s="105"/>
      <c r="XDC136" s="105"/>
      <c r="XDD136" s="105"/>
      <c r="XDE136" s="105"/>
      <c r="XDF136" s="105"/>
      <c r="XDG136" s="105"/>
      <c r="XDH136" s="105"/>
      <c r="XDI136" s="105"/>
      <c r="XDJ136" s="105"/>
      <c r="XDK136" s="105"/>
      <c r="XDL136" s="105"/>
      <c r="XDM136" s="105"/>
      <c r="XDN136" s="105"/>
      <c r="XDO136" s="105"/>
      <c r="XDP136" s="105"/>
      <c r="XDQ136" s="105"/>
      <c r="XDR136" s="105"/>
      <c r="XDS136" s="105"/>
      <c r="XDT136" s="105"/>
      <c r="XDU136" s="105"/>
      <c r="XDV136" s="105"/>
      <c r="XDW136" s="105"/>
      <c r="XDX136" s="105"/>
      <c r="XDY136" s="105"/>
      <c r="XDZ136" s="105"/>
      <c r="XEA136" s="105"/>
      <c r="XEB136" s="105"/>
      <c r="XEC136" s="105"/>
      <c r="XED136" s="105"/>
      <c r="XEE136" s="105"/>
      <c r="XEF136" s="105"/>
      <c r="XEG136" s="105"/>
      <c r="XEH136" s="105"/>
      <c r="XEI136" s="105"/>
      <c r="XEJ136" s="105"/>
      <c r="XEK136" s="105"/>
      <c r="XEL136" s="105"/>
      <c r="XEM136" s="105"/>
      <c r="XEN136" s="105"/>
      <c r="XEO136" s="105"/>
      <c r="XEP136" s="105"/>
      <c r="XEQ136" s="105"/>
      <c r="XER136" s="105"/>
      <c r="XES136" s="105"/>
      <c r="XET136" s="105"/>
      <c r="XEU136" s="105"/>
      <c r="XEV136" s="105"/>
      <c r="XEW136" s="105"/>
    </row>
  </sheetData>
  <dataValidations count="1">
    <dataValidation allowBlank="1" showErrorMessage="1" sqref="F4:I4 E4:E16" xr:uid="{49B2AAD1-E6F9-4E5A-A8DC-77F325A5F76F}"/>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S40"/>
  <sheetViews>
    <sheetView showGridLines="0" topLeftCell="A19" workbookViewId="0">
      <selection activeCell="J40" sqref="J40"/>
    </sheetView>
  </sheetViews>
  <sheetFormatPr defaultRowHeight="15"/>
  <cols>
    <col min="1" max="1" width="1.85546875" style="105" customWidth="1"/>
    <col min="2" max="2" width="35.42578125" style="105" customWidth="1"/>
    <col min="7" max="7" width="10.42578125" style="105" bestFit="1" customWidth="1"/>
    <col min="8" max="8" width="9.28515625" style="105" bestFit="1" customWidth="1"/>
  </cols>
  <sheetData>
    <row r="2" spans="2:19" ht="18.75" customHeight="1">
      <c r="B2" s="63" t="s">
        <v>303</v>
      </c>
      <c r="C2" s="64"/>
      <c r="D2" s="64"/>
      <c r="E2" s="64"/>
      <c r="F2" s="64"/>
      <c r="G2" s="64"/>
      <c r="H2" s="64"/>
      <c r="I2" s="64"/>
      <c r="J2" s="64"/>
      <c r="K2" s="105"/>
      <c r="L2" s="105"/>
      <c r="M2" s="105"/>
      <c r="N2" s="105"/>
      <c r="O2" s="105"/>
      <c r="P2" s="105"/>
      <c r="Q2" s="105"/>
      <c r="R2" s="105"/>
      <c r="S2" s="105"/>
    </row>
    <row r="4" spans="2:19">
      <c r="B4" s="44" t="s">
        <v>304</v>
      </c>
      <c r="C4" s="105"/>
      <c r="D4" s="105"/>
      <c r="E4" s="105"/>
      <c r="F4" s="105"/>
      <c r="I4" s="105"/>
      <c r="J4" s="105"/>
      <c r="K4" s="105"/>
      <c r="L4" s="105"/>
      <c r="M4" s="105"/>
      <c r="N4" s="105"/>
      <c r="O4" s="105"/>
      <c r="P4" s="105"/>
      <c r="Q4" s="105"/>
      <c r="R4" s="105"/>
      <c r="S4" s="105"/>
    </row>
    <row r="5" spans="2:19">
      <c r="B5" s="44"/>
      <c r="C5" s="105"/>
      <c r="D5" s="105"/>
      <c r="E5" s="105"/>
      <c r="F5" s="105"/>
      <c r="I5" s="105"/>
      <c r="J5" s="105"/>
      <c r="K5" s="105"/>
      <c r="L5" s="105"/>
      <c r="M5" s="105"/>
      <c r="N5" s="105"/>
      <c r="O5" s="105"/>
      <c r="P5" s="105"/>
      <c r="Q5" s="105"/>
      <c r="R5" s="105"/>
      <c r="S5" s="105"/>
    </row>
    <row r="6" spans="2:19">
      <c r="B6" s="105" t="s">
        <v>305</v>
      </c>
      <c r="C6" s="105"/>
      <c r="D6" s="105"/>
      <c r="E6" s="105"/>
      <c r="F6" s="105"/>
      <c r="I6" s="105"/>
      <c r="J6" s="105"/>
      <c r="K6" s="105"/>
      <c r="L6" s="105"/>
      <c r="M6" s="105"/>
      <c r="N6" s="105"/>
      <c r="O6" s="105"/>
      <c r="P6" s="105"/>
      <c r="Q6" s="105"/>
      <c r="R6" s="105"/>
      <c r="S6" s="105"/>
    </row>
    <row r="7" spans="2:19">
      <c r="B7" s="34"/>
      <c r="C7" s="34"/>
      <c r="D7" s="34"/>
      <c r="E7" s="34"/>
      <c r="F7" s="34"/>
      <c r="G7" s="34" t="s">
        <v>306</v>
      </c>
      <c r="H7" s="34" t="s">
        <v>306</v>
      </c>
      <c r="I7" s="34" t="s">
        <v>307</v>
      </c>
      <c r="J7" s="34" t="s">
        <v>308</v>
      </c>
      <c r="K7" s="105"/>
      <c r="L7" s="105"/>
      <c r="M7" s="105"/>
      <c r="N7" s="105"/>
      <c r="O7" s="105"/>
      <c r="P7" s="105"/>
      <c r="Q7" s="105"/>
      <c r="R7" s="105"/>
      <c r="S7" s="105"/>
    </row>
    <row r="8" spans="2:19">
      <c r="B8" s="37" t="s">
        <v>309</v>
      </c>
      <c r="C8" s="37" t="s">
        <v>310</v>
      </c>
      <c r="D8" s="37" t="s">
        <v>311</v>
      </c>
      <c r="E8" s="37" t="s">
        <v>312</v>
      </c>
      <c r="F8" s="45" t="s">
        <v>313</v>
      </c>
      <c r="G8" s="46" t="s">
        <v>314</v>
      </c>
      <c r="H8" s="46" t="s">
        <v>315</v>
      </c>
      <c r="I8" s="47" t="s">
        <v>316</v>
      </c>
      <c r="J8" s="47" t="s">
        <v>317</v>
      </c>
      <c r="K8" s="105"/>
      <c r="L8" s="105"/>
      <c r="M8" s="105"/>
      <c r="N8" s="105"/>
      <c r="O8" s="105"/>
      <c r="P8" s="105"/>
      <c r="Q8" s="105"/>
      <c r="R8" s="105"/>
      <c r="S8" s="105"/>
    </row>
    <row r="9" spans="2:19">
      <c r="B9" s="105" t="s">
        <v>318</v>
      </c>
      <c r="C9" s="105" t="s">
        <v>319</v>
      </c>
      <c r="D9" s="48">
        <v>8737</v>
      </c>
      <c r="E9" s="48">
        <v>464241.67</v>
      </c>
      <c r="F9" s="49">
        <v>0.3</v>
      </c>
      <c r="G9" s="96">
        <v>0.1</v>
      </c>
      <c r="H9" s="96">
        <f>D9/(D9+E9)</f>
        <v>1.8472291784320846E-2</v>
      </c>
      <c r="I9" s="50">
        <v>0.75800000000000001</v>
      </c>
      <c r="J9" s="51">
        <f>I9/(1+(1-F9)*G9)</f>
        <v>0.70841121495327097</v>
      </c>
      <c r="K9" s="105"/>
      <c r="L9" s="105"/>
      <c r="M9" s="105"/>
      <c r="N9" s="105"/>
      <c r="O9" s="105"/>
      <c r="P9" s="105"/>
      <c r="Q9" s="105"/>
      <c r="R9" s="105"/>
      <c r="S9" s="105"/>
    </row>
    <row r="10" spans="2:19">
      <c r="B10" s="105" t="s">
        <v>320</v>
      </c>
      <c r="C10" s="105" t="s">
        <v>319</v>
      </c>
      <c r="D10" s="48">
        <v>11283</v>
      </c>
      <c r="E10" s="48">
        <v>847356.1</v>
      </c>
      <c r="F10" s="49">
        <v>0.3</v>
      </c>
      <c r="G10" s="96">
        <f>D10/E10</f>
        <v>1.3315535227751356E-2</v>
      </c>
      <c r="H10" s="96">
        <f>D10/(D10+E10)</f>
        <v>1.3140561616632646E-2</v>
      </c>
      <c r="I10" s="50">
        <v>0.91100000000000003</v>
      </c>
      <c r="J10" s="51">
        <f>I10/(1+(1-F10)*G10)</f>
        <v>0.90258709878302845</v>
      </c>
      <c r="K10" s="105"/>
      <c r="L10" s="65"/>
      <c r="M10" s="29"/>
      <c r="N10" s="69"/>
      <c r="O10" s="70"/>
      <c r="P10" s="70"/>
      <c r="Q10" s="70"/>
      <c r="R10" s="70"/>
      <c r="S10" s="105"/>
    </row>
    <row r="11" spans="2:19">
      <c r="B11" s="105" t="s">
        <v>321</v>
      </c>
      <c r="C11" s="105" t="s">
        <v>319</v>
      </c>
      <c r="D11" s="48">
        <v>5215</v>
      </c>
      <c r="E11" s="48">
        <v>357145.46</v>
      </c>
      <c r="F11" s="49">
        <v>0.3</v>
      </c>
      <c r="G11" s="96">
        <f>D11/E11</f>
        <v>1.4601893581399577E-2</v>
      </c>
      <c r="H11" s="96">
        <f>D11/(D11+E11)</f>
        <v>1.4391746825798819E-2</v>
      </c>
      <c r="I11" s="50">
        <v>0.83799999999999997</v>
      </c>
      <c r="J11" s="51">
        <f>I11/(1+(1-F11)*G11)</f>
        <v>0.82952119386259204</v>
      </c>
      <c r="K11" s="105"/>
      <c r="L11" s="105"/>
      <c r="M11" s="105"/>
      <c r="N11" s="66"/>
      <c r="O11" s="67"/>
      <c r="P11" s="68"/>
      <c r="Q11" s="68"/>
      <c r="R11" s="68"/>
      <c r="S11" s="68"/>
    </row>
    <row r="12" spans="2:19">
      <c r="B12" s="105" t="s">
        <v>322</v>
      </c>
      <c r="C12" s="105" t="s">
        <v>319</v>
      </c>
      <c r="D12" s="48">
        <v>20291</v>
      </c>
      <c r="E12" s="48">
        <v>179225.03</v>
      </c>
      <c r="F12" s="49">
        <v>0.3</v>
      </c>
      <c r="G12" s="96">
        <f>D12/E12</f>
        <v>0.11321521329916921</v>
      </c>
      <c r="H12" s="96">
        <f>D12/(D12+E12)</f>
        <v>0.10170110141024759</v>
      </c>
      <c r="I12" s="50">
        <v>0.749</v>
      </c>
      <c r="J12" s="51">
        <f>I12/(1+(1-F12)*G12)</f>
        <v>0.69400004575328589</v>
      </c>
      <c r="K12" s="105"/>
      <c r="L12" s="105"/>
      <c r="M12" s="105"/>
      <c r="N12" s="66"/>
      <c r="O12" s="67"/>
      <c r="P12" s="68"/>
      <c r="Q12" s="68"/>
      <c r="R12" s="68"/>
      <c r="S12" s="68"/>
    </row>
    <row r="13" spans="2:19">
      <c r="B13" s="105" t="s">
        <v>323</v>
      </c>
      <c r="C13" s="105" t="s">
        <v>319</v>
      </c>
      <c r="D13" s="48">
        <v>2186.1999999999998</v>
      </c>
      <c r="E13" s="48">
        <v>160830.15</v>
      </c>
      <c r="F13" s="49">
        <v>0.3</v>
      </c>
      <c r="G13" s="96">
        <f>D13/E13</f>
        <v>1.359322241507578E-2</v>
      </c>
      <c r="H13" s="96">
        <f>D13/(D13+E13)</f>
        <v>1.3410924732396473E-2</v>
      </c>
      <c r="I13" s="50">
        <v>0.79100000000000004</v>
      </c>
      <c r="J13" s="51">
        <f>I13/(1+(1-F13)*G13)</f>
        <v>0.78354437492766871</v>
      </c>
      <c r="K13" s="105"/>
      <c r="L13" s="105"/>
      <c r="M13" s="105"/>
      <c r="N13" s="105"/>
      <c r="O13" s="105"/>
      <c r="P13" s="105"/>
      <c r="Q13" s="105"/>
      <c r="R13" s="105"/>
      <c r="S13" s="105"/>
    </row>
    <row r="14" spans="2:19">
      <c r="B14" s="105" t="s">
        <v>165</v>
      </c>
      <c r="C14" s="105" t="s">
        <v>319</v>
      </c>
      <c r="D14" s="48">
        <v>2310</v>
      </c>
      <c r="E14" s="48">
        <v>138670.47</v>
      </c>
      <c r="F14" s="49">
        <v>0.3</v>
      </c>
      <c r="G14" s="96">
        <f>D14/E14</f>
        <v>1.6658196947050081E-2</v>
      </c>
      <c r="H14" s="96">
        <f>D14/(D14+E14)</f>
        <v>1.638524825459867E-2</v>
      </c>
      <c r="I14" s="50">
        <v>1.19</v>
      </c>
      <c r="J14" s="51">
        <f>I14/(1+(1-F14)*G14)</f>
        <v>1.1762836645354</v>
      </c>
      <c r="K14" s="105"/>
      <c r="L14" s="105"/>
      <c r="M14" s="105"/>
      <c r="N14" s="105"/>
      <c r="O14" s="105"/>
      <c r="P14" s="105"/>
      <c r="Q14" s="105"/>
      <c r="R14" s="105"/>
      <c r="S14" s="105"/>
    </row>
    <row r="16" spans="2:19">
      <c r="C16" s="105"/>
      <c r="D16" s="105"/>
      <c r="E16" s="52" t="s">
        <v>324</v>
      </c>
      <c r="F16" s="36">
        <f>AVERAGE(F10:F14)</f>
        <v>0.3</v>
      </c>
      <c r="G16" s="36">
        <f>AVERAGE(G10:G14)</f>
        <v>3.4276812294089201E-2</v>
      </c>
      <c r="H16" s="36">
        <f>AVERAGE(H10:H14)</f>
        <v>3.1805916567934842E-2</v>
      </c>
      <c r="I16" s="53">
        <f>AVERAGE(I10:I14)</f>
        <v>0.89580000000000004</v>
      </c>
      <c r="J16" s="53">
        <f>AVERAGE(J10:J14)</f>
        <v>0.87718727557239495</v>
      </c>
      <c r="K16" s="105"/>
      <c r="L16" s="105"/>
      <c r="M16" s="105"/>
      <c r="N16" s="105"/>
      <c r="O16" s="105"/>
      <c r="P16" s="105"/>
      <c r="Q16" s="105"/>
      <c r="R16" s="105"/>
      <c r="S16" s="105"/>
    </row>
    <row r="17" spans="2:10">
      <c r="C17" s="105"/>
      <c r="D17" s="105"/>
      <c r="E17" s="54" t="s">
        <v>325</v>
      </c>
      <c r="F17" s="38">
        <f>MEDIAN(F10:F14)</f>
        <v>0.3</v>
      </c>
      <c r="G17" s="38">
        <f>MEDIAN(G10:G14)</f>
        <v>1.4601893581399577E-2</v>
      </c>
      <c r="H17" s="38">
        <f>MEDIAN(H10:H14)</f>
        <v>1.4391746825798819E-2</v>
      </c>
      <c r="I17" s="55">
        <f>MEDIAN(I10:I14)</f>
        <v>0.83799999999999997</v>
      </c>
      <c r="J17" s="55">
        <f>MEDIAN(J10:J14)</f>
        <v>0.82952119386259204</v>
      </c>
    </row>
    <row r="20" spans="2:10">
      <c r="B20" s="54" t="s">
        <v>326</v>
      </c>
      <c r="C20" s="37"/>
      <c r="D20" s="37"/>
      <c r="E20" s="37"/>
      <c r="F20" s="105"/>
      <c r="G20" s="54" t="s">
        <v>327</v>
      </c>
      <c r="H20" s="37"/>
      <c r="I20" s="37"/>
      <c r="J20" s="37"/>
    </row>
    <row r="22" spans="2:10">
      <c r="B22" s="105" t="s">
        <v>328</v>
      </c>
      <c r="C22" s="105"/>
      <c r="D22" s="105"/>
      <c r="E22" s="49">
        <v>8.4000000000000005E-2</v>
      </c>
      <c r="F22" s="105"/>
      <c r="G22" s="105" t="s">
        <v>329</v>
      </c>
      <c r="I22" s="105"/>
      <c r="J22" s="49">
        <v>6.9599999999999995E-2</v>
      </c>
    </row>
    <row r="23" spans="2:10">
      <c r="B23" s="105" t="s">
        <v>330</v>
      </c>
      <c r="C23" s="105"/>
      <c r="D23" s="105"/>
      <c r="E23" s="49">
        <v>0.3</v>
      </c>
      <c r="F23" s="105"/>
      <c r="G23" s="105" t="s">
        <v>331</v>
      </c>
      <c r="I23" s="105"/>
      <c r="J23" s="49">
        <v>6.5000000000000002E-2</v>
      </c>
    </row>
    <row r="24" spans="2:10">
      <c r="B24" s="56" t="s">
        <v>332</v>
      </c>
      <c r="C24" s="56"/>
      <c r="D24" s="56"/>
      <c r="E24" s="57">
        <f>E22*(1-E23)</f>
        <v>5.8799999999999998E-2</v>
      </c>
      <c r="F24" s="105"/>
      <c r="G24" s="58" t="s">
        <v>333</v>
      </c>
      <c r="I24" s="105"/>
      <c r="J24" s="51">
        <f>J33</f>
        <v>0.848596478079225</v>
      </c>
    </row>
    <row r="25" spans="2:10">
      <c r="C25" s="105"/>
      <c r="D25" s="105"/>
      <c r="E25" s="105"/>
      <c r="F25" s="105"/>
      <c r="G25" s="56" t="s">
        <v>327</v>
      </c>
      <c r="H25" s="56"/>
      <c r="I25" s="56"/>
      <c r="J25" s="57">
        <f>J22+J23*J24</f>
        <v>0.12475877107514963</v>
      </c>
    </row>
    <row r="28" spans="2:10">
      <c r="B28" s="54" t="s">
        <v>334</v>
      </c>
      <c r="C28" s="37"/>
      <c r="D28" s="37"/>
      <c r="E28" s="37"/>
      <c r="F28" s="105"/>
      <c r="G28" s="54" t="s">
        <v>335</v>
      </c>
      <c r="H28" s="37"/>
      <c r="I28" s="37"/>
      <c r="J28" s="37"/>
    </row>
    <row r="30" spans="2:10">
      <c r="C30" s="105"/>
      <c r="D30" s="59" t="s">
        <v>336</v>
      </c>
      <c r="E30" s="59" t="s">
        <v>337</v>
      </c>
      <c r="F30" s="105"/>
      <c r="G30" s="105" t="s">
        <v>338</v>
      </c>
      <c r="I30" s="105"/>
      <c r="J30" s="33">
        <f>J17</f>
        <v>0.82952119386259204</v>
      </c>
    </row>
    <row r="31" spans="2:10">
      <c r="B31" s="105" t="s">
        <v>311</v>
      </c>
      <c r="C31" s="48">
        <f>D9</f>
        <v>8737</v>
      </c>
      <c r="D31" s="65">
        <f>C31/$C$33</f>
        <v>1.8472291784320846E-2</v>
      </c>
      <c r="E31" s="65">
        <f>H16</f>
        <v>3.1805916567934842E-2</v>
      </c>
      <c r="F31" s="105"/>
      <c r="G31" s="105" t="s">
        <v>339</v>
      </c>
      <c r="I31" s="105"/>
      <c r="J31" s="65">
        <f>E35</f>
        <v>3.2850765267216753E-2</v>
      </c>
    </row>
    <row r="32" spans="2:10">
      <c r="B32" s="105" t="s">
        <v>67</v>
      </c>
      <c r="C32" s="48">
        <f>E9</f>
        <v>464241.67</v>
      </c>
      <c r="D32" s="65">
        <f>C32/$C$33</f>
        <v>0.98152770821567914</v>
      </c>
      <c r="E32" s="65">
        <f>E33-E31</f>
        <v>0.96819408343206514</v>
      </c>
      <c r="F32" s="105"/>
      <c r="G32" s="105" t="s">
        <v>330</v>
      </c>
      <c r="I32" s="105"/>
      <c r="J32" s="65">
        <f>E23</f>
        <v>0.3</v>
      </c>
    </row>
    <row r="33" spans="2:13">
      <c r="B33" s="56" t="s">
        <v>340</v>
      </c>
      <c r="C33" s="56">
        <f>SUM(C31:C32)</f>
        <v>472978.67</v>
      </c>
      <c r="D33" s="60">
        <f>C33/$C$33</f>
        <v>1</v>
      </c>
      <c r="E33" s="60">
        <f>D33</f>
        <v>1</v>
      </c>
      <c r="F33" s="105"/>
      <c r="G33" s="56" t="s">
        <v>335</v>
      </c>
      <c r="H33" s="56"/>
      <c r="I33" s="56"/>
      <c r="J33" s="61">
        <f>J30*(1+(1-J32)*J31)</f>
        <v>0.848596478079225</v>
      </c>
      <c r="K33" s="105"/>
      <c r="L33" s="105"/>
      <c r="M33" s="105"/>
    </row>
    <row r="35" spans="2:13">
      <c r="B35" s="105" t="s">
        <v>341</v>
      </c>
      <c r="C35" s="105"/>
      <c r="D35" s="96">
        <f>D31/D32</f>
        <v>1.88199391924469E-2</v>
      </c>
      <c r="E35" s="96">
        <f>E31/E32</f>
        <v>3.2850765267216753E-2</v>
      </c>
      <c r="F35" s="105"/>
      <c r="G35" s="105" t="s">
        <v>303</v>
      </c>
      <c r="I35" s="105"/>
      <c r="J35" s="105"/>
      <c r="K35" s="105"/>
      <c r="L35" s="105"/>
      <c r="M35" s="105"/>
    </row>
    <row r="37" spans="2:13">
      <c r="C37" s="105"/>
      <c r="D37" s="105"/>
      <c r="E37" s="105"/>
      <c r="F37" s="105"/>
      <c r="I37" s="62" t="s">
        <v>342</v>
      </c>
      <c r="J37" s="62" t="s">
        <v>343</v>
      </c>
      <c r="K37" s="105"/>
      <c r="L37" s="105"/>
      <c r="M37" s="105"/>
    </row>
    <row r="38" spans="2:13">
      <c r="C38" s="105"/>
      <c r="D38" s="105"/>
      <c r="E38" s="105"/>
      <c r="F38" s="105"/>
      <c r="G38" s="105" t="s">
        <v>344</v>
      </c>
      <c r="I38" s="65">
        <f>E24</f>
        <v>5.8799999999999998E-2</v>
      </c>
      <c r="J38" s="65">
        <f>E31</f>
        <v>3.1805916567934842E-2</v>
      </c>
      <c r="K38" s="105"/>
      <c r="L38" s="105"/>
      <c r="M38" s="105"/>
    </row>
    <row r="39" spans="2:13">
      <c r="C39" s="105"/>
      <c r="D39" s="105"/>
      <c r="E39" s="105"/>
      <c r="F39" s="105"/>
      <c r="G39" s="105" t="s">
        <v>115</v>
      </c>
      <c r="I39" s="65">
        <f>J25</f>
        <v>0.12475877107514963</v>
      </c>
      <c r="J39" s="65">
        <f>E32</f>
        <v>0.96819408343206514</v>
      </c>
      <c r="K39" s="105"/>
      <c r="L39" s="105"/>
      <c r="M39" s="105"/>
    </row>
    <row r="40" spans="2:13">
      <c r="C40" s="105"/>
      <c r="D40" s="105"/>
      <c r="E40" s="105"/>
      <c r="F40" s="105"/>
      <c r="G40" s="56" t="s">
        <v>303</v>
      </c>
      <c r="H40" s="56"/>
      <c r="I40" s="56"/>
      <c r="J40" s="57">
        <f>SUMPRODUCT(I38:I39,J38:J39)</f>
        <v>0.12266089190540991</v>
      </c>
      <c r="K40" s="105"/>
      <c r="L40" s="105"/>
      <c r="M40" s="10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5:K66"/>
  <sheetViews>
    <sheetView showGridLines="0" topLeftCell="A7" workbookViewId="0">
      <selection activeCell="J9" sqref="J9"/>
    </sheetView>
  </sheetViews>
  <sheetFormatPr defaultRowHeight="15"/>
  <cols>
    <col min="1" max="1" width="1.85546875" style="105" customWidth="1"/>
    <col min="6" max="7" width="11.140625" style="105" customWidth="1"/>
    <col min="8" max="9" width="13.42578125" style="105" customWidth="1"/>
    <col min="10" max="10" width="10.42578125" style="105" bestFit="1" customWidth="1"/>
  </cols>
  <sheetData>
    <row r="5" spans="2:10">
      <c r="B5" s="30" t="s">
        <v>345</v>
      </c>
      <c r="C5" s="73"/>
      <c r="D5" s="30"/>
      <c r="E5" s="30"/>
      <c r="F5" s="32">
        <v>44641</v>
      </c>
      <c r="G5" s="32">
        <v>45007</v>
      </c>
      <c r="H5" s="32">
        <v>45373</v>
      </c>
      <c r="I5" s="32">
        <v>45739</v>
      </c>
      <c r="J5" s="32">
        <v>46105</v>
      </c>
    </row>
    <row r="7" spans="2:10">
      <c r="B7" s="94" t="s">
        <v>346</v>
      </c>
      <c r="C7" s="105"/>
      <c r="D7" s="105"/>
      <c r="E7" s="105"/>
    </row>
    <row r="8" spans="2:10">
      <c r="B8" s="105" t="s">
        <v>138</v>
      </c>
      <c r="C8" s="105"/>
      <c r="D8" s="105"/>
      <c r="E8" s="105"/>
      <c r="F8" s="95">
        <f>'Raw Data'!J30</f>
        <v>22698</v>
      </c>
      <c r="G8" s="95">
        <f>'Raw Data'!K30</f>
        <v>25424</v>
      </c>
      <c r="H8" s="95">
        <f>'Raw Data'!L30</f>
        <v>30193</v>
      </c>
      <c r="I8" s="95">
        <f>'Raw Data'!M30</f>
        <v>31158</v>
      </c>
      <c r="J8" s="95">
        <f>'Raw Data'!N30</f>
        <v>35234</v>
      </c>
    </row>
    <row r="9" spans="2:10">
      <c r="B9" s="105" t="s">
        <v>140</v>
      </c>
      <c r="C9" s="105"/>
      <c r="D9" s="105"/>
      <c r="E9" s="105"/>
      <c r="F9" s="95">
        <f>'Raw Data'!J32</f>
        <v>2491</v>
      </c>
      <c r="G9" s="95">
        <f>'Raw Data'!K32</f>
        <v>3242</v>
      </c>
      <c r="H9" s="95">
        <f>'Raw Data'!L32</f>
        <v>10330</v>
      </c>
      <c r="I9" s="95">
        <f>'Raw Data'!M32</f>
        <v>6717</v>
      </c>
      <c r="J9" s="95">
        <f>'Raw Data'!N32</f>
        <v>6808</v>
      </c>
    </row>
    <row r="10" spans="2:10">
      <c r="B10" s="105" t="s">
        <v>141</v>
      </c>
      <c r="C10" s="105"/>
      <c r="D10" s="105"/>
      <c r="E10" s="105"/>
      <c r="F10" s="95">
        <f>'Raw Data'!J33</f>
        <v>27528</v>
      </c>
      <c r="G10" s="95">
        <f>'Raw Data'!K33</f>
        <v>34766</v>
      </c>
      <c r="H10" s="95">
        <f>'Raw Data'!L33</f>
        <v>28173</v>
      </c>
      <c r="I10" s="95">
        <f>'Raw Data'!M33</f>
        <v>30149</v>
      </c>
      <c r="J10" s="95">
        <f>'Raw Data'!N33</f>
        <v>33869</v>
      </c>
    </row>
    <row r="11" spans="2:10">
      <c r="B11" s="52" t="s">
        <v>192</v>
      </c>
      <c r="C11" s="34"/>
      <c r="D11" s="34"/>
      <c r="E11" s="34"/>
      <c r="F11" s="75">
        <f>SUM(F8:F10)</f>
        <v>52717</v>
      </c>
      <c r="G11" s="75">
        <f>SUM(G8:G10)</f>
        <v>63432</v>
      </c>
      <c r="H11" s="75">
        <f>SUM(H8:H10)</f>
        <v>68696</v>
      </c>
      <c r="I11" s="75">
        <f>SUM(I8:I10)</f>
        <v>68024</v>
      </c>
      <c r="J11" s="75">
        <f>SUM(J8:J10)</f>
        <v>75911</v>
      </c>
    </row>
    <row r="12" spans="2:10">
      <c r="B12" s="105"/>
      <c r="C12" s="105"/>
      <c r="D12" s="105"/>
      <c r="E12" s="105"/>
      <c r="F12" s="95"/>
      <c r="G12" s="95"/>
      <c r="H12" s="95"/>
      <c r="I12" s="95"/>
      <c r="J12" s="95"/>
    </row>
    <row r="13" spans="2:10">
      <c r="B13" s="94" t="s">
        <v>347</v>
      </c>
      <c r="C13" s="105"/>
      <c r="D13" s="105"/>
      <c r="E13" s="105"/>
      <c r="F13" s="95"/>
      <c r="G13" s="95"/>
      <c r="H13" s="95"/>
      <c r="I13" s="95"/>
      <c r="J13" s="95"/>
    </row>
    <row r="14" spans="2:10">
      <c r="B14" s="105" t="s">
        <v>120</v>
      </c>
      <c r="C14" s="105"/>
      <c r="D14" s="105"/>
      <c r="E14" s="105"/>
      <c r="F14" s="95">
        <f>'Raw Data'!J11</f>
        <v>4134</v>
      </c>
      <c r="G14" s="95">
        <f>'Raw Data'!K11</f>
        <v>3865</v>
      </c>
      <c r="H14" s="95">
        <f>'Raw Data'!L11</f>
        <v>3956</v>
      </c>
      <c r="I14" s="95">
        <f>'Raw Data'!M11</f>
        <v>4164</v>
      </c>
      <c r="J14" s="95">
        <f>'Raw Data'!N11</f>
        <v>4744</v>
      </c>
    </row>
    <row r="15" spans="2:10">
      <c r="B15" s="105" t="s">
        <v>121</v>
      </c>
      <c r="C15" s="105"/>
      <c r="D15" s="105"/>
      <c r="E15" s="105"/>
      <c r="F15" s="95">
        <f>'Raw Data'!J12</f>
        <v>0</v>
      </c>
      <c r="G15" s="95">
        <f>'Raw Data'!K12</f>
        <v>0</v>
      </c>
      <c r="H15" s="95">
        <f>'Raw Data'!L12</f>
        <v>0</v>
      </c>
      <c r="I15" s="95">
        <f>'Raw Data'!M12</f>
        <v>0</v>
      </c>
      <c r="J15" s="95">
        <f>'Raw Data'!N12</f>
        <v>0</v>
      </c>
    </row>
    <row r="16" spans="2:10">
      <c r="B16" s="105" t="s">
        <v>122</v>
      </c>
      <c r="C16" s="105"/>
      <c r="D16" s="105"/>
      <c r="E16" s="105"/>
      <c r="F16" s="95">
        <f>'Raw Data'!J13</f>
        <v>31385</v>
      </c>
      <c r="G16" s="95">
        <f>'Raw Data'!K13</f>
        <v>36637</v>
      </c>
      <c r="H16" s="95">
        <f>'Raw Data'!L13</f>
        <v>35244</v>
      </c>
      <c r="I16" s="95">
        <f>'Raw Data'!M13</f>
        <v>39201</v>
      </c>
      <c r="J16" s="95">
        <f>'Raw Data'!N13</f>
        <v>47071</v>
      </c>
    </row>
    <row r="17" spans="1:10">
      <c r="B17" s="52" t="s">
        <v>348</v>
      </c>
      <c r="C17" s="34"/>
      <c r="D17" s="34"/>
      <c r="E17" s="34"/>
      <c r="F17" s="75">
        <f>SUM(F14:F16)</f>
        <v>35519</v>
      </c>
      <c r="G17" s="75">
        <f>SUM(G14:G16)</f>
        <v>40502</v>
      </c>
      <c r="H17" s="75">
        <f>SUM(H14:H16)</f>
        <v>39200</v>
      </c>
      <c r="I17" s="75">
        <f>SUM(I14:I16)</f>
        <v>43365</v>
      </c>
      <c r="J17" s="75">
        <f>SUM(J14:J16)</f>
        <v>51815</v>
      </c>
    </row>
    <row r="18" spans="1:10">
      <c r="B18" s="105"/>
      <c r="C18" s="105"/>
      <c r="D18" s="105"/>
      <c r="E18" s="105"/>
      <c r="F18" s="95"/>
      <c r="G18" s="95"/>
      <c r="H18" s="95"/>
      <c r="I18" s="95"/>
      <c r="J18" s="95"/>
    </row>
    <row r="19" spans="1:10">
      <c r="A19" s="105" t="s">
        <v>166</v>
      </c>
      <c r="B19" s="71" t="s">
        <v>291</v>
      </c>
      <c r="C19" s="72"/>
      <c r="D19" s="72"/>
      <c r="E19" s="72"/>
      <c r="F19" s="76">
        <f>F11-F17</f>
        <v>17198</v>
      </c>
      <c r="G19" s="76">
        <f>G11-G17</f>
        <v>22930</v>
      </c>
      <c r="H19" s="76">
        <f>H11-H17</f>
        <v>29496</v>
      </c>
      <c r="I19" s="76">
        <f>I11-I17</f>
        <v>24659</v>
      </c>
      <c r="J19" s="76">
        <f>J11-J17</f>
        <v>24096</v>
      </c>
    </row>
    <row r="20" spans="1:10">
      <c r="B20" s="105"/>
      <c r="C20" s="105"/>
      <c r="D20" s="105"/>
      <c r="E20" s="105"/>
      <c r="F20" s="95"/>
      <c r="G20" s="95"/>
      <c r="H20" s="95"/>
      <c r="I20" s="95"/>
      <c r="J20" s="95"/>
    </row>
    <row r="21" spans="1:10">
      <c r="B21" s="94" t="s">
        <v>349</v>
      </c>
      <c r="C21" s="105"/>
      <c r="D21" s="105"/>
      <c r="E21" s="105"/>
      <c r="F21" s="95"/>
      <c r="G21" s="95"/>
      <c r="H21" s="95"/>
      <c r="I21" s="95"/>
      <c r="J21" s="95"/>
    </row>
    <row r="22" spans="1:10">
      <c r="B22" s="105" t="s">
        <v>125</v>
      </c>
      <c r="C22" s="105"/>
      <c r="D22" s="105"/>
      <c r="E22" s="105"/>
      <c r="F22" s="95">
        <f>'Raw Data'!J16</f>
        <v>2066</v>
      </c>
      <c r="G22" s="95">
        <f>'Raw Data'!K16</f>
        <v>2054</v>
      </c>
      <c r="H22" s="95">
        <f>'Raw Data'!L16</f>
        <v>2037</v>
      </c>
      <c r="I22" s="95">
        <f>'Raw Data'!M16</f>
        <v>2079</v>
      </c>
      <c r="J22" s="95">
        <f>'Raw Data'!N16</f>
        <v>1990</v>
      </c>
    </row>
    <row r="23" spans="1:10">
      <c r="B23" s="105" t="s">
        <v>126</v>
      </c>
      <c r="C23" s="105"/>
      <c r="D23" s="105"/>
      <c r="E23" s="105"/>
      <c r="F23" s="95">
        <f>'Raw Data'!J17</f>
        <v>16760</v>
      </c>
      <c r="G23" s="95">
        <f>'Raw Data'!K17</f>
        <v>16903</v>
      </c>
      <c r="H23" s="95">
        <f>'Raw Data'!L17</f>
        <v>16515</v>
      </c>
      <c r="I23" s="95">
        <f>'Raw Data'!M17</f>
        <v>16376</v>
      </c>
      <c r="J23" s="95">
        <f>'Raw Data'!N17</f>
        <v>17193</v>
      </c>
    </row>
    <row r="24" spans="1:10">
      <c r="B24" s="105" t="s">
        <v>127</v>
      </c>
      <c r="C24" s="105"/>
      <c r="D24" s="105"/>
      <c r="E24" s="105"/>
      <c r="F24" s="95">
        <f>'Raw Data'!J18</f>
        <v>3210</v>
      </c>
      <c r="G24" s="95">
        <f>'Raw Data'!K18</f>
        <v>3302</v>
      </c>
      <c r="H24" s="95">
        <f>'Raw Data'!L18</f>
        <v>3428</v>
      </c>
      <c r="I24" s="95">
        <f>'Raw Data'!M18</f>
        <v>3461</v>
      </c>
      <c r="J24" s="95">
        <f>'Raw Data'!N18</f>
        <v>3714</v>
      </c>
    </row>
    <row r="25" spans="1:10">
      <c r="B25" s="105" t="s">
        <v>128</v>
      </c>
      <c r="C25" s="105"/>
      <c r="D25" s="105"/>
      <c r="E25" s="105"/>
      <c r="F25" s="95">
        <f>'Raw Data'!J19</f>
        <v>1427</v>
      </c>
      <c r="G25" s="95">
        <f>'Raw Data'!K19</f>
        <v>1482</v>
      </c>
      <c r="H25" s="95">
        <f>'Raw Data'!L19</f>
        <v>1528</v>
      </c>
      <c r="I25" s="95">
        <f>'Raw Data'!M19</f>
        <v>1628</v>
      </c>
      <c r="J25" s="95">
        <f>'Raw Data'!N19</f>
        <v>1732</v>
      </c>
    </row>
    <row r="26" spans="1:10">
      <c r="B26" s="105" t="s">
        <v>129</v>
      </c>
      <c r="C26" s="105"/>
      <c r="D26" s="105"/>
      <c r="E26" s="105"/>
      <c r="F26" s="95">
        <f>'Raw Data'!J20</f>
        <v>9936</v>
      </c>
      <c r="G26" s="95">
        <f>'Raw Data'!K20</f>
        <v>11898</v>
      </c>
      <c r="H26" s="95">
        <f>'Raw Data'!L20</f>
        <v>12353</v>
      </c>
      <c r="I26" s="95">
        <f>'Raw Data'!M20</f>
        <v>12925</v>
      </c>
      <c r="J26" s="95">
        <f>'Raw Data'!N20</f>
        <v>13600</v>
      </c>
    </row>
    <row r="27" spans="1:10">
      <c r="B27" s="105" t="s">
        <v>130</v>
      </c>
      <c r="C27" s="105"/>
      <c r="D27" s="105"/>
      <c r="E27" s="105"/>
      <c r="F27" s="95">
        <f>'Raw Data'!J21</f>
        <v>2278</v>
      </c>
      <c r="G27" s="95">
        <f>'Raw Data'!K21</f>
        <v>2303</v>
      </c>
      <c r="H27" s="95">
        <f>'Raw Data'!L21</f>
        <v>2326</v>
      </c>
      <c r="I27" s="95">
        <f>'Raw Data'!M21</f>
        <v>2340</v>
      </c>
      <c r="J27" s="95">
        <f>'Raw Data'!N21</f>
        <v>2438</v>
      </c>
    </row>
    <row r="28" spans="1:10">
      <c r="B28" s="105" t="s">
        <v>131</v>
      </c>
      <c r="C28" s="105"/>
      <c r="D28" s="105"/>
      <c r="E28" s="105"/>
      <c r="F28" s="95">
        <f>'Raw Data'!J22</f>
        <v>71</v>
      </c>
      <c r="G28" s="95">
        <f>'Raw Data'!K22</f>
        <v>60</v>
      </c>
      <c r="H28" s="95">
        <f>'Raw Data'!L22</f>
        <v>62</v>
      </c>
      <c r="I28" s="95">
        <f>'Raw Data'!M22</f>
        <v>72</v>
      </c>
      <c r="J28" s="95">
        <f>'Raw Data'!N22</f>
        <v>70</v>
      </c>
    </row>
    <row r="29" spans="1:10">
      <c r="B29" s="105" t="s">
        <v>132</v>
      </c>
      <c r="C29" s="105"/>
      <c r="D29" s="105"/>
      <c r="E29" s="105"/>
      <c r="F29" s="95">
        <f>'Raw Data'!J23</f>
        <v>6495</v>
      </c>
      <c r="G29" s="95">
        <f>'Raw Data'!K23</f>
        <v>7594</v>
      </c>
      <c r="H29" s="95">
        <f>'Raw Data'!L23</f>
        <v>7652</v>
      </c>
      <c r="I29" s="95">
        <f>'Raw Data'!M23</f>
        <v>10626</v>
      </c>
      <c r="J29" s="95">
        <f>'Raw Data'!N23</f>
        <v>12729</v>
      </c>
    </row>
    <row r="30" spans="1:10">
      <c r="B30" s="105" t="s">
        <v>133</v>
      </c>
      <c r="C30" s="105"/>
      <c r="D30" s="105"/>
      <c r="E30" s="105"/>
      <c r="F30" s="95">
        <f>'Raw Data'!J24</f>
        <v>2766</v>
      </c>
      <c r="G30" s="95">
        <f>'Raw Data'!K24</f>
        <v>3281</v>
      </c>
      <c r="H30" s="95">
        <f>'Raw Data'!L24</f>
        <v>3294</v>
      </c>
      <c r="I30" s="95">
        <f>'Raw Data'!M24</f>
        <v>5184</v>
      </c>
      <c r="J30" s="95">
        <f>'Raw Data'!N24</f>
        <v>6296</v>
      </c>
    </row>
    <row r="31" spans="1:10">
      <c r="B31" s="94" t="s">
        <v>134</v>
      </c>
      <c r="C31" s="105"/>
      <c r="D31" s="105"/>
      <c r="E31" s="105"/>
      <c r="F31" s="77">
        <f>'Raw Data'!J25</f>
        <v>45009</v>
      </c>
      <c r="G31" s="77">
        <f>'Raw Data'!K25</f>
        <v>48877</v>
      </c>
      <c r="H31" s="77">
        <f>'Raw Data'!L25</f>
        <v>49195</v>
      </c>
      <c r="I31" s="77">
        <f>'Raw Data'!M25</f>
        <v>54691</v>
      </c>
      <c r="J31" s="77">
        <f>'Raw Data'!N25</f>
        <v>59762</v>
      </c>
    </row>
    <row r="32" spans="1:10">
      <c r="B32" s="105" t="s">
        <v>135</v>
      </c>
      <c r="C32" s="105"/>
      <c r="D32" s="105"/>
      <c r="E32" s="105"/>
      <c r="F32" s="95">
        <f>-('Raw Data'!J26)</f>
        <v>-19209</v>
      </c>
      <c r="G32" s="95">
        <f>-('Raw Data'!K26)</f>
        <v>-19652</v>
      </c>
      <c r="H32" s="95">
        <f>-('Raw Data'!L26)</f>
        <v>-21573</v>
      </c>
      <c r="I32" s="95">
        <f>-('Raw Data'!M26)</f>
        <v>-23730</v>
      </c>
      <c r="J32" s="95">
        <f>-('Raw Data'!N26)</f>
        <v>-25992</v>
      </c>
    </row>
    <row r="33" spans="1:10">
      <c r="A33" s="105" t="s">
        <v>166</v>
      </c>
      <c r="B33" s="71" t="s">
        <v>350</v>
      </c>
      <c r="C33" s="72"/>
      <c r="D33" s="72"/>
      <c r="E33" s="72"/>
      <c r="F33" s="76">
        <f>SUM(F31:F32)</f>
        <v>25800</v>
      </c>
      <c r="G33" s="76">
        <f>SUM(G31:G32)</f>
        <v>29225</v>
      </c>
      <c r="H33" s="76">
        <f>SUM(H31:H32)</f>
        <v>27622</v>
      </c>
      <c r="I33" s="76">
        <f>SUM(I31:I32)</f>
        <v>30961</v>
      </c>
      <c r="J33" s="76">
        <f>SUM(J31:J32)</f>
        <v>33770</v>
      </c>
    </row>
    <row r="34" spans="1:10">
      <c r="B34" s="105"/>
      <c r="C34" s="105"/>
      <c r="D34" s="105"/>
      <c r="E34" s="105"/>
      <c r="F34" s="95"/>
      <c r="G34" s="95"/>
      <c r="H34" s="95"/>
      <c r="I34" s="95"/>
      <c r="J34" s="95"/>
    </row>
    <row r="35" spans="1:10">
      <c r="A35" s="105" t="s">
        <v>166</v>
      </c>
      <c r="B35" s="94" t="s">
        <v>351</v>
      </c>
      <c r="C35" s="105"/>
      <c r="D35" s="105"/>
      <c r="E35" s="105"/>
      <c r="F35" s="77">
        <f>F33+F19</f>
        <v>42998</v>
      </c>
      <c r="G35" s="77">
        <f>G33+G19</f>
        <v>52155</v>
      </c>
      <c r="H35" s="77">
        <f>H33+H19</f>
        <v>57118</v>
      </c>
      <c r="I35" s="77">
        <f>I33+I19</f>
        <v>55620</v>
      </c>
      <c r="J35" s="77">
        <f>J33+J19</f>
        <v>57866</v>
      </c>
    </row>
    <row r="36" spans="1:10">
      <c r="B36" s="105" t="s">
        <v>258</v>
      </c>
      <c r="C36" s="105"/>
      <c r="D36" s="105"/>
      <c r="E36" s="105"/>
      <c r="F36" s="95">
        <f>HistoricalFS!H27+HistoricalFS!I21</f>
        <v>28099</v>
      </c>
      <c r="G36" s="95">
        <f>HistoricalFS!I27+HistoricalFS!J21</f>
        <v>31091</v>
      </c>
      <c r="H36" s="95">
        <f>HistoricalFS!J27+HistoricalFS!K21</f>
        <v>31693</v>
      </c>
      <c r="I36" s="95">
        <f>HistoricalFS!K27+HistoricalFS!L21</f>
        <v>34424</v>
      </c>
      <c r="J36" s="95">
        <f>HistoricalFS!L27+HistoricalFS!M21</f>
        <v>37392</v>
      </c>
    </row>
    <row r="37" spans="1:10">
      <c r="B37" s="105" t="s">
        <v>352</v>
      </c>
      <c r="C37" s="105"/>
      <c r="D37" s="105"/>
      <c r="E37" s="105"/>
      <c r="F37" s="79">
        <v>0.3</v>
      </c>
      <c r="G37" s="79">
        <v>0.3</v>
      </c>
      <c r="H37" s="79">
        <v>0.3</v>
      </c>
      <c r="I37" s="79">
        <v>0.3</v>
      </c>
      <c r="J37" s="79">
        <v>0.3</v>
      </c>
    </row>
    <row r="38" spans="1:10">
      <c r="B38" s="94" t="s">
        <v>353</v>
      </c>
      <c r="C38" s="94"/>
      <c r="D38" s="94"/>
      <c r="E38" s="94"/>
      <c r="F38" s="94">
        <f>F36*(1-F37)</f>
        <v>19669.3</v>
      </c>
      <c r="G38" s="94">
        <f>G36*(1-G37)</f>
        <v>21763.699999999997</v>
      </c>
      <c r="H38" s="94">
        <f>H36*(1-H37)</f>
        <v>22185.1</v>
      </c>
      <c r="I38" s="94">
        <f>I36*(1-I37)</f>
        <v>24096.799999999999</v>
      </c>
      <c r="J38" s="94">
        <f>J36*(1-J37)</f>
        <v>26174.399999999998</v>
      </c>
    </row>
    <row r="39" spans="1:10">
      <c r="B39" s="105"/>
      <c r="C39" s="105"/>
      <c r="D39" s="105"/>
      <c r="E39" s="105"/>
    </row>
    <row r="40" spans="1:10">
      <c r="A40" s="105" t="s">
        <v>166</v>
      </c>
      <c r="B40" s="71" t="s">
        <v>354</v>
      </c>
      <c r="C40" s="72"/>
      <c r="D40" s="72"/>
      <c r="E40" s="72"/>
      <c r="F40" s="78">
        <f>F38/F35</f>
        <v>0.45744685799339502</v>
      </c>
      <c r="G40" s="78">
        <f>G38/G35</f>
        <v>0.41728885054165465</v>
      </c>
      <c r="H40" s="78">
        <f>H38/H35</f>
        <v>0.38840820757029304</v>
      </c>
      <c r="I40" s="78">
        <f>I38/I35</f>
        <v>0.43323984178353109</v>
      </c>
      <c r="J40" s="78">
        <f>J38/J35</f>
        <v>0.45232779179483629</v>
      </c>
    </row>
    <row r="43" spans="1:10">
      <c r="A43" s="105" t="s">
        <v>166</v>
      </c>
      <c r="B43" s="30" t="s">
        <v>355</v>
      </c>
      <c r="C43" s="30"/>
      <c r="D43" s="30"/>
      <c r="E43" s="30"/>
      <c r="F43" s="32">
        <v>44641</v>
      </c>
      <c r="G43" s="32">
        <v>45007</v>
      </c>
      <c r="H43" s="32">
        <v>45373</v>
      </c>
      <c r="I43" s="32">
        <v>45739</v>
      </c>
      <c r="J43" s="32">
        <v>46105</v>
      </c>
    </row>
    <row r="45" spans="1:10">
      <c r="B45" s="105" t="s">
        <v>356</v>
      </c>
      <c r="C45" s="105"/>
      <c r="D45" s="105"/>
      <c r="E45" s="105"/>
      <c r="F45" s="95">
        <f>-'Cash Flow Data'!H11</f>
        <v>2161</v>
      </c>
      <c r="G45" s="95">
        <f>-'Cash Flow Data'!I11</f>
        <v>2579</v>
      </c>
      <c r="H45" s="95">
        <f>-'Cash Flow Data'!J11</f>
        <v>2201</v>
      </c>
      <c r="I45" s="95">
        <f>-'Cash Flow Data'!K11</f>
        <v>2237</v>
      </c>
      <c r="J45" s="95">
        <f>-'Cash Flow Data'!L11</f>
        <v>2727</v>
      </c>
    </row>
    <row r="46" spans="1:10">
      <c r="B46" s="105" t="s">
        <v>357</v>
      </c>
      <c r="C46" s="105"/>
      <c r="D46" s="105"/>
      <c r="E46" s="105"/>
      <c r="F46" s="95"/>
      <c r="G46" s="95">
        <f>G19-F19</f>
        <v>5732</v>
      </c>
      <c r="H46" s="95">
        <f>H19-G19</f>
        <v>6566</v>
      </c>
      <c r="I46" s="95">
        <f>I19-H19</f>
        <v>-4837</v>
      </c>
      <c r="J46" s="95">
        <f>J19-I19</f>
        <v>-563</v>
      </c>
    </row>
    <row r="47" spans="1:10">
      <c r="B47" s="105"/>
      <c r="C47" s="105"/>
      <c r="D47" s="105"/>
      <c r="E47" s="105"/>
      <c r="F47" s="95"/>
      <c r="G47" s="95"/>
      <c r="H47" s="95"/>
      <c r="I47" s="95"/>
      <c r="J47" s="95"/>
    </row>
    <row r="48" spans="1:10">
      <c r="B48" s="105" t="s">
        <v>353</v>
      </c>
      <c r="C48" s="105"/>
      <c r="D48" s="105"/>
      <c r="E48" s="105"/>
      <c r="F48" s="95">
        <f>F38</f>
        <v>19669.3</v>
      </c>
      <c r="G48" s="95">
        <f>G38</f>
        <v>21763.699999999997</v>
      </c>
      <c r="H48" s="95">
        <f>H38</f>
        <v>22185.1</v>
      </c>
      <c r="I48" s="95">
        <f>I38</f>
        <v>24096.799999999999</v>
      </c>
      <c r="J48" s="95">
        <f>J38</f>
        <v>26174.399999999998</v>
      </c>
    </row>
    <row r="50" spans="1:11">
      <c r="B50" s="105" t="s">
        <v>358</v>
      </c>
      <c r="C50" s="105"/>
      <c r="D50" s="105"/>
      <c r="E50" s="105"/>
      <c r="G50" s="95">
        <f>SUM(G45:G46)</f>
        <v>8311</v>
      </c>
      <c r="H50" s="95">
        <f>SUM(H45:H46)</f>
        <v>8767</v>
      </c>
      <c r="I50" s="95">
        <f>SUM(I45:I46)</f>
        <v>-2600</v>
      </c>
      <c r="J50" s="95">
        <f>SUM(J45:J46)</f>
        <v>2164</v>
      </c>
      <c r="K50" s="105"/>
    </row>
    <row r="51" spans="1:11" ht="6.75" customHeight="1">
      <c r="B51" s="105"/>
      <c r="C51" s="105"/>
      <c r="D51" s="105"/>
      <c r="E51" s="105"/>
      <c r="K51" s="105"/>
    </row>
    <row r="52" spans="1:11">
      <c r="A52" s="105" t="s">
        <v>166</v>
      </c>
      <c r="B52" s="71" t="s">
        <v>359</v>
      </c>
      <c r="C52" s="71"/>
      <c r="D52" s="71"/>
      <c r="E52" s="71"/>
      <c r="F52" s="71"/>
      <c r="G52" s="78">
        <f>G50/G48</f>
        <v>0.38187440554685098</v>
      </c>
      <c r="H52" s="78">
        <f>H50/H48</f>
        <v>0.39517514007148946</v>
      </c>
      <c r="I52" s="78">
        <f>I50/I48</f>
        <v>-0.10789814415192059</v>
      </c>
      <c r="J52" s="78">
        <f>J50/J48</f>
        <v>8.2676202701876644E-2</v>
      </c>
      <c r="K52" s="105"/>
    </row>
    <row r="54" spans="1:11">
      <c r="B54" s="105"/>
      <c r="C54" s="105"/>
      <c r="D54" s="105"/>
      <c r="E54" s="105"/>
      <c r="I54" s="106" t="s">
        <v>360</v>
      </c>
      <c r="J54" s="80">
        <f>AVERAGE(G52:J52)</f>
        <v>0.18795690104207413</v>
      </c>
      <c r="K54" s="65"/>
    </row>
    <row r="55" spans="1:11">
      <c r="B55" s="105"/>
      <c r="C55" s="105"/>
      <c r="D55" s="105"/>
      <c r="E55" s="105"/>
      <c r="I55" s="106" t="s">
        <v>361</v>
      </c>
      <c r="J55" s="80">
        <f>MEDIAN(G52:J52)</f>
        <v>0.23227530412436381</v>
      </c>
      <c r="K55" s="65"/>
    </row>
    <row r="58" spans="1:11">
      <c r="B58" s="30" t="s">
        <v>362</v>
      </c>
      <c r="C58" s="30"/>
      <c r="D58" s="30"/>
      <c r="E58" s="30"/>
      <c r="F58" s="32">
        <v>44641</v>
      </c>
      <c r="G58" s="32">
        <v>45007</v>
      </c>
      <c r="H58" s="32">
        <v>45373</v>
      </c>
      <c r="I58" s="32">
        <v>45739</v>
      </c>
      <c r="J58" s="32">
        <v>46105</v>
      </c>
      <c r="K58" s="105"/>
    </row>
    <row r="60" spans="1:11">
      <c r="B60" s="105" t="s">
        <v>359</v>
      </c>
      <c r="C60" s="105"/>
      <c r="D60" s="105"/>
      <c r="E60" s="105"/>
      <c r="G60" s="65">
        <f>G52</f>
        <v>0.38187440554685098</v>
      </c>
      <c r="H60" s="65">
        <f>H52</f>
        <v>0.39517514007148946</v>
      </c>
      <c r="I60" s="65">
        <f>I52</f>
        <v>-0.10789814415192059</v>
      </c>
      <c r="J60" s="65">
        <f>J52</f>
        <v>8.2676202701876644E-2</v>
      </c>
      <c r="K60" s="105"/>
    </row>
    <row r="61" spans="1:11">
      <c r="B61" s="105" t="s">
        <v>354</v>
      </c>
      <c r="C61" s="105"/>
      <c r="D61" s="105"/>
      <c r="E61" s="105"/>
      <c r="G61" s="65">
        <f>G40</f>
        <v>0.41728885054165465</v>
      </c>
      <c r="H61" s="65">
        <f>H40</f>
        <v>0.38840820757029304</v>
      </c>
      <c r="I61" s="65">
        <f>I40</f>
        <v>0.43323984178353109</v>
      </c>
      <c r="J61" s="65">
        <f>J40</f>
        <v>0.45232779179483629</v>
      </c>
      <c r="K61" s="105"/>
    </row>
    <row r="62" spans="1:11" ht="7.5" customHeight="1">
      <c r="B62" s="105"/>
      <c r="C62" s="105"/>
      <c r="D62" s="105"/>
      <c r="E62" s="105"/>
      <c r="G62" s="65"/>
      <c r="H62" s="65"/>
      <c r="I62" s="65"/>
      <c r="J62" s="65"/>
      <c r="K62" s="105"/>
    </row>
    <row r="63" spans="1:11">
      <c r="A63" s="105" t="s">
        <v>166</v>
      </c>
      <c r="B63" s="74" t="s">
        <v>363</v>
      </c>
      <c r="C63" s="74"/>
      <c r="D63" s="74"/>
      <c r="E63" s="74"/>
      <c r="F63" s="74"/>
      <c r="G63" s="81">
        <f>G61*G60</f>
        <v>0.15935193174192311</v>
      </c>
      <c r="H63" s="81">
        <f>H61*H60</f>
        <v>0.15348926783150671</v>
      </c>
      <c r="I63" s="81">
        <f>I61*I60</f>
        <v>-4.6745774901114708E-2</v>
      </c>
      <c r="J63" s="81">
        <f>J61*J60</f>
        <v>3.7396744202122141E-2</v>
      </c>
      <c r="K63" s="105"/>
    </row>
    <row r="64" spans="1:11">
      <c r="B64" s="105"/>
      <c r="C64" s="105"/>
      <c r="D64" s="105"/>
      <c r="E64" s="105"/>
      <c r="G64" s="65"/>
      <c r="H64" s="65"/>
      <c r="I64" s="65"/>
      <c r="J64" s="65"/>
      <c r="K64" s="105"/>
    </row>
    <row r="65" spans="7:10">
      <c r="G65" s="65"/>
      <c r="H65" s="65"/>
      <c r="I65" s="80" t="s">
        <v>360</v>
      </c>
      <c r="J65" s="80">
        <f>AVERAGE(G63:J63)</f>
        <v>7.5873042218609313E-2</v>
      </c>
    </row>
    <row r="66" spans="7:10">
      <c r="G66" s="65"/>
      <c r="H66" s="65"/>
      <c r="I66" s="80" t="s">
        <v>361</v>
      </c>
      <c r="J66" s="80">
        <f>MEDIAN(G63:J63)</f>
        <v>9.5443006016814436E-2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K46"/>
  <sheetViews>
    <sheetView showGridLines="0" workbookViewId="0">
      <selection activeCell="G31" sqref="G31"/>
    </sheetView>
  </sheetViews>
  <sheetFormatPr defaultRowHeight="15"/>
  <cols>
    <col min="1" max="1" width="1.85546875" style="105" customWidth="1"/>
    <col min="5" max="5" width="12" style="105" customWidth="1"/>
    <col min="6" max="6" width="11.42578125" style="105" bestFit="1" customWidth="1"/>
    <col min="7" max="11" width="9.28515625" style="105" bestFit="1" customWidth="1"/>
  </cols>
  <sheetData>
    <row r="3" spans="2:11">
      <c r="B3" s="30" t="s">
        <v>364</v>
      </c>
      <c r="C3" s="30"/>
      <c r="D3" s="30"/>
      <c r="E3" s="30"/>
      <c r="F3" s="118">
        <v>46102</v>
      </c>
      <c r="G3" s="119">
        <v>46468</v>
      </c>
      <c r="H3" s="119">
        <v>46835</v>
      </c>
      <c r="I3" s="119">
        <v>47202</v>
      </c>
      <c r="J3" s="119">
        <v>47569</v>
      </c>
      <c r="K3" s="119">
        <v>47936</v>
      </c>
    </row>
    <row r="4" spans="2:11">
      <c r="B4" s="105"/>
      <c r="C4" s="105"/>
      <c r="D4" s="105"/>
      <c r="F4" s="85"/>
    </row>
    <row r="5" spans="2:11">
      <c r="B5" s="105" t="s">
        <v>258</v>
      </c>
      <c r="C5" s="105"/>
      <c r="D5" s="105"/>
      <c r="F5" s="51">
        <f>HistoricalFS!L27+HistoricalFS!L21</f>
        <v>37378</v>
      </c>
      <c r="G5" s="33">
        <f>F5*(1+$D$20)</f>
        <v>40945.468678896497</v>
      </c>
      <c r="H5" s="33">
        <f>G5*(1+$D$20)</f>
        <v>44853.42729237771</v>
      </c>
      <c r="I5" s="33">
        <f>H5*(1+$D$20)</f>
        <v>49134.373223318871</v>
      </c>
      <c r="J5" s="33">
        <f>I5*(1+$D$20)</f>
        <v>53823.905502504509</v>
      </c>
      <c r="K5" s="33">
        <f>J5*(1+$D$20)</f>
        <v>58961.020839228506</v>
      </c>
    </row>
    <row r="6" spans="2:11">
      <c r="B6" s="105"/>
      <c r="C6" s="105"/>
      <c r="D6" s="105"/>
      <c r="F6" s="85"/>
    </row>
    <row r="7" spans="2:11">
      <c r="B7" s="105" t="s">
        <v>330</v>
      </c>
      <c r="C7" s="105"/>
      <c r="D7" s="105"/>
      <c r="F7" s="86">
        <v>0.3</v>
      </c>
      <c r="G7" s="65">
        <f>F7</f>
        <v>0.3</v>
      </c>
      <c r="H7" s="65">
        <f>G7</f>
        <v>0.3</v>
      </c>
      <c r="I7" s="65">
        <f>H7</f>
        <v>0.3</v>
      </c>
      <c r="J7" s="65">
        <f>I7</f>
        <v>0.3</v>
      </c>
      <c r="K7" s="65">
        <f>J7</f>
        <v>0.3</v>
      </c>
    </row>
    <row r="8" spans="2:11">
      <c r="B8" s="105"/>
      <c r="C8" s="105"/>
      <c r="D8" s="105"/>
      <c r="F8" s="85"/>
    </row>
    <row r="9" spans="2:11">
      <c r="B9" s="105" t="s">
        <v>365</v>
      </c>
      <c r="C9" s="105"/>
      <c r="D9" s="105"/>
      <c r="F9" s="51">
        <f>F5*(1-F7)</f>
        <v>26164.6</v>
      </c>
      <c r="G9" s="33">
        <f>G5*(1-G7)</f>
        <v>28661.828075227546</v>
      </c>
      <c r="H9" s="33">
        <f>H5*(1-H7)</f>
        <v>31397.399104664393</v>
      </c>
      <c r="I9" s="33">
        <f>I5*(1-I7)</f>
        <v>34394.061256323206</v>
      </c>
      <c r="J9" s="33">
        <f>J5*(1-J7)</f>
        <v>37676.733851753153</v>
      </c>
      <c r="K9" s="33">
        <f>K5*(1-K7)</f>
        <v>41272.714587459952</v>
      </c>
    </row>
    <row r="10" spans="2:11">
      <c r="B10" s="105"/>
      <c r="C10" s="105"/>
      <c r="D10" s="105"/>
      <c r="F10" s="85"/>
    </row>
    <row r="11" spans="2:11">
      <c r="B11" s="105" t="s">
        <v>366</v>
      </c>
      <c r="C11" s="105"/>
      <c r="D11" s="105"/>
      <c r="F11" s="96">
        <f>'Intrinsic Growth'!J55</f>
        <v>0.23227530412436381</v>
      </c>
      <c r="G11" s="65">
        <f>F11</f>
        <v>0.23227530412436381</v>
      </c>
      <c r="H11" s="65">
        <f>G11</f>
        <v>0.23227530412436381</v>
      </c>
      <c r="I11" s="65">
        <f>H11</f>
        <v>0.23227530412436381</v>
      </c>
      <c r="J11" s="65">
        <f>I11</f>
        <v>0.23227530412436381</v>
      </c>
      <c r="K11" s="65">
        <f>J11</f>
        <v>0.23227530412436381</v>
      </c>
    </row>
    <row r="12" spans="2:11">
      <c r="B12" s="105"/>
      <c r="C12" s="105"/>
      <c r="D12" s="105"/>
      <c r="F12" s="85"/>
    </row>
    <row r="13" spans="2:11">
      <c r="B13" s="71" t="s">
        <v>367</v>
      </c>
      <c r="C13" s="71"/>
      <c r="D13" s="71"/>
      <c r="E13" s="71"/>
      <c r="F13" s="87">
        <f>F9*(1-F11)</f>
        <v>20087.209577707668</v>
      </c>
      <c r="G13" s="82">
        <f>G9*(1-G11)</f>
        <v>22004.393242293838</v>
      </c>
      <c r="H13" s="82">
        <f>H9*(1-H11)</f>
        <v>24104.558678914444</v>
      </c>
      <c r="I13" s="82">
        <f>I9*(1-I11)</f>
        <v>26405.170217938736</v>
      </c>
      <c r="J13" s="82">
        <f>J9*(1-J11)</f>
        <v>28925.359037924478</v>
      </c>
      <c r="K13" s="82">
        <f>K9*(1-K11)</f>
        <v>31686.082254619625</v>
      </c>
    </row>
    <row r="14" spans="2:11">
      <c r="B14" s="105"/>
      <c r="C14" s="105"/>
      <c r="D14" s="105"/>
      <c r="F14" s="85"/>
    </row>
    <row r="15" spans="2:11">
      <c r="B15" s="105" t="s">
        <v>368</v>
      </c>
      <c r="C15" s="105"/>
      <c r="D15" s="105"/>
      <c r="F15" s="85"/>
      <c r="G15" s="105">
        <v>0.5</v>
      </c>
      <c r="H15" s="105">
        <f>G15+1</f>
        <v>1.5</v>
      </c>
      <c r="I15" s="105">
        <f>H15+1</f>
        <v>2.5</v>
      </c>
      <c r="J15" s="105">
        <f>I15+1</f>
        <v>3.5</v>
      </c>
      <c r="K15" s="105">
        <f>J15+1</f>
        <v>4.5</v>
      </c>
    </row>
    <row r="16" spans="2:11">
      <c r="B16" s="105" t="s">
        <v>369</v>
      </c>
      <c r="C16" s="105"/>
      <c r="D16" s="105"/>
      <c r="F16" s="85"/>
      <c r="G16" s="33">
        <f>1/(1+$D$22)^G15</f>
        <v>0.94379072035423228</v>
      </c>
      <c r="H16" s="33">
        <f>1/(1+$D$22)^H15</f>
        <v>0.84067301814745277</v>
      </c>
      <c r="I16" s="33">
        <f>1/(1+$D$22)^I15</f>
        <v>0.74882186082089319</v>
      </c>
      <c r="J16" s="33">
        <f>1/(1+$D$22)^J15</f>
        <v>0.66700627608927654</v>
      </c>
      <c r="K16" s="33">
        <f>1/(1+$D$22)^K15</f>
        <v>0.59412978656200954</v>
      </c>
    </row>
    <row r="17" spans="2:11">
      <c r="B17" s="105"/>
      <c r="C17" s="105"/>
      <c r="D17" s="105"/>
      <c r="F17" s="85"/>
    </row>
    <row r="18" spans="2:11">
      <c r="B18" s="71" t="s">
        <v>370</v>
      </c>
      <c r="C18" s="71"/>
      <c r="D18" s="71"/>
      <c r="E18" s="71"/>
      <c r="F18" s="88"/>
      <c r="G18" s="82">
        <f>G13*G16</f>
        <v>20767.542149102301</v>
      </c>
      <c r="H18" s="82">
        <f>H13*H16</f>
        <v>20264.052095715382</v>
      </c>
      <c r="I18" s="82">
        <f>I13*I16</f>
        <v>19772.768697889314</v>
      </c>
      <c r="J18" s="82">
        <f>J13*J16</f>
        <v>19293.396016431303</v>
      </c>
      <c r="K18" s="82">
        <f>K13*K16</f>
        <v>18825.645286923434</v>
      </c>
    </row>
    <row r="20" spans="2:11">
      <c r="B20" s="83" t="s">
        <v>371</v>
      </c>
      <c r="C20" s="83"/>
      <c r="D20" s="84">
        <f>'Intrinsic Growth'!J66</f>
        <v>9.5443006016814436E-2</v>
      </c>
    </row>
    <row r="21" spans="2:11">
      <c r="B21" s="83" t="s">
        <v>372</v>
      </c>
      <c r="C21" s="83"/>
      <c r="D21" s="84">
        <v>5.3800000000000001E-2</v>
      </c>
    </row>
    <row r="22" spans="2:11">
      <c r="B22" s="83" t="s">
        <v>373</v>
      </c>
      <c r="C22" s="83"/>
      <c r="D22" s="84">
        <f>WACC!J40</f>
        <v>0.12266089190540991</v>
      </c>
    </row>
    <row r="25" spans="2:11">
      <c r="B25" s="30" t="s">
        <v>374</v>
      </c>
      <c r="C25" s="30"/>
      <c r="D25" s="30"/>
      <c r="E25" s="30"/>
    </row>
    <row r="26" spans="2:11">
      <c r="B26" s="105"/>
      <c r="C26" s="105"/>
      <c r="D26" s="105"/>
      <c r="G26" s="89" t="s">
        <v>375</v>
      </c>
      <c r="H26" s="90"/>
      <c r="I26" s="90"/>
      <c r="J26" s="90"/>
      <c r="K26" s="90"/>
    </row>
    <row r="27" spans="2:11">
      <c r="B27" s="105" t="s">
        <v>376</v>
      </c>
      <c r="C27" s="105"/>
      <c r="D27" s="105"/>
      <c r="E27" s="33">
        <f>K13*(1+D21)</f>
        <v>33390.79347991816</v>
      </c>
      <c r="G27" s="120">
        <f>E44</f>
        <v>985.80000770803429</v>
      </c>
      <c r="H27" s="121">
        <v>0.115</v>
      </c>
      <c r="I27" s="121">
        <v>0.12266089190540991</v>
      </c>
      <c r="J27" s="121">
        <v>0.13931253902149121</v>
      </c>
      <c r="K27" s="121">
        <v>0.14499999999999999</v>
      </c>
    </row>
    <row r="28" spans="2:11">
      <c r="B28" s="105" t="s">
        <v>373</v>
      </c>
      <c r="C28" s="105"/>
      <c r="D28" s="105"/>
      <c r="E28" s="65">
        <f>D22</f>
        <v>0.12266089190540991</v>
      </c>
      <c r="G28" s="122">
        <v>0.03</v>
      </c>
      <c r="H28" s="123">
        <f t="dataTable" ref="H28:K32" dt2D="1" dtr="1" r1="D22" r2="D21"/>
        <v>859.74229160359914</v>
      </c>
      <c r="I28" s="123">
        <v>791.53784424825483</v>
      </c>
      <c r="J28" s="123">
        <v>676.37366203304839</v>
      </c>
      <c r="K28" s="123">
        <v>644.71146680976472</v>
      </c>
    </row>
    <row r="29" spans="2:11">
      <c r="B29" s="105" t="s">
        <v>377</v>
      </c>
      <c r="C29" s="105"/>
      <c r="D29" s="105"/>
      <c r="E29" s="65">
        <f>D21</f>
        <v>5.3800000000000001E-2</v>
      </c>
      <c r="G29" s="122">
        <v>0.04</v>
      </c>
      <c r="H29" s="123">
        <v>943.41970334499229</v>
      </c>
      <c r="I29" s="123">
        <v>859.53391553797167</v>
      </c>
      <c r="J29" s="123">
        <v>721.93813237713186</v>
      </c>
      <c r="K29" s="123">
        <v>684.96871828777967</v>
      </c>
    </row>
    <row r="30" spans="2:11">
      <c r="B30" s="105"/>
      <c r="C30" s="105"/>
      <c r="D30" s="105"/>
      <c r="G30" s="122">
        <v>5.3800000000000001E-2</v>
      </c>
      <c r="H30" s="123">
        <v>1103.8014091826626</v>
      </c>
      <c r="I30" s="130">
        <v>985.80000770803429</v>
      </c>
      <c r="J30" s="131">
        <v>802.31768652528581</v>
      </c>
      <c r="K30" s="123">
        <v>755.02163286629866</v>
      </c>
    </row>
    <row r="31" spans="2:11">
      <c r="B31" s="74" t="s">
        <v>378</v>
      </c>
      <c r="C31" s="74"/>
      <c r="D31" s="74"/>
      <c r="E31" s="91">
        <f>E27/(E28-E29)</f>
        <v>484902.13466571271</v>
      </c>
      <c r="G31" s="122">
        <v>0.06</v>
      </c>
      <c r="H31" s="123">
        <v>1202.0589760002076</v>
      </c>
      <c r="I31" s="123">
        <v>1060.6346793534647</v>
      </c>
      <c r="J31" s="123">
        <v>847.53663178039994</v>
      </c>
      <c r="K31" s="123">
        <v>793.90010464005502</v>
      </c>
    </row>
    <row r="32" spans="2:11">
      <c r="B32" s="105"/>
      <c r="C32" s="105"/>
      <c r="D32" s="105"/>
      <c r="G32" s="122">
        <v>7.0000000000000007E-2</v>
      </c>
      <c r="H32" s="123">
        <v>1417.5917032128873</v>
      </c>
      <c r="I32" s="123">
        <v>1218.4668760593863</v>
      </c>
      <c r="J32" s="123">
        <v>937.51678579813279</v>
      </c>
      <c r="K32" s="123">
        <v>870.15207508664776</v>
      </c>
    </row>
    <row r="34" spans="1:5">
      <c r="B34" s="89" t="s">
        <v>379</v>
      </c>
      <c r="C34" s="90"/>
      <c r="D34" s="90"/>
      <c r="E34" s="90"/>
    </row>
    <row r="36" spans="1:5">
      <c r="B36" s="105" t="s">
        <v>370</v>
      </c>
      <c r="C36" s="105"/>
      <c r="D36" s="105"/>
      <c r="E36" s="92">
        <f>SUM(G18:K18)</f>
        <v>98923.404246061735</v>
      </c>
    </row>
    <row r="37" spans="1:5">
      <c r="B37" s="105" t="s">
        <v>380</v>
      </c>
      <c r="C37" s="105"/>
      <c r="D37" s="105"/>
      <c r="E37" s="33">
        <f>E31*K16</f>
        <v>288094.80177240272</v>
      </c>
    </row>
    <row r="38" spans="1:5">
      <c r="B38" s="94" t="s">
        <v>381</v>
      </c>
      <c r="C38" s="94"/>
      <c r="D38" s="94"/>
      <c r="E38" s="93">
        <f>SUM(E36:E37)</f>
        <v>387018.20601846447</v>
      </c>
    </row>
    <row r="39" spans="1:5">
      <c r="B39" s="105"/>
      <c r="C39" s="105"/>
      <c r="D39" s="105"/>
      <c r="E39" s="33"/>
    </row>
    <row r="40" spans="1:5">
      <c r="B40" s="105" t="s">
        <v>382</v>
      </c>
      <c r="C40" s="105"/>
      <c r="D40" s="105"/>
      <c r="E40" s="33">
        <f>'Data Sheet'!K69</f>
        <v>22201</v>
      </c>
    </row>
    <row r="41" spans="1:5">
      <c r="B41" s="105" t="s">
        <v>383</v>
      </c>
      <c r="C41" s="105"/>
      <c r="D41" s="105"/>
      <c r="E41" s="33">
        <f>'Data Sheet'!K59</f>
        <v>9176</v>
      </c>
    </row>
    <row r="42" spans="1:5">
      <c r="B42" s="94" t="s">
        <v>384</v>
      </c>
      <c r="C42" s="94"/>
      <c r="D42" s="94"/>
      <c r="E42" s="93">
        <f>E38+E40-E41</f>
        <v>400043.20601846447</v>
      </c>
    </row>
    <row r="43" spans="1:5">
      <c r="B43" s="105" t="s">
        <v>385</v>
      </c>
      <c r="C43" s="105"/>
      <c r="D43" s="105"/>
      <c r="E43" s="92">
        <f>'Data Sheet'!B6</f>
        <v>405.80564302140459</v>
      </c>
    </row>
    <row r="44" spans="1:5">
      <c r="A44" s="94"/>
      <c r="B44" s="74" t="s">
        <v>386</v>
      </c>
      <c r="C44" s="74"/>
      <c r="D44" s="74"/>
      <c r="E44" s="91">
        <f>E42/E43</f>
        <v>985.80000770803429</v>
      </c>
    </row>
    <row r="46" spans="1:5">
      <c r="B46" s="105"/>
      <c r="C46" s="105"/>
      <c r="D46" s="105"/>
      <c r="E46" s="33" t="str">
        <f>IF(E44&gt;'Comps-Valuation'!D9,"Undervalued","Overvalued")</f>
        <v>Overvalued</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AR37"/>
  <sheetViews>
    <sheetView showGridLines="0" topLeftCell="C4" workbookViewId="0">
      <selection activeCell="V4" sqref="V4"/>
    </sheetView>
  </sheetViews>
  <sheetFormatPr defaultRowHeight="15"/>
  <cols>
    <col min="1" max="1" width="1.85546875" style="105" customWidth="1"/>
    <col min="4" max="4" width="12.140625" style="105" customWidth="1"/>
    <col min="5" max="5" width="13.140625" style="105" customWidth="1"/>
    <col min="6" max="6" width="10.85546875" style="105" customWidth="1"/>
    <col min="7" max="7" width="11" style="105" customWidth="1"/>
    <col min="8" max="8" width="11.5703125" style="105" customWidth="1"/>
    <col min="10" max="10" width="1.85546875" style="105" customWidth="1"/>
    <col min="11" max="11" width="9.85546875" style="29" bestFit="1" customWidth="1"/>
    <col min="12" max="12" width="9.28515625" style="29" bestFit="1" customWidth="1"/>
    <col min="13" max="13" width="11.42578125" style="29" bestFit="1" customWidth="1"/>
    <col min="14" max="14" width="1.85546875" style="29" customWidth="1"/>
    <col min="15" max="17" width="12.42578125" style="29" bestFit="1" customWidth="1"/>
  </cols>
  <sheetData>
    <row r="3" spans="2:44">
      <c r="B3" s="17" t="s">
        <v>387</v>
      </c>
      <c r="C3" s="105"/>
      <c r="I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5"/>
      <c r="AQ3" s="105"/>
      <c r="AR3" s="105"/>
    </row>
    <row r="4" spans="2:44" ht="15.75" customHeight="1">
      <c r="B4" s="97" t="s">
        <v>388</v>
      </c>
      <c r="C4" s="97"/>
      <c r="D4" s="97"/>
      <c r="I4" s="105"/>
      <c r="R4" s="105"/>
      <c r="S4" s="105"/>
      <c r="T4" s="105"/>
      <c r="U4" s="105"/>
      <c r="V4" s="105"/>
      <c r="W4" s="105"/>
      <c r="X4" s="105"/>
      <c r="Y4" s="105"/>
      <c r="Z4" s="105"/>
      <c r="AA4" s="105"/>
      <c r="AB4" s="105"/>
      <c r="AC4" s="105"/>
      <c r="AD4" s="105"/>
      <c r="AE4" s="105"/>
      <c r="AF4" s="105"/>
      <c r="AG4" s="105"/>
      <c r="AH4" s="105"/>
      <c r="AI4" s="105"/>
      <c r="AJ4" s="105"/>
      <c r="AK4" s="105"/>
      <c r="AL4" s="105"/>
      <c r="AM4" s="105"/>
      <c r="AN4" s="105"/>
      <c r="AO4" s="105"/>
      <c r="AP4" s="105"/>
      <c r="AQ4" s="105"/>
      <c r="AR4" s="105"/>
    </row>
    <row r="5" spans="2:44" ht="6" customHeight="1">
      <c r="B5" s="105"/>
      <c r="C5" s="105"/>
      <c r="I5" s="105"/>
      <c r="R5" s="105"/>
      <c r="S5" s="105"/>
      <c r="T5" s="105"/>
      <c r="U5" s="105"/>
      <c r="V5" s="105"/>
      <c r="W5" s="105"/>
      <c r="X5" s="105"/>
      <c r="Y5" s="105"/>
      <c r="Z5" s="105"/>
      <c r="AA5" s="105"/>
      <c r="AB5" s="105"/>
      <c r="AC5" s="105"/>
      <c r="AD5" s="105"/>
      <c r="AE5" s="105"/>
      <c r="AF5" s="105"/>
      <c r="AG5" s="105"/>
      <c r="AH5" s="105"/>
      <c r="AI5" s="105"/>
      <c r="AJ5" s="105"/>
      <c r="AK5" s="105"/>
      <c r="AL5" s="105"/>
      <c r="AM5" s="105"/>
      <c r="AN5" s="105"/>
      <c r="AO5" s="105"/>
      <c r="AP5" s="105"/>
      <c r="AQ5" s="105"/>
      <c r="AR5" s="105"/>
    </row>
    <row r="6" spans="2:44" ht="12" customHeight="1">
      <c r="B6" s="90"/>
      <c r="C6" s="90"/>
      <c r="D6" s="203" t="s">
        <v>389</v>
      </c>
      <c r="E6" s="202"/>
      <c r="F6" s="202"/>
      <c r="G6" s="202"/>
      <c r="H6" s="202"/>
      <c r="I6" s="202"/>
      <c r="J6" s="90"/>
      <c r="K6" s="201" t="s">
        <v>390</v>
      </c>
      <c r="L6" s="202"/>
      <c r="M6" s="202"/>
      <c r="N6" s="102"/>
      <c r="O6" s="201" t="s">
        <v>391</v>
      </c>
      <c r="P6" s="202"/>
      <c r="Q6" s="202"/>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row>
    <row r="7" spans="2:44" ht="44.25" customHeight="1">
      <c r="B7" s="98" t="s">
        <v>392</v>
      </c>
      <c r="C7" s="89"/>
      <c r="D7" s="99" t="s">
        <v>393</v>
      </c>
      <c r="E7" s="100" t="s">
        <v>394</v>
      </c>
      <c r="F7" s="100" t="s">
        <v>395</v>
      </c>
      <c r="G7" s="99" t="s">
        <v>396</v>
      </c>
      <c r="H7" s="100" t="s">
        <v>397</v>
      </c>
      <c r="I7" s="101"/>
      <c r="J7" s="99"/>
      <c r="K7" s="103" t="s">
        <v>398</v>
      </c>
      <c r="L7" s="103" t="s">
        <v>86</v>
      </c>
      <c r="M7" s="103" t="s">
        <v>262</v>
      </c>
      <c r="N7" s="103"/>
      <c r="O7" s="103" t="s">
        <v>399</v>
      </c>
      <c r="P7" s="103" t="s">
        <v>400</v>
      </c>
      <c r="Q7" s="103" t="s">
        <v>401</v>
      </c>
      <c r="R7" s="105"/>
      <c r="S7" s="105"/>
      <c r="T7" s="105"/>
      <c r="U7" s="105"/>
      <c r="V7" s="105"/>
      <c r="W7" s="105"/>
      <c r="X7" s="105"/>
      <c r="Y7" s="105"/>
      <c r="Z7" s="105"/>
      <c r="AA7" s="105"/>
      <c r="AB7" s="105"/>
      <c r="AC7" s="105"/>
      <c r="AD7" s="105"/>
      <c r="AE7" s="105"/>
      <c r="AF7" s="105"/>
      <c r="AG7" s="105"/>
      <c r="AH7" s="105"/>
      <c r="AI7" s="105"/>
      <c r="AJ7" s="105"/>
      <c r="AK7" s="105"/>
      <c r="AL7" s="105"/>
      <c r="AM7" s="105"/>
      <c r="AN7" s="105"/>
      <c r="AO7" s="105"/>
      <c r="AP7" s="105"/>
      <c r="AQ7" s="105"/>
      <c r="AR7" s="105"/>
    </row>
    <row r="8" spans="2:44" ht="6" customHeight="1">
      <c r="B8" s="105"/>
      <c r="C8" s="105"/>
      <c r="I8" s="105"/>
      <c r="R8" s="105"/>
      <c r="S8" s="105"/>
      <c r="T8" s="105"/>
      <c r="U8" s="105"/>
      <c r="V8" s="105"/>
      <c r="W8" s="105"/>
      <c r="X8" s="105"/>
      <c r="Y8" s="105"/>
      <c r="Z8" s="105"/>
      <c r="AA8" s="105"/>
      <c r="AB8" s="105"/>
      <c r="AC8" s="105"/>
      <c r="AD8" s="105"/>
      <c r="AE8" s="105"/>
      <c r="AF8" s="105"/>
      <c r="AG8" s="105"/>
      <c r="AH8" s="105"/>
      <c r="AI8" s="105"/>
      <c r="AJ8" s="105"/>
      <c r="AK8" s="105"/>
      <c r="AL8" s="105"/>
      <c r="AM8" s="105"/>
      <c r="AN8" s="105"/>
      <c r="AO8" s="105"/>
      <c r="AP8" s="105"/>
      <c r="AQ8" s="105"/>
      <c r="AR8" s="105"/>
    </row>
    <row r="9" spans="2:44">
      <c r="B9" s="83" t="s">
        <v>318</v>
      </c>
      <c r="C9" s="83"/>
      <c r="D9" s="112">
        <v>1134.25</v>
      </c>
      <c r="E9" s="117">
        <v>405.82</v>
      </c>
      <c r="F9" s="112">
        <f>D9*E9</f>
        <v>460301.33500000002</v>
      </c>
      <c r="G9" s="83">
        <v>-13464</v>
      </c>
      <c r="H9" s="112">
        <f>F9+G9</f>
        <v>446837.33500000002</v>
      </c>
      <c r="I9" s="83"/>
      <c r="J9" s="83"/>
      <c r="K9" s="83">
        <v>184582</v>
      </c>
      <c r="L9" s="112">
        <v>48009</v>
      </c>
      <c r="M9" s="112">
        <v>30325</v>
      </c>
      <c r="N9" s="113"/>
      <c r="O9" s="124">
        <f>H9/K9</f>
        <v>2.4208066604544323</v>
      </c>
      <c r="P9" s="124">
        <f>H9/L9</f>
        <v>9.3073660147055772</v>
      </c>
      <c r="Q9" s="124">
        <f>F9/M9</f>
        <v>15.178939323990107</v>
      </c>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row>
    <row r="10" spans="2:44">
      <c r="B10" s="105" t="s">
        <v>320</v>
      </c>
      <c r="C10" s="105"/>
      <c r="D10" s="104">
        <v>2341.1999999999998</v>
      </c>
      <c r="E10" s="33">
        <v>361.81</v>
      </c>
      <c r="F10" s="104">
        <f>D10*E10</f>
        <v>847069.57199999993</v>
      </c>
      <c r="G10" s="105">
        <v>-1625</v>
      </c>
      <c r="H10" s="104">
        <f>F10+G10</f>
        <v>845444.57199999993</v>
      </c>
      <c r="I10" s="105"/>
      <c r="K10" s="105">
        <v>275859</v>
      </c>
      <c r="L10" s="104">
        <v>78389</v>
      </c>
      <c r="M10" s="104">
        <v>50055</v>
      </c>
      <c r="O10" s="125">
        <f>H10/K10</f>
        <v>3.0647706690736931</v>
      </c>
      <c r="P10" s="125">
        <f>H10/L10</f>
        <v>10.785245021622931</v>
      </c>
      <c r="Q10" s="125">
        <f>F10/M10</f>
        <v>16.922776385975425</v>
      </c>
      <c r="R10" s="105"/>
      <c r="S10" s="105"/>
      <c r="T10" s="105"/>
      <c r="U10" s="105"/>
      <c r="V10" s="105"/>
      <c r="W10" s="105"/>
      <c r="X10" s="105"/>
      <c r="Y10" s="105"/>
      <c r="Z10" s="105"/>
      <c r="AA10" s="105"/>
      <c r="AB10" s="105"/>
      <c r="AC10" s="105"/>
      <c r="AD10" s="105"/>
      <c r="AE10" s="105"/>
      <c r="AF10" s="105"/>
      <c r="AG10" s="105"/>
      <c r="AH10" s="105"/>
      <c r="AI10" s="105"/>
      <c r="AJ10" s="105"/>
      <c r="AK10" s="105"/>
      <c r="AL10" s="105"/>
      <c r="AM10" s="105"/>
      <c r="AN10" s="105"/>
      <c r="AO10" s="105"/>
      <c r="AP10" s="105"/>
      <c r="AQ10" s="105"/>
      <c r="AR10" s="105"/>
    </row>
    <row r="11" spans="2:44">
      <c r="B11" s="105" t="s">
        <v>321</v>
      </c>
      <c r="C11" s="105"/>
      <c r="D11" s="104">
        <v>1331.6</v>
      </c>
      <c r="E11" s="33">
        <v>271.37</v>
      </c>
      <c r="F11" s="104">
        <f>D11*E11</f>
        <v>361356.29199999996</v>
      </c>
      <c r="G11" s="105">
        <v>-18210</v>
      </c>
      <c r="H11" s="104">
        <f>F11+G11</f>
        <v>343146.29199999996</v>
      </c>
      <c r="I11" s="105"/>
      <c r="K11" s="105">
        <v>134374</v>
      </c>
      <c r="L11" s="104">
        <v>29022</v>
      </c>
      <c r="M11" s="104">
        <v>17434</v>
      </c>
      <c r="O11" s="125">
        <f>H11/K11</f>
        <v>2.5536658282108142</v>
      </c>
      <c r="P11" s="125">
        <f>H11/L11</f>
        <v>11.823661084694368</v>
      </c>
      <c r="Q11" s="125">
        <f>F11/M11</f>
        <v>20.727101755191004</v>
      </c>
      <c r="R11" s="105"/>
      <c r="S11" s="105"/>
      <c r="T11" s="105"/>
      <c r="U11" s="105"/>
      <c r="V11" s="105"/>
      <c r="W11" s="105"/>
      <c r="X11" s="105"/>
      <c r="Y11" s="105"/>
      <c r="Z11" s="105"/>
      <c r="AA11" s="105"/>
      <c r="AB11" s="105"/>
      <c r="AC11" s="105"/>
      <c r="AD11" s="105"/>
      <c r="AE11" s="105"/>
      <c r="AF11" s="105"/>
      <c r="AG11" s="68"/>
      <c r="AH11" s="105"/>
      <c r="AI11" s="105"/>
      <c r="AJ11" s="105"/>
      <c r="AK11" s="105"/>
      <c r="AL11" s="105"/>
      <c r="AM11" s="105"/>
      <c r="AN11" s="105"/>
      <c r="AO11" s="105"/>
      <c r="AP11" s="105"/>
      <c r="AQ11" s="68"/>
      <c r="AR11" s="105"/>
    </row>
    <row r="12" spans="2:44">
      <c r="B12" s="105" t="s">
        <v>322</v>
      </c>
      <c r="C12" s="105"/>
      <c r="D12" s="104">
        <v>177.95</v>
      </c>
      <c r="E12" s="33">
        <v>990.47</v>
      </c>
      <c r="F12" s="104">
        <f>D12*E12</f>
        <v>176254.13649999999</v>
      </c>
      <c r="G12" s="105">
        <v>9735.5</v>
      </c>
      <c r="H12" s="104">
        <f>F12+G12</f>
        <v>185989.63649999999</v>
      </c>
      <c r="I12" s="105"/>
      <c r="K12" s="105">
        <v>94968</v>
      </c>
      <c r="L12" s="104">
        <v>22017.7</v>
      </c>
      <c r="M12" s="104">
        <v>13285.3</v>
      </c>
      <c r="O12" s="125">
        <f>H12/K12</f>
        <v>1.9584453342178418</v>
      </c>
      <c r="P12" s="125">
        <f>H12/L12</f>
        <v>8.4472781671110049</v>
      </c>
      <c r="Q12" s="125">
        <f>F12/M12</f>
        <v>13.266854079320753</v>
      </c>
      <c r="R12" s="105"/>
      <c r="S12" s="105"/>
      <c r="T12" s="105"/>
      <c r="U12" s="105"/>
      <c r="V12" s="105"/>
      <c r="W12" s="105"/>
      <c r="X12" s="105"/>
      <c r="Y12" s="105"/>
      <c r="Z12" s="105"/>
      <c r="AA12" s="105"/>
      <c r="AB12" s="105"/>
      <c r="AC12" s="105"/>
      <c r="AD12" s="105"/>
      <c r="AE12" s="105"/>
      <c r="AF12" s="66"/>
      <c r="AG12" s="67"/>
      <c r="AH12" s="68"/>
      <c r="AI12" s="68"/>
      <c r="AJ12" s="68"/>
      <c r="AK12" s="68"/>
      <c r="AL12" s="68"/>
      <c r="AM12" s="68"/>
      <c r="AN12" s="68"/>
      <c r="AO12" s="68"/>
      <c r="AP12" s="68"/>
      <c r="AQ12" s="68"/>
      <c r="AR12" s="68"/>
    </row>
    <row r="13" spans="2:44">
      <c r="B13" s="105" t="s">
        <v>323</v>
      </c>
      <c r="C13" s="105"/>
      <c r="D13" s="104">
        <v>1618.8</v>
      </c>
      <c r="E13" s="33">
        <v>98.01</v>
      </c>
      <c r="F13" s="104">
        <f>D13*E13</f>
        <v>158658.58800000002</v>
      </c>
      <c r="G13" s="105">
        <v>-2919.2</v>
      </c>
      <c r="H13" s="104">
        <f>F13+G13</f>
        <v>155739.38800000001</v>
      </c>
      <c r="I13" s="105"/>
      <c r="K13" s="105">
        <v>59176.1</v>
      </c>
      <c r="L13" s="104">
        <v>9542.2999999999993</v>
      </c>
      <c r="M13" s="104">
        <v>5163</v>
      </c>
      <c r="O13" s="125">
        <f>H13/K13</f>
        <v>2.6317954038877183</v>
      </c>
      <c r="P13" s="125">
        <f>H13/L13</f>
        <v>16.320948618257656</v>
      </c>
      <c r="Q13" s="125">
        <f>F13/M13</f>
        <v>30.729922138291695</v>
      </c>
      <c r="R13" s="105"/>
      <c r="S13" s="105"/>
      <c r="T13" s="105"/>
      <c r="U13" s="105"/>
      <c r="V13" s="105"/>
      <c r="W13" s="105"/>
      <c r="X13" s="105"/>
      <c r="Y13" s="105"/>
      <c r="Z13" s="105"/>
      <c r="AA13" s="105"/>
      <c r="AB13" s="105"/>
      <c r="AC13" s="105"/>
      <c r="AD13" s="105"/>
      <c r="AE13" s="105"/>
      <c r="AF13" s="66"/>
      <c r="AG13" s="67"/>
      <c r="AH13" s="68"/>
      <c r="AI13" s="68"/>
      <c r="AJ13" s="68"/>
      <c r="AK13" s="68"/>
      <c r="AL13" s="68"/>
      <c r="AM13" s="68"/>
      <c r="AN13" s="68"/>
      <c r="AO13" s="68"/>
      <c r="AP13" s="68"/>
      <c r="AQ13" s="68"/>
      <c r="AR13" s="68"/>
    </row>
    <row r="14" spans="2:44">
      <c r="B14" s="105" t="s">
        <v>165</v>
      </c>
      <c r="C14" s="105"/>
      <c r="D14" s="104">
        <v>4581.1000000000004</v>
      </c>
      <c r="E14" s="33">
        <v>29.66</v>
      </c>
      <c r="F14" s="104">
        <f>D14*E14</f>
        <v>135875.42600000001</v>
      </c>
      <c r="G14" s="105">
        <v>-502.40000000000009</v>
      </c>
      <c r="H14" s="104">
        <f>F14+G14</f>
        <v>135373.02600000001</v>
      </c>
      <c r="I14" s="105"/>
      <c r="K14" s="105">
        <v>44075</v>
      </c>
      <c r="L14" s="104">
        <v>8924.1</v>
      </c>
      <c r="M14" s="104">
        <v>5196.7</v>
      </c>
      <c r="O14" s="125">
        <f>H14/K14</f>
        <v>3.0714242994895069</v>
      </c>
      <c r="P14" s="125">
        <f>H14/L14</f>
        <v>15.169375735368273</v>
      </c>
      <c r="Q14" s="125">
        <f>F14/M14</f>
        <v>26.146482575480597</v>
      </c>
      <c r="R14" s="105"/>
      <c r="S14" s="105"/>
      <c r="T14" s="105"/>
      <c r="U14" s="105"/>
      <c r="V14" s="105"/>
      <c r="W14" s="105"/>
      <c r="X14" s="105"/>
      <c r="Y14" s="105"/>
      <c r="Z14" s="105"/>
      <c r="AA14" s="105"/>
      <c r="AB14" s="105"/>
      <c r="AC14" s="105"/>
      <c r="AD14" s="105"/>
      <c r="AE14" s="105"/>
      <c r="AF14" s="66"/>
      <c r="AG14" s="67"/>
      <c r="AH14" s="68"/>
      <c r="AI14" s="68"/>
      <c r="AJ14" s="68"/>
      <c r="AK14" s="68"/>
      <c r="AL14" s="68"/>
      <c r="AM14" s="68"/>
      <c r="AN14" s="68"/>
      <c r="AO14" s="68"/>
      <c r="AP14" s="68"/>
      <c r="AQ14" s="68"/>
      <c r="AR14" s="68"/>
    </row>
    <row r="15" spans="2:44">
      <c r="B15" s="105" t="s">
        <v>402</v>
      </c>
      <c r="C15" s="105"/>
      <c r="D15" s="104">
        <v>12107.5</v>
      </c>
      <c r="E15" s="33">
        <v>8.7100000000000009</v>
      </c>
      <c r="F15" s="104">
        <f>D15*E15</f>
        <v>105456.32500000001</v>
      </c>
      <c r="G15" s="105">
        <v>-5477.3</v>
      </c>
      <c r="H15" s="104">
        <f>F15+G15</f>
        <v>99979.025000000009</v>
      </c>
      <c r="I15" s="105"/>
      <c r="K15" s="105">
        <v>8945.1</v>
      </c>
      <c r="L15" s="104">
        <v>4783.2999999999993</v>
      </c>
      <c r="M15" s="104">
        <v>3412.9</v>
      </c>
      <c r="O15" s="125">
        <f>H15/K15</f>
        <v>11.176960011626477</v>
      </c>
      <c r="P15" s="125">
        <f>H15/L15</f>
        <v>20.901683983860519</v>
      </c>
      <c r="Q15" s="125">
        <f>F15/M15</f>
        <v>30.899330481408775</v>
      </c>
      <c r="R15" s="105"/>
      <c r="S15" s="105"/>
      <c r="T15" s="105"/>
      <c r="U15" s="105"/>
      <c r="V15" s="105"/>
      <c r="W15" s="105"/>
      <c r="X15" s="105"/>
      <c r="Y15" s="105"/>
      <c r="Z15" s="105"/>
      <c r="AA15" s="105"/>
      <c r="AB15" s="105"/>
      <c r="AC15" s="105"/>
      <c r="AD15" s="105"/>
      <c r="AE15" s="105"/>
      <c r="AF15" s="66"/>
      <c r="AG15" s="67"/>
      <c r="AH15" s="68"/>
      <c r="AI15" s="68"/>
      <c r="AJ15" s="68"/>
      <c r="AK15" s="68"/>
      <c r="AL15" s="68"/>
      <c r="AM15" s="68"/>
      <c r="AN15" s="68"/>
      <c r="AO15" s="68"/>
      <c r="AP15" s="68"/>
      <c r="AQ15" s="68"/>
      <c r="AR15" s="68"/>
    </row>
    <row r="16" spans="2:44">
      <c r="B16" s="105" t="s">
        <v>403</v>
      </c>
      <c r="C16" s="105"/>
      <c r="D16" s="104">
        <v>5705.6</v>
      </c>
      <c r="E16" s="33">
        <v>15.78</v>
      </c>
      <c r="F16" s="104">
        <f>D16*E16</f>
        <v>90034.368000000002</v>
      </c>
      <c r="G16" s="105">
        <v>-740.8</v>
      </c>
      <c r="H16" s="104">
        <f>F16+G16</f>
        <v>89293.567999999999</v>
      </c>
      <c r="I16" s="105"/>
      <c r="K16" s="105">
        <v>15718.1</v>
      </c>
      <c r="L16" s="104">
        <v>3077.15</v>
      </c>
      <c r="M16" s="104">
        <v>1923.22</v>
      </c>
      <c r="O16" s="125">
        <f>H16/K16</f>
        <v>5.6809390447954904</v>
      </c>
      <c r="P16" s="125">
        <f>H16/L16</f>
        <v>29.018269502624179</v>
      </c>
      <c r="Q16" s="125">
        <f>F16/M16</f>
        <v>46.814388369505309</v>
      </c>
      <c r="R16" s="105"/>
      <c r="S16" s="105"/>
      <c r="T16" s="105"/>
      <c r="U16" s="105"/>
      <c r="V16" s="105"/>
      <c r="W16" s="105"/>
      <c r="X16" s="105"/>
      <c r="Y16" s="105"/>
      <c r="Z16" s="105"/>
      <c r="AA16" s="105"/>
      <c r="AB16" s="105"/>
      <c r="AC16" s="105"/>
      <c r="AD16" s="105"/>
      <c r="AE16" s="105"/>
      <c r="AF16" s="66"/>
      <c r="AG16" s="67"/>
      <c r="AH16" s="68"/>
      <c r="AI16" s="68"/>
      <c r="AJ16" s="68"/>
      <c r="AK16" s="68"/>
      <c r="AL16" s="68"/>
      <c r="AM16" s="68"/>
      <c r="AN16" s="68"/>
      <c r="AO16" s="68"/>
      <c r="AP16" s="68"/>
      <c r="AQ16" s="68"/>
      <c r="AR16" s="68"/>
    </row>
    <row r="17" spans="2:44">
      <c r="B17" s="105" t="s">
        <v>404</v>
      </c>
      <c r="C17" s="105"/>
      <c r="D17" s="104">
        <v>1965.1</v>
      </c>
      <c r="E17" s="33">
        <v>44.29</v>
      </c>
      <c r="F17" s="104">
        <f>D17*E17</f>
        <v>87034.278999999995</v>
      </c>
      <c r="G17" s="105">
        <v>-371.40000000000009</v>
      </c>
      <c r="H17" s="104">
        <f>F17+G17</f>
        <v>86662.879000000001</v>
      </c>
      <c r="I17" s="105"/>
      <c r="K17" s="105">
        <v>18195.400000000001</v>
      </c>
      <c r="L17" s="104">
        <v>3498.5</v>
      </c>
      <c r="M17" s="104">
        <v>1920</v>
      </c>
      <c r="O17" s="125">
        <f>H17/K17</f>
        <v>4.7629004583576062</v>
      </c>
      <c r="P17" s="125">
        <f>H17/L17</f>
        <v>24.771438902386738</v>
      </c>
      <c r="Q17" s="125">
        <f>F17/M17</f>
        <v>45.330353645833334</v>
      </c>
      <c r="R17" s="105"/>
      <c r="S17" s="105"/>
      <c r="T17" s="105"/>
      <c r="U17" s="105"/>
      <c r="V17" s="105"/>
      <c r="W17" s="105"/>
      <c r="X17" s="105"/>
      <c r="Y17" s="105"/>
      <c r="Z17" s="105"/>
      <c r="AA17" s="105"/>
      <c r="AB17" s="105"/>
      <c r="AC17" s="105"/>
      <c r="AD17" s="105"/>
      <c r="AE17" s="105"/>
      <c r="AF17" s="66"/>
      <c r="AG17" s="67"/>
      <c r="AH17" s="68"/>
      <c r="AI17" s="68"/>
      <c r="AJ17" s="68"/>
      <c r="AK17" s="68"/>
      <c r="AL17" s="68"/>
      <c r="AM17" s="68"/>
      <c r="AN17" s="68"/>
      <c r="AO17" s="68"/>
      <c r="AP17" s="68"/>
      <c r="AQ17" s="68"/>
      <c r="AR17" s="68"/>
    </row>
    <row r="18" spans="2:44">
      <c r="B18" s="105" t="s">
        <v>405</v>
      </c>
      <c r="C18" s="105"/>
      <c r="D18" s="104">
        <v>2492.4</v>
      </c>
      <c r="E18" s="33">
        <v>19.09</v>
      </c>
      <c r="F18" s="104">
        <f>D18*E18</f>
        <v>47579.916000000005</v>
      </c>
      <c r="G18" s="105">
        <v>866.9699999999998</v>
      </c>
      <c r="H18" s="104">
        <f>F18+G18</f>
        <v>48446.886000000006</v>
      </c>
      <c r="I18" s="105"/>
      <c r="K18" s="105">
        <v>16531.21</v>
      </c>
      <c r="L18" s="104">
        <v>3398.63</v>
      </c>
      <c r="M18" s="104">
        <v>1910.41</v>
      </c>
      <c r="O18" s="125">
        <f>H18/K18</f>
        <v>2.9306315750631691</v>
      </c>
      <c r="P18" s="125">
        <f>H18/L18</f>
        <v>14.254827974801612</v>
      </c>
      <c r="Q18" s="125">
        <f>F18/M18</f>
        <v>24.905604556090054</v>
      </c>
      <c r="R18" s="105"/>
      <c r="S18" s="105"/>
      <c r="T18" s="105"/>
      <c r="U18" s="105"/>
      <c r="V18" s="105"/>
      <c r="W18" s="105"/>
      <c r="X18" s="105"/>
      <c r="Y18" s="105"/>
      <c r="Z18" s="105"/>
      <c r="AA18" s="105"/>
      <c r="AB18" s="105"/>
      <c r="AC18" s="105"/>
      <c r="AD18" s="105"/>
      <c r="AE18" s="105"/>
      <c r="AF18" s="66"/>
      <c r="AG18" s="67"/>
      <c r="AH18" s="68"/>
      <c r="AI18" s="68"/>
      <c r="AJ18" s="68"/>
      <c r="AK18" s="68"/>
      <c r="AL18" s="68"/>
      <c r="AM18" s="68"/>
      <c r="AN18" s="68"/>
      <c r="AO18" s="68"/>
      <c r="AP18" s="68"/>
      <c r="AQ18" s="68"/>
      <c r="AR18" s="68"/>
    </row>
    <row r="19" spans="2:44" ht="9.75" customHeight="1">
      <c r="B19" s="105"/>
      <c r="C19" s="105"/>
      <c r="I19" s="105"/>
      <c r="R19" s="105"/>
      <c r="S19" s="105"/>
      <c r="T19" s="105"/>
      <c r="U19" s="105"/>
      <c r="V19" s="105"/>
      <c r="W19" s="105"/>
      <c r="X19" s="105"/>
      <c r="Y19" s="105"/>
      <c r="Z19" s="105"/>
      <c r="AA19" s="105"/>
      <c r="AB19" s="105"/>
      <c r="AC19" s="105"/>
      <c r="AD19" s="105"/>
      <c r="AE19" s="105"/>
      <c r="AF19" s="66"/>
      <c r="AG19" s="67"/>
      <c r="AH19" s="68"/>
      <c r="AI19" s="68"/>
      <c r="AJ19" s="68"/>
      <c r="AK19" s="68"/>
      <c r="AL19" s="68"/>
      <c r="AM19" s="68"/>
      <c r="AN19" s="68"/>
      <c r="AO19" s="68"/>
      <c r="AP19" s="68"/>
      <c r="AQ19" s="68"/>
      <c r="AR19" s="68"/>
    </row>
    <row r="20" spans="2:44">
      <c r="B20" s="110" t="s">
        <v>406</v>
      </c>
      <c r="C20" s="110"/>
      <c r="D20" s="110"/>
      <c r="E20" s="110"/>
      <c r="F20" s="110"/>
      <c r="G20" s="110"/>
      <c r="H20" s="110"/>
      <c r="I20" s="110"/>
      <c r="J20" s="110"/>
      <c r="K20" s="111"/>
      <c r="L20" s="111"/>
      <c r="M20" s="111"/>
      <c r="N20" s="111"/>
      <c r="O20" s="126">
        <f>MAX(O10:O18)</f>
        <v>11.176960011626477</v>
      </c>
      <c r="P20" s="126">
        <f>MAX(P10:P18)</f>
        <v>29.018269502624179</v>
      </c>
      <c r="Q20" s="126">
        <f>MAX(Q10:Q18)</f>
        <v>46.814388369505309</v>
      </c>
      <c r="R20" s="105"/>
      <c r="S20" s="105"/>
      <c r="T20" s="105"/>
      <c r="U20" s="105"/>
      <c r="V20" s="105"/>
      <c r="W20" s="105"/>
      <c r="X20" s="105"/>
      <c r="Y20" s="105"/>
      <c r="Z20" s="105"/>
      <c r="AA20" s="105"/>
      <c r="AB20" s="105"/>
      <c r="AC20" s="105"/>
      <c r="AD20" s="105"/>
      <c r="AE20" s="105"/>
      <c r="AF20" s="66"/>
      <c r="AG20" s="67"/>
      <c r="AH20" s="68"/>
      <c r="AI20" s="68"/>
      <c r="AJ20" s="68"/>
      <c r="AK20" s="68"/>
      <c r="AL20" s="68"/>
      <c r="AM20" s="68"/>
      <c r="AN20" s="68"/>
      <c r="AO20" s="68"/>
      <c r="AP20" s="68"/>
      <c r="AQ20" s="68"/>
      <c r="AR20" s="105"/>
    </row>
    <row r="21" spans="2:44">
      <c r="B21" s="106" t="s">
        <v>407</v>
      </c>
      <c r="C21" s="106"/>
      <c r="D21" s="106"/>
      <c r="E21" s="106"/>
      <c r="F21" s="106"/>
      <c r="G21" s="106"/>
      <c r="H21" s="106"/>
      <c r="I21" s="106"/>
      <c r="J21" s="106"/>
      <c r="K21" s="107"/>
      <c r="L21" s="107"/>
      <c r="M21" s="107"/>
      <c r="N21" s="107"/>
      <c r="O21" s="127">
        <f>QUARTILE(O10:O18,3)</f>
        <v>4.7629004583576062</v>
      </c>
      <c r="P21" s="127">
        <f>QUARTILE(P10:P18,3)</f>
        <v>20.901683983860519</v>
      </c>
      <c r="Q21" s="127">
        <f>QUARTILE(Q10:Q18,3)</f>
        <v>30.899330481408775</v>
      </c>
      <c r="R21" s="105"/>
      <c r="S21" s="105"/>
      <c r="T21" s="105"/>
      <c r="U21" s="105"/>
      <c r="V21" s="105"/>
      <c r="W21" s="105"/>
      <c r="X21" s="105"/>
      <c r="Y21" s="105"/>
      <c r="Z21" s="105"/>
      <c r="AA21" s="105"/>
      <c r="AB21" s="105"/>
      <c r="AC21" s="105"/>
      <c r="AD21" s="105"/>
      <c r="AE21" s="105"/>
      <c r="AF21" s="105"/>
      <c r="AG21" s="105"/>
      <c r="AH21" s="105"/>
      <c r="AI21" s="105"/>
      <c r="AJ21" s="105"/>
      <c r="AK21" s="105"/>
      <c r="AL21" s="105"/>
      <c r="AM21" s="105"/>
      <c r="AN21" s="105"/>
      <c r="AO21" s="105"/>
      <c r="AP21" s="105"/>
      <c r="AQ21" s="105"/>
      <c r="AR21" s="105"/>
    </row>
    <row r="22" spans="2:44">
      <c r="B22" s="106" t="s">
        <v>324</v>
      </c>
      <c r="C22" s="106"/>
      <c r="D22" s="106"/>
      <c r="E22" s="106"/>
      <c r="F22" s="106"/>
      <c r="G22" s="106"/>
      <c r="H22" s="106"/>
      <c r="I22" s="106"/>
      <c r="J22" s="106"/>
      <c r="K22" s="107"/>
      <c r="L22" s="107"/>
      <c r="M22" s="107"/>
      <c r="N22" s="107"/>
      <c r="O22" s="127">
        <f>AVERAGE(O10:O18)</f>
        <v>4.2035036249691471</v>
      </c>
      <c r="P22" s="127">
        <f>AVERAGE(P10:P18)</f>
        <v>16.832525443414141</v>
      </c>
      <c r="Q22" s="127">
        <f>AVERAGE(Q10:Q18)</f>
        <v>28.41586822078855</v>
      </c>
      <c r="R22" s="105"/>
      <c r="S22" s="105"/>
      <c r="T22" s="105"/>
      <c r="U22" s="105"/>
      <c r="V22" s="105"/>
      <c r="W22" s="105"/>
      <c r="X22" s="105"/>
      <c r="Y22" s="105"/>
      <c r="Z22" s="105"/>
      <c r="AA22" s="105"/>
      <c r="AB22" s="105"/>
      <c r="AC22" s="105"/>
      <c r="AD22" s="105"/>
      <c r="AE22" s="105"/>
      <c r="AF22" s="105"/>
      <c r="AG22" s="105"/>
      <c r="AH22" s="105"/>
      <c r="AI22" s="105"/>
      <c r="AJ22" s="105"/>
      <c r="AK22" s="105"/>
      <c r="AL22" s="105"/>
      <c r="AM22" s="105"/>
      <c r="AN22" s="105"/>
      <c r="AO22" s="105"/>
      <c r="AP22" s="105"/>
      <c r="AQ22" s="105"/>
      <c r="AR22" s="105"/>
    </row>
    <row r="23" spans="2:44">
      <c r="B23" s="106" t="s">
        <v>325</v>
      </c>
      <c r="C23" s="106"/>
      <c r="D23" s="106"/>
      <c r="E23" s="106"/>
      <c r="F23" s="106"/>
      <c r="G23" s="106"/>
      <c r="H23" s="106"/>
      <c r="I23" s="106"/>
      <c r="J23" s="106"/>
      <c r="K23" s="107"/>
      <c r="L23" s="107"/>
      <c r="M23" s="107"/>
      <c r="N23" s="107"/>
      <c r="O23" s="127">
        <f>MEDIAN(O10:O18)</f>
        <v>3.0647706690736931</v>
      </c>
      <c r="P23" s="127">
        <f>MEDIAN(P10:P18)</f>
        <v>15.169375735368273</v>
      </c>
      <c r="Q23" s="127">
        <f>MEDIAN(Q10:Q18)</f>
        <v>26.146482575480597</v>
      </c>
      <c r="R23" s="105"/>
      <c r="S23" s="105"/>
      <c r="T23" s="105"/>
      <c r="U23" s="105"/>
      <c r="V23" s="105"/>
      <c r="W23" s="105"/>
      <c r="X23" s="105"/>
      <c r="Y23" s="105"/>
      <c r="Z23" s="105"/>
      <c r="AA23" s="105"/>
      <c r="AB23" s="105"/>
      <c r="AC23" s="105"/>
      <c r="AD23" s="105"/>
      <c r="AE23" s="105"/>
      <c r="AF23" s="105"/>
      <c r="AG23" s="105"/>
      <c r="AH23" s="105"/>
      <c r="AI23" s="105"/>
      <c r="AJ23" s="105"/>
      <c r="AK23" s="105"/>
      <c r="AL23" s="105"/>
      <c r="AM23" s="105"/>
      <c r="AN23" s="105"/>
      <c r="AO23" s="105"/>
      <c r="AP23" s="105"/>
      <c r="AQ23" s="105"/>
      <c r="AR23" s="105"/>
    </row>
    <row r="24" spans="2:44">
      <c r="B24" s="106" t="s">
        <v>408</v>
      </c>
      <c r="C24" s="106"/>
      <c r="D24" s="106"/>
      <c r="E24" s="106"/>
      <c r="F24" s="106"/>
      <c r="G24" s="106"/>
      <c r="H24" s="106"/>
      <c r="I24" s="106"/>
      <c r="J24" s="106"/>
      <c r="K24" s="107"/>
      <c r="L24" s="107"/>
      <c r="M24" s="107"/>
      <c r="N24" s="107"/>
      <c r="O24" s="127">
        <f>QUARTILE(O10:O18,1)</f>
        <v>2.6317954038877183</v>
      </c>
      <c r="P24" s="127">
        <f>QUARTILE(P10:P18,1)</f>
        <v>11.823661084694368</v>
      </c>
      <c r="Q24" s="127">
        <f>QUARTILE(Q10:Q18,1)</f>
        <v>20.727101755191004</v>
      </c>
      <c r="R24" s="105"/>
      <c r="S24" s="105"/>
      <c r="T24" s="105"/>
      <c r="U24" s="105"/>
      <c r="V24" s="105"/>
      <c r="W24" s="105"/>
      <c r="X24" s="105"/>
      <c r="Y24" s="105"/>
      <c r="Z24" s="105"/>
      <c r="AA24" s="105"/>
      <c r="AB24" s="105"/>
      <c r="AC24" s="105"/>
      <c r="AD24" s="105"/>
      <c r="AE24" s="105"/>
      <c r="AF24" s="105"/>
      <c r="AG24" s="105"/>
      <c r="AH24" s="105"/>
      <c r="AI24" s="105"/>
      <c r="AJ24" s="105"/>
      <c r="AK24" s="105"/>
      <c r="AL24" s="105"/>
      <c r="AM24" s="105"/>
      <c r="AN24" s="105"/>
      <c r="AO24" s="105"/>
      <c r="AP24" s="105"/>
      <c r="AQ24" s="105"/>
      <c r="AR24" s="105"/>
    </row>
    <row r="25" spans="2:44">
      <c r="B25" s="108" t="s">
        <v>409</v>
      </c>
      <c r="C25" s="108"/>
      <c r="D25" s="108"/>
      <c r="E25" s="108"/>
      <c r="F25" s="108"/>
      <c r="G25" s="108"/>
      <c r="H25" s="108"/>
      <c r="I25" s="108"/>
      <c r="J25" s="108"/>
      <c r="K25" s="109"/>
      <c r="L25" s="109"/>
      <c r="M25" s="109"/>
      <c r="N25" s="109"/>
      <c r="O25" s="128">
        <f>MIN(O10:O18)</f>
        <v>1.9584453342178418</v>
      </c>
      <c r="P25" s="128">
        <f>MIN(P10:P18)</f>
        <v>8.4472781671110049</v>
      </c>
      <c r="Q25" s="128">
        <f>MIN(Q10:Q18)</f>
        <v>13.266854079320753</v>
      </c>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05"/>
      <c r="AO25" s="105"/>
      <c r="AP25" s="105"/>
      <c r="AQ25" s="105"/>
      <c r="AR25" s="105"/>
    </row>
    <row r="26" spans="2:44">
      <c r="B26" s="105"/>
      <c r="C26" s="105"/>
      <c r="I26" s="105"/>
      <c r="R26" s="105"/>
      <c r="S26" s="105"/>
      <c r="T26" s="105"/>
      <c r="U26" s="105"/>
      <c r="V26" s="105"/>
      <c r="W26" s="105"/>
      <c r="X26" s="105"/>
      <c r="Y26" s="105"/>
      <c r="Z26" s="105"/>
      <c r="AA26" s="105"/>
      <c r="AB26" s="105"/>
      <c r="AC26" s="105"/>
      <c r="AD26" s="105"/>
      <c r="AE26" s="105"/>
      <c r="AF26" s="105"/>
      <c r="AG26" s="105"/>
      <c r="AH26" s="105"/>
      <c r="AI26" s="105"/>
      <c r="AJ26" s="105"/>
      <c r="AK26" s="105"/>
      <c r="AL26" s="105"/>
      <c r="AM26" s="105"/>
      <c r="AN26" s="105"/>
      <c r="AO26" s="105"/>
      <c r="AP26" s="105"/>
      <c r="AQ26" s="105"/>
      <c r="AR26" s="105"/>
    </row>
    <row r="27" spans="2:44">
      <c r="B27" s="114" t="s">
        <v>410</v>
      </c>
      <c r="C27" s="103"/>
      <c r="D27" s="103"/>
      <c r="E27" s="103"/>
      <c r="F27" s="103"/>
      <c r="G27" s="103"/>
      <c r="H27" s="103"/>
      <c r="I27" s="103"/>
      <c r="J27" s="103"/>
      <c r="K27" s="103"/>
      <c r="L27" s="103"/>
      <c r="M27" s="103"/>
      <c r="N27" s="103"/>
      <c r="O27" s="103" t="s">
        <v>399</v>
      </c>
      <c r="P27" s="103" t="s">
        <v>400</v>
      </c>
      <c r="Q27" s="103" t="s">
        <v>401</v>
      </c>
      <c r="R27" s="105"/>
      <c r="S27" s="105"/>
      <c r="T27" s="105"/>
      <c r="U27" s="105"/>
      <c r="V27" s="105"/>
      <c r="W27" s="105"/>
      <c r="X27" s="105"/>
      <c r="Y27" s="105"/>
      <c r="Z27" s="105"/>
      <c r="AA27" s="105"/>
      <c r="AB27" s="105"/>
      <c r="AC27" s="105"/>
      <c r="AD27" s="105"/>
      <c r="AE27" s="105"/>
      <c r="AF27" s="105"/>
      <c r="AG27" s="105"/>
      <c r="AH27" s="105"/>
      <c r="AI27" s="105"/>
      <c r="AJ27" s="105"/>
      <c r="AK27" s="105"/>
      <c r="AL27" s="105"/>
      <c r="AM27" s="105"/>
      <c r="AN27" s="105"/>
      <c r="AO27" s="105"/>
      <c r="AP27" s="105"/>
      <c r="AQ27" s="105"/>
      <c r="AR27" s="105"/>
    </row>
    <row r="28" spans="2:44" ht="3.75" customHeight="1">
      <c r="B28" s="105"/>
      <c r="C28" s="105"/>
      <c r="I28" s="105"/>
      <c r="R28" s="105"/>
      <c r="S28" s="105"/>
      <c r="T28" s="105"/>
      <c r="U28" s="105"/>
      <c r="V28" s="105"/>
      <c r="W28" s="105"/>
      <c r="X28" s="105"/>
      <c r="Y28" s="105"/>
      <c r="Z28" s="105"/>
      <c r="AA28" s="105"/>
      <c r="AB28" s="105"/>
      <c r="AC28" s="105"/>
      <c r="AD28" s="105"/>
      <c r="AE28" s="105"/>
      <c r="AF28" s="105"/>
      <c r="AG28" s="105"/>
      <c r="AH28" s="105"/>
      <c r="AI28" s="105"/>
      <c r="AJ28" s="105"/>
      <c r="AK28" s="105"/>
      <c r="AL28" s="105"/>
      <c r="AM28" s="105"/>
      <c r="AN28" s="105"/>
      <c r="AO28" s="105"/>
      <c r="AP28" s="105"/>
      <c r="AQ28" s="105"/>
      <c r="AR28" s="105"/>
    </row>
    <row r="29" spans="2:44">
      <c r="B29" s="105" t="s">
        <v>411</v>
      </c>
      <c r="C29" s="105"/>
      <c r="I29" s="105"/>
      <c r="O29" s="104">
        <f>O23*K9</f>
        <v>565701.49963896046</v>
      </c>
      <c r="P29" s="104">
        <f>P23*L9</f>
        <v>728266.5596792954</v>
      </c>
      <c r="Q29" s="104">
        <f>Q31+Q30</f>
        <v>779428.08410144912</v>
      </c>
      <c r="R29" s="105"/>
      <c r="S29" s="105"/>
      <c r="T29" s="105"/>
      <c r="U29" s="105"/>
      <c r="V29" s="105"/>
      <c r="W29" s="105"/>
      <c r="X29" s="105"/>
      <c r="Y29" s="105"/>
      <c r="Z29" s="105"/>
      <c r="AA29" s="105"/>
      <c r="AB29" s="105"/>
      <c r="AC29" s="105"/>
      <c r="AD29" s="105"/>
      <c r="AE29" s="105"/>
      <c r="AF29" s="105"/>
      <c r="AG29" s="105"/>
      <c r="AH29" s="105"/>
      <c r="AI29" s="105"/>
      <c r="AJ29" s="105"/>
      <c r="AK29" s="105"/>
      <c r="AL29" s="105"/>
      <c r="AM29" s="105"/>
      <c r="AN29" s="105"/>
      <c r="AO29" s="105"/>
      <c r="AP29" s="105"/>
      <c r="AQ29" s="105"/>
      <c r="AR29" s="105"/>
    </row>
    <row r="30" spans="2:44">
      <c r="B30" s="105" t="s">
        <v>396</v>
      </c>
      <c r="C30" s="105"/>
      <c r="I30" s="105"/>
      <c r="O30" s="104">
        <f>$G$9</f>
        <v>-13464</v>
      </c>
      <c r="P30" s="104">
        <f>$G$9</f>
        <v>-13464</v>
      </c>
      <c r="Q30" s="104">
        <f>$G$9</f>
        <v>-13464</v>
      </c>
      <c r="R30" s="105"/>
      <c r="S30" s="105"/>
      <c r="T30" s="105"/>
      <c r="U30" s="105"/>
      <c r="V30" s="105"/>
      <c r="W30" s="105"/>
      <c r="X30" s="105"/>
      <c r="Y30" s="105"/>
      <c r="Z30" s="105"/>
      <c r="AA30" s="105"/>
      <c r="AB30" s="105"/>
      <c r="AC30" s="105"/>
      <c r="AD30" s="105"/>
      <c r="AE30" s="105"/>
      <c r="AF30" s="105"/>
      <c r="AG30" s="105"/>
      <c r="AH30" s="105"/>
      <c r="AI30" s="105"/>
      <c r="AJ30" s="105"/>
      <c r="AK30" s="105"/>
      <c r="AL30" s="105"/>
      <c r="AM30" s="105"/>
      <c r="AN30" s="105"/>
      <c r="AO30" s="105"/>
      <c r="AP30" s="105"/>
      <c r="AQ30" s="105"/>
      <c r="AR30" s="105"/>
    </row>
    <row r="31" spans="2:44">
      <c r="B31" s="105" t="s">
        <v>412</v>
      </c>
      <c r="C31" s="105"/>
      <c r="I31" s="105"/>
      <c r="O31" s="104">
        <f>O29-O30</f>
        <v>579165.49963896046</v>
      </c>
      <c r="P31" s="104">
        <f>P29-P30</f>
        <v>741730.5596792954</v>
      </c>
      <c r="Q31" s="104">
        <f>Q23*M9</f>
        <v>792892.08410144912</v>
      </c>
      <c r="R31" s="105"/>
      <c r="S31" s="105"/>
      <c r="T31" s="105"/>
      <c r="U31" s="105"/>
      <c r="V31" s="105"/>
      <c r="W31" s="105"/>
      <c r="X31" s="105"/>
      <c r="Y31" s="105"/>
      <c r="Z31" s="105"/>
      <c r="AA31" s="105"/>
      <c r="AB31" s="105"/>
      <c r="AC31" s="105"/>
      <c r="AD31" s="105"/>
      <c r="AE31" s="105"/>
      <c r="AF31" s="105"/>
      <c r="AG31" s="105"/>
      <c r="AH31" s="105"/>
      <c r="AI31" s="105"/>
      <c r="AJ31" s="105"/>
      <c r="AK31" s="105"/>
      <c r="AL31" s="105"/>
      <c r="AM31" s="105"/>
      <c r="AN31" s="105"/>
      <c r="AO31" s="105"/>
      <c r="AP31" s="105"/>
      <c r="AQ31" s="105"/>
      <c r="AR31" s="105"/>
    </row>
    <row r="32" spans="2:44">
      <c r="B32" s="105" t="s">
        <v>394</v>
      </c>
      <c r="C32" s="105"/>
      <c r="I32" s="105"/>
      <c r="O32" s="33">
        <f>$E$9</f>
        <v>405.82</v>
      </c>
      <c r="P32" s="33">
        <f>$E$9</f>
        <v>405.82</v>
      </c>
      <c r="Q32" s="33">
        <f>$E$9</f>
        <v>405.82</v>
      </c>
      <c r="R32" s="105"/>
      <c r="S32" s="105"/>
      <c r="T32" s="105"/>
      <c r="U32" s="105"/>
      <c r="V32" s="105"/>
      <c r="W32" s="105"/>
      <c r="X32" s="105"/>
      <c r="Y32" s="105"/>
      <c r="Z32" s="105"/>
      <c r="AA32" s="105"/>
      <c r="AB32" s="105"/>
      <c r="AC32" s="105"/>
      <c r="AD32" s="105"/>
      <c r="AE32" s="105"/>
      <c r="AF32" s="105"/>
      <c r="AG32" s="105"/>
      <c r="AH32" s="105"/>
      <c r="AI32" s="105"/>
      <c r="AJ32" s="105"/>
      <c r="AK32" s="105"/>
      <c r="AL32" s="105"/>
      <c r="AM32" s="105"/>
      <c r="AN32" s="105"/>
      <c r="AO32" s="105"/>
      <c r="AP32" s="105"/>
      <c r="AQ32" s="105"/>
      <c r="AR32" s="105"/>
    </row>
    <row r="33" spans="2:17" ht="6" customHeight="1">
      <c r="B33" s="105"/>
      <c r="C33" s="105"/>
      <c r="I33" s="105"/>
      <c r="O33" s="104"/>
      <c r="P33" s="104"/>
      <c r="Q33" s="104"/>
    </row>
    <row r="34" spans="2:17">
      <c r="B34" s="115" t="s">
        <v>413</v>
      </c>
      <c r="C34" s="115"/>
      <c r="D34" s="115"/>
      <c r="E34" s="115"/>
      <c r="F34" s="115"/>
      <c r="G34" s="115"/>
      <c r="H34" s="115"/>
      <c r="I34" s="115"/>
      <c r="J34" s="115"/>
      <c r="K34" s="116"/>
      <c r="L34" s="116"/>
      <c r="M34" s="116"/>
      <c r="N34" s="116"/>
      <c r="O34" s="129">
        <f>O31/O32</f>
        <v>1427.1487350031059</v>
      </c>
      <c r="P34" s="129">
        <f>P31/P32</f>
        <v>1827.7328857111415</v>
      </c>
      <c r="Q34" s="129">
        <f>Q31/Q32</f>
        <v>1953.8023855439583</v>
      </c>
    </row>
    <row r="35" spans="2:17" ht="7.5" customHeight="1">
      <c r="B35" s="105"/>
      <c r="C35" s="105"/>
      <c r="I35" s="105"/>
    </row>
    <row r="36" spans="2:17">
      <c r="B36" s="17" t="s">
        <v>414</v>
      </c>
      <c r="C36" s="105"/>
      <c r="I36" s="105"/>
    </row>
    <row r="37" spans="2:17">
      <c r="B37" s="105"/>
      <c r="C37" s="105"/>
      <c r="I37" s="105"/>
      <c r="O37" s="29" t="str">
        <f>IF(O34&lt;$D$9,"Overvalued","Undervalued")</f>
        <v>Undervalued</v>
      </c>
      <c r="P37" s="29" t="str">
        <f>IF(P34&lt;$D$9,"Overvalued","Undervalued")</f>
        <v>Undervalued</v>
      </c>
      <c r="Q37" s="29" t="str">
        <f>IF(Q34&lt;$D$9,"Overvalued","Undervalued")</f>
        <v>Undervalued</v>
      </c>
    </row>
  </sheetData>
  <mergeCells count="3">
    <mergeCell ref="K6:M6"/>
    <mergeCell ref="D6:I6"/>
    <mergeCell ref="O6:Q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46879-4F1E-4F50-B9BD-4FBEAE33BC16}">
  <sheetPr>
    <pageSetUpPr fitToPage="1"/>
  </sheetPr>
  <dimension ref="B1:AH107"/>
  <sheetViews>
    <sheetView showGridLines="0" workbookViewId="0">
      <selection activeCell="B5" sqref="B5"/>
    </sheetView>
  </sheetViews>
  <sheetFormatPr defaultRowHeight="15"/>
  <cols>
    <col min="1" max="1" width="1.85546875" customWidth="1"/>
    <col min="2" max="2" width="25.42578125" customWidth="1"/>
    <col min="3" max="3" width="9.85546875" customWidth="1"/>
    <col min="4" max="4" width="10.42578125" customWidth="1"/>
    <col min="5" max="5" width="9.85546875" customWidth="1"/>
    <col min="6" max="6" width="10.28515625" customWidth="1"/>
    <col min="7" max="7" width="10.140625" customWidth="1"/>
  </cols>
  <sheetData>
    <row r="1" spans="2:34">
      <c r="B1" s="145"/>
      <c r="C1" s="145"/>
      <c r="D1" s="145"/>
      <c r="E1" s="145"/>
      <c r="F1" s="145"/>
      <c r="G1" s="145"/>
      <c r="H1" s="136"/>
      <c r="I1" s="136"/>
      <c r="J1" s="105"/>
      <c r="K1" s="105"/>
      <c r="L1" s="105"/>
      <c r="M1" s="105"/>
      <c r="N1" s="105"/>
      <c r="O1" s="105"/>
      <c r="P1" s="105"/>
      <c r="Q1" s="105"/>
      <c r="R1" s="105"/>
      <c r="S1" s="105"/>
      <c r="T1" s="105"/>
      <c r="U1" s="105"/>
      <c r="V1" s="105"/>
      <c r="W1" s="105"/>
      <c r="X1" s="105"/>
      <c r="Y1" s="105"/>
      <c r="Z1" s="105"/>
      <c r="AA1" s="105"/>
      <c r="AB1" s="105"/>
      <c r="AC1" s="105"/>
      <c r="AD1" s="105"/>
      <c r="AE1" s="105"/>
      <c r="AF1" s="105"/>
      <c r="AG1" s="105"/>
      <c r="AH1" s="105"/>
    </row>
    <row r="2" spans="2:34">
      <c r="B2" s="133"/>
      <c r="C2" s="133"/>
      <c r="D2" s="133"/>
      <c r="E2" s="133"/>
      <c r="F2" s="133"/>
      <c r="G2" s="133"/>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row>
    <row r="3" spans="2:34" ht="42.75" customHeight="1">
      <c r="B3" s="134" t="s">
        <v>59</v>
      </c>
      <c r="C3" s="133"/>
      <c r="D3" s="133"/>
      <c r="E3" s="133"/>
      <c r="F3" s="133"/>
      <c r="G3" s="133"/>
      <c r="H3" s="105"/>
      <c r="I3" s="105"/>
      <c r="J3" s="105"/>
      <c r="K3" s="105"/>
      <c r="L3" s="105"/>
      <c r="M3" s="105"/>
      <c r="N3" s="105"/>
      <c r="O3" s="105"/>
      <c r="P3" s="105"/>
      <c r="Q3" s="105"/>
      <c r="R3" s="105"/>
      <c r="S3" s="105"/>
      <c r="T3" s="105"/>
      <c r="U3" s="105"/>
      <c r="V3" s="105"/>
      <c r="W3" s="105"/>
      <c r="X3" s="105"/>
      <c r="Y3" s="105"/>
      <c r="Z3" s="105"/>
      <c r="AA3" s="105"/>
      <c r="AB3" s="105"/>
      <c r="AC3" s="105"/>
      <c r="AD3" s="105"/>
      <c r="AE3" s="105"/>
      <c r="AF3" s="105"/>
      <c r="AG3" s="105"/>
      <c r="AH3" s="105"/>
    </row>
    <row r="4" spans="2:34">
      <c r="B4" s="7" t="s">
        <v>415</v>
      </c>
      <c r="C4" s="105"/>
      <c r="D4" s="105"/>
      <c r="E4" s="105"/>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105"/>
      <c r="AG4" s="105"/>
      <c r="AH4" s="132"/>
    </row>
    <row r="5" spans="2:34" ht="18.75">
      <c r="B5" s="135" t="s">
        <v>416</v>
      </c>
      <c r="C5" s="105"/>
      <c r="D5" s="105"/>
      <c r="E5" s="105"/>
      <c r="F5" s="105"/>
      <c r="G5" s="105"/>
      <c r="H5" s="105"/>
      <c r="I5" s="105"/>
      <c r="J5" s="105"/>
      <c r="K5" s="105"/>
      <c r="L5" s="105"/>
      <c r="M5" s="105"/>
      <c r="N5" s="105"/>
      <c r="O5" s="105"/>
      <c r="P5" s="105"/>
      <c r="Q5" s="105"/>
      <c r="R5" s="105"/>
      <c r="S5" s="105"/>
      <c r="T5" s="105"/>
      <c r="U5" s="105"/>
      <c r="V5" s="105"/>
      <c r="W5" s="105"/>
      <c r="X5" s="105"/>
      <c r="Y5" s="105"/>
      <c r="Z5" s="105"/>
      <c r="AA5" s="105"/>
      <c r="AB5" s="105"/>
      <c r="AC5" s="105"/>
      <c r="AD5" s="105"/>
      <c r="AE5" s="105"/>
      <c r="AF5" s="105"/>
      <c r="AG5" s="105"/>
      <c r="AH5" s="105"/>
    </row>
    <row r="6" spans="2:34" ht="18" customHeight="1">
      <c r="B6" s="105" t="s">
        <v>417</v>
      </c>
      <c r="C6" s="105"/>
      <c r="D6" s="105"/>
      <c r="E6" s="105"/>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105"/>
      <c r="AG6" s="105"/>
      <c r="AH6" s="105"/>
    </row>
    <row r="7" spans="2:34" ht="3.75" customHeight="1">
      <c r="B7" s="136"/>
      <c r="C7" s="136"/>
      <c r="D7" s="136"/>
      <c r="E7" s="136"/>
      <c r="F7" s="136"/>
      <c r="G7" s="136"/>
      <c r="H7" s="136"/>
      <c r="I7" s="136"/>
      <c r="J7" s="105"/>
      <c r="K7" s="105"/>
      <c r="L7" s="105"/>
      <c r="M7" s="105"/>
      <c r="N7" s="105"/>
      <c r="O7" s="105"/>
      <c r="P7" s="105"/>
      <c r="Q7" s="105"/>
      <c r="R7" s="105"/>
      <c r="S7" s="105"/>
      <c r="T7" s="105"/>
      <c r="U7" s="105"/>
      <c r="V7" s="105"/>
      <c r="W7" s="105"/>
      <c r="X7" s="105"/>
      <c r="Y7" s="105"/>
      <c r="Z7" s="105"/>
      <c r="AA7" s="105"/>
      <c r="AB7" s="105"/>
      <c r="AC7" s="105"/>
      <c r="AD7" s="105"/>
      <c r="AE7" s="105"/>
      <c r="AF7" s="105"/>
      <c r="AG7" s="105"/>
      <c r="AH7" s="105"/>
    </row>
    <row r="8" spans="2:34">
      <c r="B8" s="137" t="s">
        <v>418</v>
      </c>
      <c r="C8" s="105"/>
      <c r="D8" s="105"/>
      <c r="E8" s="105"/>
      <c r="F8" s="105"/>
      <c r="G8" s="105"/>
      <c r="H8" s="105"/>
      <c r="I8" s="105"/>
      <c r="J8" s="105"/>
      <c r="K8" s="105"/>
      <c r="L8" s="105"/>
      <c r="M8" s="105"/>
      <c r="N8" s="105"/>
      <c r="O8" s="105"/>
      <c r="P8" s="105"/>
      <c r="Q8" s="105"/>
      <c r="R8" s="105"/>
      <c r="S8" s="105"/>
      <c r="T8" s="105"/>
      <c r="U8" s="105"/>
      <c r="V8" s="105"/>
      <c r="W8" s="105"/>
      <c r="X8" s="105"/>
      <c r="Y8" s="105"/>
      <c r="Z8" s="105"/>
      <c r="AA8" s="105"/>
      <c r="AB8" s="105"/>
      <c r="AC8" s="105"/>
      <c r="AD8" s="105"/>
      <c r="AE8" s="105"/>
      <c r="AF8" s="105"/>
      <c r="AG8" s="105"/>
      <c r="AH8" s="105"/>
    </row>
    <row r="9" spans="2:34" ht="15" customHeight="1">
      <c r="B9" s="205" t="s">
        <v>419</v>
      </c>
      <c r="C9" s="205"/>
      <c r="D9" s="205"/>
      <c r="E9" s="205"/>
      <c r="F9" s="205"/>
      <c r="G9" s="205"/>
      <c r="H9" s="205"/>
      <c r="I9" s="2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row>
    <row r="10" spans="2:34">
      <c r="B10" s="205"/>
      <c r="C10" s="205"/>
      <c r="D10" s="205"/>
      <c r="E10" s="205"/>
      <c r="F10" s="205"/>
      <c r="G10" s="205"/>
      <c r="H10" s="205"/>
      <c r="I10" s="205"/>
      <c r="J10" s="105"/>
      <c r="K10" s="105"/>
      <c r="L10" s="105"/>
      <c r="M10" s="105"/>
      <c r="N10" s="105"/>
      <c r="O10" s="105"/>
      <c r="P10" s="105"/>
      <c r="Q10" s="105"/>
      <c r="R10" s="105"/>
      <c r="S10" s="105"/>
      <c r="T10" s="105"/>
      <c r="U10" s="105"/>
      <c r="V10" s="105"/>
      <c r="W10" s="105"/>
      <c r="X10" s="105"/>
      <c r="Y10" s="105"/>
      <c r="Z10" s="105"/>
      <c r="AA10" s="105"/>
      <c r="AB10" s="105"/>
      <c r="AC10" s="105"/>
      <c r="AD10" s="105"/>
      <c r="AE10" s="105"/>
      <c r="AF10" s="105"/>
      <c r="AG10" s="105"/>
      <c r="AH10" s="105"/>
    </row>
    <row r="11" spans="2:34">
      <c r="B11" s="205"/>
      <c r="C11" s="205"/>
      <c r="D11" s="205"/>
      <c r="E11" s="205"/>
      <c r="F11" s="205"/>
      <c r="G11" s="205"/>
      <c r="H11" s="205"/>
      <c r="I11" s="205"/>
      <c r="J11" s="105"/>
      <c r="K11" s="105"/>
      <c r="L11" s="105"/>
      <c r="M11" s="105"/>
      <c r="N11" s="105"/>
      <c r="O11" s="105"/>
      <c r="P11" s="105"/>
      <c r="Q11" s="105"/>
      <c r="R11" s="105"/>
      <c r="S11" s="105"/>
      <c r="T11" s="105"/>
      <c r="U11" s="105"/>
      <c r="V11" s="105"/>
      <c r="W11" s="105"/>
      <c r="X11" s="105"/>
      <c r="Y11" s="105"/>
      <c r="Z11" s="105"/>
      <c r="AA11" s="105"/>
      <c r="AB11" s="105"/>
      <c r="AC11" s="105"/>
      <c r="AD11" s="105"/>
      <c r="AE11" s="105"/>
      <c r="AF11" s="105"/>
      <c r="AG11" s="105"/>
      <c r="AH11" s="105"/>
    </row>
    <row r="12" spans="2:34">
      <c r="B12" s="205"/>
      <c r="C12" s="205"/>
      <c r="D12" s="205"/>
      <c r="E12" s="205"/>
      <c r="F12" s="205"/>
      <c r="G12" s="205"/>
      <c r="H12" s="205"/>
      <c r="I12" s="205"/>
      <c r="J12" s="105"/>
      <c r="K12" s="105"/>
      <c r="L12" s="105"/>
      <c r="M12" s="105"/>
      <c r="N12" s="105"/>
      <c r="O12" s="105"/>
      <c r="P12" s="105"/>
      <c r="Q12" s="105"/>
      <c r="R12" s="105"/>
      <c r="S12" s="105"/>
      <c r="T12" s="105"/>
      <c r="U12" s="105"/>
      <c r="V12" s="105"/>
      <c r="W12" s="105"/>
      <c r="X12" s="105"/>
      <c r="Y12" s="105"/>
      <c r="Z12" s="105"/>
      <c r="AA12" s="105"/>
      <c r="AB12" s="105"/>
      <c r="AC12" s="105"/>
      <c r="AD12" s="105"/>
      <c r="AE12" s="105"/>
      <c r="AF12" s="105"/>
      <c r="AG12" s="105"/>
      <c r="AH12" s="105"/>
    </row>
    <row r="13" spans="2:34">
      <c r="B13" s="205"/>
      <c r="C13" s="205"/>
      <c r="D13" s="205"/>
      <c r="E13" s="205"/>
      <c r="F13" s="205"/>
      <c r="G13" s="205"/>
      <c r="H13" s="205"/>
      <c r="I13" s="205"/>
      <c r="J13" s="105"/>
      <c r="K13" s="105"/>
      <c r="L13" s="105"/>
      <c r="M13" s="105"/>
      <c r="N13" s="105"/>
      <c r="O13" s="105"/>
      <c r="P13" s="105"/>
      <c r="Q13" s="105"/>
      <c r="R13" s="105"/>
      <c r="S13" s="105"/>
      <c r="T13" s="105"/>
      <c r="U13" s="105"/>
      <c r="V13" s="105"/>
      <c r="W13" s="105"/>
      <c r="X13" s="105"/>
      <c r="Y13" s="105"/>
      <c r="Z13" s="105"/>
      <c r="AA13" s="105"/>
      <c r="AB13" s="105"/>
      <c r="AC13" s="105"/>
      <c r="AD13" s="105"/>
      <c r="AE13" s="105"/>
      <c r="AF13" s="105"/>
      <c r="AG13" s="105"/>
      <c r="AH13" s="105"/>
    </row>
    <row r="14" spans="2:34" ht="4.5" customHeight="1">
      <c r="B14" s="205"/>
      <c r="C14" s="205"/>
      <c r="D14" s="205"/>
      <c r="E14" s="205"/>
      <c r="F14" s="205"/>
      <c r="G14" s="205"/>
      <c r="H14" s="205"/>
      <c r="I14" s="205"/>
      <c r="J14" s="105"/>
      <c r="K14" s="105"/>
      <c r="L14" s="105"/>
      <c r="M14" s="105"/>
      <c r="N14" s="105"/>
      <c r="O14" s="105"/>
      <c r="P14" s="105"/>
      <c r="Q14" s="105"/>
      <c r="R14" s="105"/>
      <c r="S14" s="105"/>
      <c r="T14" s="105"/>
      <c r="U14" s="105"/>
      <c r="V14" s="105"/>
      <c r="W14" s="105"/>
      <c r="X14" s="105"/>
      <c r="Y14" s="105"/>
      <c r="Z14" s="105"/>
      <c r="AA14" s="105"/>
      <c r="AB14" s="105"/>
      <c r="AC14" s="105"/>
      <c r="AD14" s="105"/>
      <c r="AE14" s="105"/>
      <c r="AF14" s="105"/>
      <c r="AG14" s="105"/>
      <c r="AH14" s="105"/>
    </row>
    <row r="15" spans="2:34" ht="6.75" customHeight="1">
      <c r="B15" s="205"/>
      <c r="C15" s="205"/>
      <c r="D15" s="205"/>
      <c r="E15" s="205"/>
      <c r="F15" s="205"/>
      <c r="G15" s="205"/>
      <c r="H15" s="205"/>
      <c r="I15" s="205"/>
      <c r="J15" s="105"/>
      <c r="K15" s="105"/>
      <c r="L15" s="105"/>
      <c r="M15" s="105"/>
      <c r="N15" s="105"/>
      <c r="O15" s="105"/>
      <c r="P15" s="105"/>
      <c r="Q15" s="105"/>
      <c r="R15" s="105"/>
      <c r="S15" s="105"/>
      <c r="T15" s="105"/>
      <c r="U15" s="105"/>
      <c r="V15" s="105"/>
      <c r="W15" s="105"/>
      <c r="X15" s="105"/>
      <c r="Y15" s="105"/>
      <c r="Z15" s="105"/>
      <c r="AA15" s="105"/>
      <c r="AB15" s="105"/>
      <c r="AC15" s="105"/>
      <c r="AD15" s="105"/>
      <c r="AE15" s="105"/>
      <c r="AF15" s="105"/>
      <c r="AG15" s="105"/>
      <c r="AH15" s="105"/>
    </row>
    <row r="16" spans="2:34">
      <c r="B16" s="137" t="s">
        <v>420</v>
      </c>
      <c r="C16" s="138"/>
      <c r="D16" s="138"/>
      <c r="E16" s="138"/>
      <c r="F16" s="138"/>
      <c r="G16" s="138"/>
      <c r="H16" s="105"/>
      <c r="I16" s="105"/>
      <c r="J16" s="105"/>
      <c r="K16" s="105"/>
      <c r="L16" s="105"/>
      <c r="M16" s="105"/>
      <c r="N16" s="105"/>
      <c r="O16" s="105"/>
      <c r="P16" s="105"/>
      <c r="Q16" s="105"/>
      <c r="R16" s="105"/>
      <c r="S16" s="105"/>
      <c r="T16" s="105"/>
      <c r="U16" s="105"/>
      <c r="V16" s="105"/>
      <c r="W16" s="105"/>
      <c r="X16" s="105"/>
      <c r="Y16" s="105"/>
      <c r="Z16" s="105"/>
      <c r="AA16" s="105"/>
      <c r="AB16" s="105"/>
      <c r="AC16" s="105"/>
      <c r="AD16" s="105"/>
      <c r="AE16" s="105"/>
      <c r="AF16" s="105"/>
      <c r="AG16" s="105"/>
      <c r="AH16" s="105"/>
    </row>
    <row r="17" spans="2:7" s="105" customFormat="1">
      <c r="B17" s="137"/>
      <c r="C17" s="138"/>
      <c r="D17" s="138"/>
      <c r="E17" s="138"/>
      <c r="F17" s="138"/>
      <c r="G17" s="138"/>
    </row>
    <row r="18" spans="2:7" s="105" customFormat="1">
      <c r="B18" s="137"/>
      <c r="C18" s="138"/>
      <c r="D18" s="138"/>
      <c r="E18" s="138"/>
      <c r="F18" s="138"/>
      <c r="G18" s="138"/>
    </row>
    <row r="19" spans="2:7" s="105" customFormat="1">
      <c r="B19" s="137"/>
      <c r="C19" s="138"/>
      <c r="D19" s="138"/>
      <c r="E19" s="138"/>
      <c r="F19" s="138"/>
      <c r="G19" s="138"/>
    </row>
    <row r="20" spans="2:7" s="105" customFormat="1">
      <c r="B20" s="137"/>
      <c r="C20" s="138"/>
      <c r="D20" s="138"/>
      <c r="E20" s="138"/>
      <c r="F20" s="138"/>
      <c r="G20" s="138"/>
    </row>
    <row r="21" spans="2:7" s="105" customFormat="1">
      <c r="B21" s="137"/>
      <c r="C21" s="138"/>
      <c r="D21" s="138"/>
      <c r="E21" s="138"/>
      <c r="F21" s="138"/>
      <c r="G21" s="138"/>
    </row>
    <row r="22" spans="2:7" s="105" customFormat="1">
      <c r="B22" s="137"/>
      <c r="C22" s="138"/>
      <c r="D22" s="138"/>
      <c r="E22" s="138"/>
      <c r="F22" s="138"/>
      <c r="G22" s="138"/>
    </row>
    <row r="23" spans="2:7" s="105" customFormat="1">
      <c r="B23" s="137"/>
      <c r="C23" s="138"/>
      <c r="D23" s="138"/>
      <c r="E23" s="138"/>
      <c r="F23" s="138"/>
      <c r="G23" s="138"/>
    </row>
    <row r="24" spans="2:7" s="105" customFormat="1">
      <c r="B24" s="137"/>
      <c r="C24" s="138"/>
      <c r="D24" s="138"/>
      <c r="E24" s="138"/>
      <c r="F24" s="138"/>
      <c r="G24" s="138"/>
    </row>
    <row r="25" spans="2:7" s="105" customFormat="1">
      <c r="B25" s="137"/>
      <c r="C25" s="138"/>
      <c r="D25" s="138"/>
      <c r="E25" s="138"/>
      <c r="F25" s="138"/>
      <c r="G25" s="138"/>
    </row>
    <row r="26" spans="2:7" s="105" customFormat="1">
      <c r="B26" s="137"/>
      <c r="C26" s="138"/>
      <c r="D26" s="138"/>
      <c r="E26" s="138"/>
      <c r="F26" s="138"/>
      <c r="G26" s="138"/>
    </row>
    <row r="27" spans="2:7" s="105" customFormat="1">
      <c r="B27" s="137"/>
      <c r="C27" s="138"/>
      <c r="D27" s="138"/>
      <c r="E27" s="138"/>
      <c r="F27" s="138"/>
      <c r="G27" s="138"/>
    </row>
    <row r="28" spans="2:7" s="105" customFormat="1">
      <c r="B28" s="137"/>
      <c r="C28" s="138"/>
      <c r="D28" s="138"/>
      <c r="E28" s="138"/>
      <c r="F28" s="138"/>
      <c r="G28" s="138"/>
    </row>
    <row r="29" spans="2:7" s="105" customFormat="1">
      <c r="B29" s="137"/>
      <c r="C29" s="138"/>
      <c r="D29" s="138"/>
      <c r="E29" s="138"/>
      <c r="F29" s="138"/>
      <c r="G29" s="138"/>
    </row>
    <row r="30" spans="2:7" s="105" customFormat="1">
      <c r="B30" s="137"/>
      <c r="C30" s="138"/>
      <c r="D30" s="138"/>
      <c r="E30" s="138"/>
      <c r="F30" s="138"/>
      <c r="G30" s="138"/>
    </row>
    <row r="31" spans="2:7" s="105" customFormat="1">
      <c r="B31" s="137"/>
      <c r="C31" s="138"/>
      <c r="D31" s="138"/>
      <c r="E31" s="138"/>
      <c r="F31" s="138"/>
      <c r="G31" s="138"/>
    </row>
    <row r="32" spans="2:7" s="105" customFormat="1">
      <c r="B32" s="137"/>
      <c r="C32" s="138"/>
      <c r="D32" s="138"/>
      <c r="E32" s="138"/>
      <c r="F32" s="138"/>
      <c r="G32" s="138"/>
    </row>
    <row r="33" spans="2:7" s="105" customFormat="1">
      <c r="B33" s="137"/>
      <c r="C33" s="138"/>
      <c r="D33" s="138"/>
      <c r="E33" s="138"/>
      <c r="F33" s="138"/>
      <c r="G33" s="138"/>
    </row>
    <row r="34" spans="2:7" s="105" customFormat="1">
      <c r="B34" s="137"/>
      <c r="C34" s="138"/>
      <c r="D34" s="138"/>
      <c r="E34" s="138"/>
      <c r="F34" s="138"/>
      <c r="G34" s="138"/>
    </row>
    <row r="35" spans="2:7" s="105" customFormat="1">
      <c r="B35" s="137"/>
      <c r="C35" s="138"/>
      <c r="D35" s="138"/>
      <c r="E35" s="138"/>
      <c r="F35" s="138"/>
      <c r="G35" s="138"/>
    </row>
    <row r="36" spans="2:7" s="105" customFormat="1">
      <c r="B36" s="137"/>
      <c r="C36" s="138"/>
      <c r="D36" s="138"/>
      <c r="E36" s="138"/>
      <c r="F36" s="138"/>
      <c r="G36" s="138"/>
    </row>
    <row r="37" spans="2:7" s="105" customFormat="1">
      <c r="B37" s="137"/>
      <c r="C37" s="138"/>
      <c r="D37" s="138"/>
      <c r="E37" s="138"/>
      <c r="F37" s="138"/>
      <c r="G37" s="138"/>
    </row>
    <row r="38" spans="2:7" s="105" customFormat="1">
      <c r="B38" s="137"/>
      <c r="C38" s="138"/>
      <c r="D38" s="138"/>
      <c r="E38" s="138"/>
      <c r="F38" s="138"/>
      <c r="G38" s="138"/>
    </row>
    <row r="39" spans="2:7" s="105" customFormat="1">
      <c r="B39" s="137"/>
      <c r="C39" s="138"/>
      <c r="D39" s="138"/>
      <c r="E39" s="138"/>
      <c r="F39" s="138"/>
      <c r="G39" s="138"/>
    </row>
    <row r="40" spans="2:7" s="105" customFormat="1">
      <c r="B40" s="137"/>
      <c r="C40" s="138"/>
      <c r="D40" s="138"/>
      <c r="E40" s="138"/>
      <c r="F40" s="138"/>
      <c r="G40" s="138"/>
    </row>
    <row r="41" spans="2:7" s="105" customFormat="1">
      <c r="B41" s="137"/>
      <c r="C41" s="138"/>
      <c r="D41" s="138"/>
      <c r="E41" s="138"/>
      <c r="F41" s="138"/>
      <c r="G41" s="138"/>
    </row>
    <row r="42" spans="2:7" s="105" customFormat="1">
      <c r="B42" s="137"/>
      <c r="C42" s="138"/>
      <c r="D42" s="138"/>
      <c r="E42" s="138"/>
      <c r="F42" s="138"/>
      <c r="G42" s="138"/>
    </row>
    <row r="43" spans="2:7" s="105" customFormat="1">
      <c r="B43" s="137"/>
      <c r="C43" s="138"/>
      <c r="D43" s="138"/>
      <c r="E43" s="138"/>
      <c r="F43" s="138"/>
      <c r="G43" s="138"/>
    </row>
    <row r="44" spans="2:7" s="105" customFormat="1">
      <c r="B44" s="137"/>
      <c r="C44" s="138"/>
      <c r="D44" s="138"/>
      <c r="E44" s="138"/>
      <c r="F44" s="138"/>
      <c r="G44" s="138"/>
    </row>
    <row r="45" spans="2:7" s="105" customFormat="1">
      <c r="B45" s="137"/>
      <c r="C45" s="138"/>
      <c r="D45" s="138"/>
      <c r="E45" s="138"/>
      <c r="F45" s="138"/>
      <c r="G45" s="138"/>
    </row>
    <row r="46" spans="2:7" s="105" customFormat="1">
      <c r="B46" s="137"/>
      <c r="C46" s="138"/>
      <c r="D46" s="138"/>
      <c r="E46" s="138"/>
      <c r="F46" s="138"/>
      <c r="G46" s="138"/>
    </row>
    <row r="47" spans="2:7" s="105" customFormat="1">
      <c r="B47" s="137"/>
      <c r="C47" s="138"/>
      <c r="D47" s="138"/>
      <c r="E47" s="138"/>
      <c r="F47" s="138"/>
      <c r="G47" s="138"/>
    </row>
    <row r="48" spans="2:7" s="105" customFormat="1">
      <c r="B48" s="137"/>
      <c r="C48" s="138"/>
      <c r="D48" s="138"/>
      <c r="E48" s="138"/>
      <c r="F48" s="138"/>
      <c r="G48" s="138"/>
    </row>
    <row r="49" spans="2:34">
      <c r="B49" s="105"/>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5"/>
      <c r="AA49" s="105"/>
      <c r="AB49" s="105"/>
      <c r="AC49" s="105"/>
      <c r="AD49" s="105"/>
      <c r="AE49" s="105"/>
      <c r="AF49" s="105"/>
      <c r="AG49" s="105"/>
      <c r="AH49" s="105"/>
    </row>
    <row r="50" spans="2:34" s="105" customFormat="1"/>
    <row r="51" spans="2:34" s="105" customFormat="1"/>
    <row r="52" spans="2:34" s="105" customFormat="1"/>
    <row r="53" spans="2:34" s="105" customFormat="1"/>
    <row r="54" spans="2:34" s="105" customFormat="1"/>
    <row r="55" spans="2:34" s="105" customFormat="1"/>
    <row r="56" spans="2:34" s="105" customFormat="1"/>
    <row r="57" spans="2:34" s="105" customFormat="1"/>
    <row r="58" spans="2:34" s="105" customFormat="1"/>
    <row r="59" spans="2:34" s="105" customFormat="1"/>
    <row r="60" spans="2:34" s="105" customFormat="1"/>
    <row r="61" spans="2:34" s="105" customFormat="1"/>
    <row r="62" spans="2:34" s="105" customFormat="1"/>
    <row r="63" spans="2:34" s="105" customFormat="1"/>
    <row r="64" spans="2:34" s="105" customFormat="1"/>
    <row r="65" spans="2:34" s="105" customFormat="1"/>
    <row r="66" spans="2:34" s="105" customFormat="1"/>
    <row r="67" spans="2:34" ht="15.75">
      <c r="B67" s="204" t="s">
        <v>421</v>
      </c>
      <c r="C67" s="204"/>
      <c r="D67" s="204"/>
      <c r="E67" s="204"/>
      <c r="F67" s="204"/>
      <c r="G67" s="204"/>
      <c r="H67" s="204"/>
      <c r="I67" s="204"/>
      <c r="J67" s="105"/>
      <c r="K67" s="105"/>
      <c r="L67" s="105"/>
      <c r="M67" s="105"/>
      <c r="N67" s="105"/>
      <c r="O67" s="105"/>
      <c r="P67" s="105"/>
      <c r="Q67" s="105"/>
      <c r="R67" s="105"/>
      <c r="S67" s="105"/>
      <c r="T67" s="105"/>
      <c r="U67" s="105"/>
      <c r="V67" s="105"/>
      <c r="W67" s="105"/>
      <c r="X67" s="105"/>
      <c r="Y67" s="105"/>
      <c r="Z67" s="105"/>
      <c r="AA67" s="105"/>
      <c r="AB67" s="105"/>
      <c r="AC67" s="105"/>
      <c r="AD67" s="105"/>
      <c r="AE67" s="105"/>
      <c r="AF67" s="105"/>
      <c r="AG67" s="105"/>
      <c r="AH67" s="105"/>
    </row>
    <row r="68" spans="2:34">
      <c r="B68" s="105"/>
      <c r="C68" s="139">
        <f>HistoricalFS!F3</f>
        <v>43921</v>
      </c>
      <c r="D68" s="139">
        <f>HistoricalFS!G3</f>
        <v>44286</v>
      </c>
      <c r="E68" s="139">
        <f>HistoricalFS!H3</f>
        <v>44651</v>
      </c>
      <c r="F68" s="139">
        <f>HistoricalFS!I3</f>
        <v>45016</v>
      </c>
      <c r="G68" s="139">
        <f>HistoricalFS!J3</f>
        <v>45382</v>
      </c>
      <c r="H68" s="139">
        <f>HistoricalFS!K3</f>
        <v>45747</v>
      </c>
      <c r="I68" s="139">
        <f>HistoricalFS!L3</f>
        <v>46112</v>
      </c>
      <c r="J68" s="105"/>
      <c r="K68" s="105"/>
      <c r="L68" s="105"/>
      <c r="M68" s="105"/>
      <c r="N68" s="105"/>
      <c r="O68" s="105"/>
      <c r="P68" s="105"/>
      <c r="Q68" s="105"/>
      <c r="R68" s="105"/>
      <c r="S68" s="105"/>
      <c r="T68" s="105"/>
      <c r="U68" s="105"/>
      <c r="V68" s="105"/>
      <c r="W68" s="105"/>
      <c r="X68" s="105"/>
      <c r="Y68" s="105"/>
      <c r="Z68" s="105"/>
      <c r="AA68" s="105"/>
      <c r="AB68" s="105"/>
      <c r="AC68" s="105"/>
      <c r="AD68" s="105"/>
      <c r="AE68" s="105"/>
      <c r="AF68" s="105"/>
      <c r="AG68" s="105"/>
      <c r="AH68" s="105"/>
    </row>
    <row r="69" spans="2:34">
      <c r="B69" s="105" t="s">
        <v>181</v>
      </c>
      <c r="C69" s="95">
        <f>HistoricalFS!F33</f>
        <v>13836</v>
      </c>
      <c r="D69" s="95">
        <f>HistoricalFS!G33</f>
        <v>17222</v>
      </c>
      <c r="E69" s="95">
        <f>HistoricalFS!H33</f>
        <v>19851</v>
      </c>
      <c r="F69" s="95">
        <f>HistoricalFS!I33</f>
        <v>21407</v>
      </c>
      <c r="G69" s="95">
        <f>HistoricalFS!J33</f>
        <v>21537</v>
      </c>
      <c r="H69" s="95">
        <f>HistoricalFS!K33</f>
        <v>23150</v>
      </c>
      <c r="I69" s="95">
        <f>HistoricalFS!L33</f>
        <v>26441</v>
      </c>
      <c r="J69" s="105"/>
      <c r="K69" s="105"/>
      <c r="L69" s="105"/>
      <c r="M69" s="105"/>
      <c r="N69" s="105"/>
      <c r="O69" s="105"/>
      <c r="P69" s="105"/>
      <c r="Q69" s="105"/>
      <c r="R69" s="105"/>
      <c r="S69" s="105"/>
      <c r="T69" s="105"/>
      <c r="U69" s="105"/>
      <c r="V69" s="105"/>
      <c r="W69" s="105"/>
      <c r="X69" s="105"/>
      <c r="Y69" s="105"/>
      <c r="Z69" s="105"/>
      <c r="AA69" s="105"/>
      <c r="AB69" s="105"/>
      <c r="AC69" s="105"/>
      <c r="AD69" s="105"/>
      <c r="AE69" s="105"/>
      <c r="AF69" s="105"/>
      <c r="AG69" s="105"/>
      <c r="AH69" s="105"/>
    </row>
    <row r="70" spans="2:34">
      <c r="B70" s="105" t="s">
        <v>422</v>
      </c>
      <c r="C70" s="95">
        <f>(('Data Sheet'!E57+'Data Sheet'!E58)+('Data Sheet'!D57+'Data Sheet'!D58)/2)</f>
        <v>97924</v>
      </c>
      <c r="D70" s="95">
        <f>(('Data Sheet'!F57+'Data Sheet'!F58)+('Data Sheet'!E57+'Data Sheet'!E58)/2)</f>
        <v>109076</v>
      </c>
      <c r="E70" s="95">
        <f>(('Data Sheet'!G57+'Data Sheet'!G58)+('Data Sheet'!F57+'Data Sheet'!F58)/2)</f>
        <v>113525.5</v>
      </c>
      <c r="F70" s="95">
        <f>(('Data Sheet'!H57+'Data Sheet'!H58)+('Data Sheet'!G57+'Data Sheet'!G58)/2)</f>
        <v>113082</v>
      </c>
      <c r="G70" s="95">
        <f>(('Data Sheet'!I57+'Data Sheet'!I58)+('Data Sheet'!H57+'Data Sheet'!H58)/2)</f>
        <v>125819.5</v>
      </c>
      <c r="H70" s="95">
        <f>(('Data Sheet'!J57+'Data Sheet'!J58)+('Data Sheet'!I57+'Data Sheet'!I58)/2)</f>
        <v>139876</v>
      </c>
      <c r="I70" s="95">
        <f>(('Data Sheet'!K57+'Data Sheet'!K58)+('Data Sheet'!J57+'Data Sheet'!J58)/2)</f>
        <v>140761</v>
      </c>
      <c r="J70" s="105"/>
      <c r="K70" s="105"/>
      <c r="L70" s="105"/>
      <c r="M70" s="105"/>
      <c r="N70" s="105"/>
      <c r="O70" s="105"/>
      <c r="P70" s="105"/>
      <c r="Q70" s="105"/>
      <c r="R70" s="105"/>
      <c r="S70" s="105"/>
      <c r="T70" s="105"/>
      <c r="U70" s="105"/>
      <c r="V70" s="105"/>
      <c r="W70" s="105"/>
      <c r="X70" s="105"/>
      <c r="Y70" s="105"/>
      <c r="Z70" s="105"/>
      <c r="AA70" s="105"/>
      <c r="AB70" s="105"/>
      <c r="AC70" s="105"/>
      <c r="AD70" s="105"/>
      <c r="AE70" s="105"/>
      <c r="AF70" s="105"/>
      <c r="AG70" s="105"/>
      <c r="AH70" s="105"/>
    </row>
    <row r="71" spans="2:34">
      <c r="B71" s="140" t="s">
        <v>423</v>
      </c>
      <c r="C71" s="141">
        <f>C69/C70</f>
        <v>0.14129324782484376</v>
      </c>
      <c r="D71" s="141">
        <f t="shared" ref="D71:I71" si="0">D69/D70</f>
        <v>0.1578899116212549</v>
      </c>
      <c r="E71" s="141">
        <f t="shared" si="0"/>
        <v>0.17485939282363874</v>
      </c>
      <c r="F71" s="141">
        <f t="shared" si="0"/>
        <v>0.1893051060292531</v>
      </c>
      <c r="G71" s="141">
        <f t="shared" si="0"/>
        <v>0.17117378466771843</v>
      </c>
      <c r="H71" s="141">
        <f t="shared" si="0"/>
        <v>0.16550373187680517</v>
      </c>
      <c r="I71" s="141">
        <f t="shared" si="0"/>
        <v>0.18784322362017888</v>
      </c>
      <c r="J71" s="105"/>
      <c r="K71" s="105"/>
      <c r="L71" s="105"/>
      <c r="M71" s="105"/>
      <c r="N71" s="105"/>
      <c r="O71" s="105"/>
      <c r="P71" s="105"/>
      <c r="Q71" s="105"/>
      <c r="R71" s="105"/>
      <c r="S71" s="105"/>
      <c r="T71" s="105"/>
      <c r="U71" s="105"/>
      <c r="V71" s="105"/>
      <c r="W71" s="105"/>
      <c r="X71" s="105"/>
      <c r="Y71" s="105"/>
      <c r="Z71" s="105"/>
      <c r="AA71" s="105"/>
      <c r="AB71" s="105"/>
      <c r="AC71" s="105"/>
      <c r="AD71" s="105"/>
      <c r="AE71" s="105"/>
      <c r="AF71" s="105"/>
      <c r="AG71" s="105"/>
      <c r="AH71" s="105"/>
    </row>
    <row r="72" spans="2:34">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c r="AA72" s="105"/>
      <c r="AB72" s="105"/>
      <c r="AC72" s="105"/>
      <c r="AD72" s="105"/>
      <c r="AE72" s="105"/>
      <c r="AF72" s="105"/>
      <c r="AG72" s="105"/>
      <c r="AH72" s="105"/>
    </row>
    <row r="73" spans="2:34" ht="15.75">
      <c r="B73" s="204" t="s">
        <v>424</v>
      </c>
      <c r="C73" s="204"/>
      <c r="D73" s="204"/>
      <c r="E73" s="204"/>
      <c r="F73" s="204"/>
      <c r="G73" s="204"/>
      <c r="H73" s="204"/>
      <c r="I73" s="204"/>
      <c r="J73" s="105"/>
      <c r="K73" s="105"/>
      <c r="L73" s="105"/>
      <c r="M73" s="105"/>
      <c r="N73" s="105"/>
      <c r="O73" s="105"/>
      <c r="P73" s="105"/>
      <c r="Q73" s="105"/>
      <c r="R73" s="105"/>
      <c r="S73" s="105"/>
      <c r="T73" s="105"/>
      <c r="U73" s="105"/>
      <c r="V73" s="105"/>
      <c r="W73" s="105"/>
      <c r="X73" s="105"/>
      <c r="Y73" s="105"/>
      <c r="Z73" s="105"/>
      <c r="AA73" s="105"/>
      <c r="AB73" s="105"/>
      <c r="AC73" s="105"/>
      <c r="AD73" s="105"/>
      <c r="AE73" s="105"/>
      <c r="AF73" s="105"/>
      <c r="AG73" s="105"/>
      <c r="AH73" s="105"/>
    </row>
    <row r="74" spans="2:34">
      <c r="B74" s="105"/>
      <c r="C74" s="139">
        <f>C68</f>
        <v>43921</v>
      </c>
      <c r="D74" s="139">
        <f t="shared" ref="D74:I74" si="1">D68</f>
        <v>44286</v>
      </c>
      <c r="E74" s="139">
        <f t="shared" si="1"/>
        <v>44651</v>
      </c>
      <c r="F74" s="139">
        <f t="shared" si="1"/>
        <v>45016</v>
      </c>
      <c r="G74" s="139">
        <f t="shared" si="1"/>
        <v>45382</v>
      </c>
      <c r="H74" s="139">
        <f t="shared" si="1"/>
        <v>45747</v>
      </c>
      <c r="I74" s="139">
        <f t="shared" si="1"/>
        <v>46112</v>
      </c>
      <c r="J74" s="105"/>
      <c r="K74" s="105"/>
      <c r="L74" s="105"/>
      <c r="M74" s="105"/>
      <c r="N74" s="105"/>
      <c r="O74" s="105"/>
      <c r="P74" s="105"/>
      <c r="Q74" s="105"/>
      <c r="R74" s="105"/>
      <c r="S74" s="105"/>
      <c r="T74" s="105"/>
      <c r="U74" s="105"/>
      <c r="V74" s="105"/>
      <c r="W74" s="105"/>
      <c r="X74" s="105"/>
      <c r="Y74" s="105"/>
      <c r="Z74" s="105"/>
      <c r="AA74" s="105"/>
      <c r="AB74" s="105"/>
      <c r="AC74" s="105"/>
      <c r="AD74" s="105"/>
      <c r="AE74" s="105"/>
      <c r="AF74" s="105"/>
      <c r="AG74" s="105"/>
      <c r="AH74" s="105"/>
    </row>
    <row r="75" spans="2:34">
      <c r="B75" s="105" t="str">
        <f>B69</f>
        <v>Net Profit</v>
      </c>
      <c r="C75" s="95">
        <f t="shared" ref="C75:I75" si="2">C69</f>
        <v>13836</v>
      </c>
      <c r="D75" s="95">
        <f t="shared" si="2"/>
        <v>17222</v>
      </c>
      <c r="E75" s="95">
        <f t="shared" si="2"/>
        <v>19851</v>
      </c>
      <c r="F75" s="95">
        <f t="shared" si="2"/>
        <v>21407</v>
      </c>
      <c r="G75" s="95">
        <f t="shared" si="2"/>
        <v>21537</v>
      </c>
      <c r="H75" s="95">
        <f t="shared" si="2"/>
        <v>23150</v>
      </c>
      <c r="I75" s="95">
        <f t="shared" si="2"/>
        <v>26441</v>
      </c>
      <c r="J75" s="105"/>
      <c r="K75" s="105"/>
      <c r="L75" s="105"/>
      <c r="M75" s="105"/>
      <c r="N75" s="105"/>
      <c r="O75" s="105"/>
      <c r="P75" s="105"/>
      <c r="Q75" s="105"/>
      <c r="R75" s="105"/>
      <c r="S75" s="105"/>
      <c r="T75" s="105"/>
      <c r="U75" s="105"/>
      <c r="V75" s="105"/>
      <c r="W75" s="105"/>
      <c r="X75" s="105"/>
      <c r="Y75" s="105"/>
      <c r="Z75" s="105"/>
      <c r="AA75" s="105"/>
      <c r="AB75" s="105"/>
      <c r="AC75" s="105"/>
      <c r="AD75" s="105"/>
      <c r="AE75" s="105"/>
      <c r="AF75" s="105"/>
      <c r="AG75" s="105"/>
      <c r="AH75" s="105"/>
    </row>
    <row r="76" spans="2:34">
      <c r="B76" s="105" t="s">
        <v>398</v>
      </c>
      <c r="C76" s="95">
        <f>HistoricalFS!F6</f>
        <v>90791</v>
      </c>
      <c r="D76" s="95">
        <f>HistoricalFS!G6</f>
        <v>100472</v>
      </c>
      <c r="E76" s="95">
        <f>HistoricalFS!H6</f>
        <v>121641</v>
      </c>
      <c r="F76" s="95">
        <f>HistoricalFS!I6</f>
        <v>146767</v>
      </c>
      <c r="G76" s="95">
        <f>HistoricalFS!J6</f>
        <v>153670</v>
      </c>
      <c r="H76" s="95">
        <f>HistoricalFS!K6</f>
        <v>162990</v>
      </c>
      <c r="I76" s="95">
        <f>HistoricalFS!L6</f>
        <v>178650</v>
      </c>
      <c r="J76" s="105"/>
      <c r="K76" s="105"/>
      <c r="L76" s="105"/>
      <c r="M76" s="105"/>
      <c r="N76" s="105"/>
      <c r="O76" s="105"/>
      <c r="P76" s="105"/>
      <c r="Q76" s="105"/>
      <c r="R76" s="105"/>
      <c r="S76" s="105"/>
      <c r="T76" s="105"/>
      <c r="U76" s="105"/>
      <c r="V76" s="105"/>
      <c r="W76" s="105"/>
      <c r="X76" s="105"/>
      <c r="Y76" s="105"/>
      <c r="Z76" s="105"/>
      <c r="AA76" s="105"/>
      <c r="AB76" s="105"/>
      <c r="AC76" s="105"/>
      <c r="AD76" s="105"/>
      <c r="AE76" s="105"/>
      <c r="AF76" s="105"/>
      <c r="AG76" s="105"/>
      <c r="AH76" s="105"/>
    </row>
    <row r="77" spans="2:34">
      <c r="B77" s="140" t="s">
        <v>425</v>
      </c>
      <c r="C77" s="141">
        <f t="shared" ref="C77:H77" si="3">C75/C76</f>
        <v>0.15239395975372008</v>
      </c>
      <c r="D77" s="141">
        <f t="shared" si="3"/>
        <v>0.17141094036149376</v>
      </c>
      <c r="E77" s="141">
        <f t="shared" si="3"/>
        <v>0.16319333119589613</v>
      </c>
      <c r="F77" s="141">
        <f t="shared" si="3"/>
        <v>0.14585703870761138</v>
      </c>
      <c r="G77" s="141">
        <f t="shared" si="3"/>
        <v>0.14015097286392919</v>
      </c>
      <c r="H77" s="141">
        <f t="shared" si="3"/>
        <v>0.14203325357383889</v>
      </c>
      <c r="I77" s="141">
        <f>I75/I76</f>
        <v>0.14800447802966696</v>
      </c>
      <c r="J77" s="105"/>
      <c r="K77" s="105"/>
      <c r="L77" s="105"/>
      <c r="M77" s="105"/>
      <c r="N77" s="105"/>
      <c r="O77" s="105"/>
      <c r="P77" s="105"/>
      <c r="Q77" s="105"/>
      <c r="R77" s="105"/>
      <c r="S77" s="105"/>
      <c r="T77" s="105"/>
      <c r="U77" s="105"/>
      <c r="V77" s="105"/>
      <c r="W77" s="105"/>
      <c r="X77" s="105"/>
      <c r="Y77" s="105"/>
      <c r="Z77" s="105"/>
      <c r="AA77" s="105"/>
      <c r="AB77" s="105"/>
      <c r="AC77" s="105"/>
      <c r="AD77" s="105"/>
      <c r="AE77" s="105"/>
      <c r="AF77" s="105"/>
      <c r="AG77" s="105"/>
      <c r="AH77" s="105"/>
    </row>
    <row r="78" spans="2:34">
      <c r="B78" s="105"/>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c r="AA78" s="105"/>
      <c r="AB78" s="105"/>
      <c r="AC78" s="105"/>
      <c r="AD78" s="105"/>
      <c r="AE78" s="105"/>
      <c r="AF78" s="105"/>
      <c r="AG78" s="105"/>
      <c r="AH78" s="105"/>
    </row>
    <row r="79" spans="2:34">
      <c r="B79" s="105" t="s">
        <v>398</v>
      </c>
      <c r="C79" s="95">
        <f>C76</f>
        <v>90791</v>
      </c>
      <c r="D79" s="95">
        <f t="shared" ref="D79:I79" si="4">D76</f>
        <v>100472</v>
      </c>
      <c r="E79" s="95">
        <f t="shared" si="4"/>
        <v>121641</v>
      </c>
      <c r="F79" s="95">
        <f t="shared" si="4"/>
        <v>146767</v>
      </c>
      <c r="G79" s="95">
        <f t="shared" si="4"/>
        <v>153670</v>
      </c>
      <c r="H79" s="95">
        <f t="shared" si="4"/>
        <v>162990</v>
      </c>
      <c r="I79" s="95">
        <f t="shared" si="4"/>
        <v>178650</v>
      </c>
      <c r="J79" s="105"/>
      <c r="K79" s="105"/>
      <c r="L79" s="105"/>
      <c r="M79" s="105"/>
      <c r="N79" s="105"/>
      <c r="O79" s="105"/>
      <c r="P79" s="105"/>
      <c r="Q79" s="105"/>
      <c r="R79" s="105"/>
      <c r="S79" s="105"/>
      <c r="T79" s="105"/>
      <c r="U79" s="105"/>
      <c r="V79" s="105"/>
      <c r="W79" s="105"/>
      <c r="X79" s="105"/>
      <c r="Y79" s="105"/>
      <c r="Z79" s="105"/>
      <c r="AA79" s="105"/>
      <c r="AB79" s="105"/>
      <c r="AC79" s="105"/>
      <c r="AD79" s="105"/>
      <c r="AE79" s="105"/>
      <c r="AF79" s="105"/>
      <c r="AG79" s="105"/>
      <c r="AH79" s="105"/>
    </row>
    <row r="80" spans="2:34">
      <c r="B80" s="105" t="s">
        <v>426</v>
      </c>
      <c r="C80" s="95">
        <f>(('Data Sheet'!E66+'Data Sheet'!D66)/2)</f>
        <v>87933</v>
      </c>
      <c r="D80" s="95">
        <f>(('Data Sheet'!F66+'Data Sheet'!E66)/2)</f>
        <v>99655.5</v>
      </c>
      <c r="E80" s="95">
        <f>(('Data Sheet'!G66+'Data Sheet'!F66)/2)</f>
        <v>112120</v>
      </c>
      <c r="F80" s="95">
        <f>(('Data Sheet'!H66+'Data Sheet'!G66)/2)</f>
        <v>120662.5</v>
      </c>
      <c r="G80" s="95">
        <f>(('Data Sheet'!I66+'Data Sheet'!H66)/2)</f>
        <v>130308</v>
      </c>
      <c r="H80" s="95">
        <f>(('Data Sheet'!J66+'Data Sheet'!I66)/2)</f>
        <v>141907.5</v>
      </c>
      <c r="I80" s="95">
        <f>(('Data Sheet'!K66+'Data Sheet'!J66)/2)</f>
        <v>151041.5</v>
      </c>
      <c r="J80" s="105"/>
      <c r="K80" s="105"/>
      <c r="L80" s="105"/>
      <c r="M80" s="105"/>
      <c r="N80" s="105"/>
      <c r="O80" s="105"/>
      <c r="P80" s="105"/>
      <c r="Q80" s="105"/>
      <c r="R80" s="105"/>
      <c r="S80" s="105"/>
      <c r="T80" s="105"/>
      <c r="U80" s="105"/>
      <c r="V80" s="105"/>
      <c r="W80" s="105"/>
      <c r="X80" s="105"/>
      <c r="Y80" s="105"/>
      <c r="Z80" s="105"/>
      <c r="AA80" s="105"/>
      <c r="AB80" s="105"/>
      <c r="AC80" s="105"/>
      <c r="AD80" s="105"/>
      <c r="AE80" s="105"/>
      <c r="AF80" s="105"/>
      <c r="AG80" s="105"/>
      <c r="AH80" s="105"/>
    </row>
    <row r="81" spans="2:34">
      <c r="B81" s="140" t="s">
        <v>427</v>
      </c>
      <c r="C81" s="142">
        <f t="shared" ref="C81:H81" si="5">C79/C80</f>
        <v>1.0325020185823297</v>
      </c>
      <c r="D81" s="142">
        <f t="shared" si="5"/>
        <v>1.0081932256624071</v>
      </c>
      <c r="E81" s="142">
        <f t="shared" si="5"/>
        <v>1.0849179450588655</v>
      </c>
      <c r="F81" s="142">
        <f t="shared" si="5"/>
        <v>1.216343105770227</v>
      </c>
      <c r="G81" s="142">
        <f t="shared" si="5"/>
        <v>1.1792829296743101</v>
      </c>
      <c r="H81" s="142">
        <f t="shared" si="5"/>
        <v>1.1485650864119232</v>
      </c>
      <c r="I81" s="142">
        <f>I79/I80</f>
        <v>1.1827875120413927</v>
      </c>
      <c r="J81" s="105"/>
      <c r="K81" s="105"/>
      <c r="L81" s="105"/>
      <c r="M81" s="105"/>
      <c r="N81" s="105"/>
      <c r="O81" s="105"/>
      <c r="P81" s="105"/>
      <c r="Q81" s="105"/>
      <c r="R81" s="105"/>
      <c r="S81" s="105"/>
      <c r="T81" s="105"/>
      <c r="U81" s="105"/>
      <c r="V81" s="105"/>
      <c r="W81" s="105"/>
      <c r="X81" s="105"/>
      <c r="Y81" s="105"/>
      <c r="Z81" s="105"/>
      <c r="AA81" s="105"/>
      <c r="AB81" s="105"/>
      <c r="AC81" s="105"/>
      <c r="AD81" s="105"/>
      <c r="AE81" s="105"/>
      <c r="AF81" s="105"/>
      <c r="AG81" s="105"/>
      <c r="AH81" s="105"/>
    </row>
    <row r="82" spans="2:34">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c r="AA82" s="105"/>
      <c r="AB82" s="105"/>
      <c r="AC82" s="105"/>
      <c r="AD82" s="105"/>
      <c r="AE82" s="105"/>
      <c r="AF82" s="105"/>
      <c r="AG82" s="105"/>
      <c r="AH82" s="105"/>
    </row>
    <row r="83" spans="2:34">
      <c r="B83" s="105" t="str">
        <f>B80</f>
        <v>Average Total Asset</v>
      </c>
      <c r="C83" s="95">
        <f>C80</f>
        <v>87933</v>
      </c>
      <c r="D83" s="95">
        <f t="shared" ref="D83:I83" si="6">D80</f>
        <v>99655.5</v>
      </c>
      <c r="E83" s="95">
        <f t="shared" si="6"/>
        <v>112120</v>
      </c>
      <c r="F83" s="95">
        <f t="shared" si="6"/>
        <v>120662.5</v>
      </c>
      <c r="G83" s="95">
        <f t="shared" si="6"/>
        <v>130308</v>
      </c>
      <c r="H83" s="95">
        <f t="shared" si="6"/>
        <v>141907.5</v>
      </c>
      <c r="I83" s="95">
        <f t="shared" si="6"/>
        <v>151041.5</v>
      </c>
      <c r="J83" s="105"/>
      <c r="K83" s="105"/>
      <c r="L83" s="105"/>
      <c r="M83" s="105"/>
      <c r="N83" s="105"/>
      <c r="O83" s="105"/>
      <c r="P83" s="105"/>
      <c r="Q83" s="105"/>
      <c r="R83" s="105"/>
      <c r="S83" s="105"/>
      <c r="T83" s="105"/>
      <c r="U83" s="105"/>
      <c r="V83" s="105"/>
      <c r="W83" s="105"/>
      <c r="X83" s="105"/>
      <c r="Y83" s="105"/>
      <c r="Z83" s="105"/>
      <c r="AA83" s="105"/>
      <c r="AB83" s="105"/>
      <c r="AC83" s="105"/>
      <c r="AD83" s="105"/>
      <c r="AE83" s="105"/>
      <c r="AF83" s="105"/>
      <c r="AG83" s="105"/>
      <c r="AH83" s="105"/>
    </row>
    <row r="84" spans="2:34">
      <c r="B84" s="105" t="str">
        <f>B70</f>
        <v>Average Shareholder Equity</v>
      </c>
      <c r="C84" s="95">
        <f>C70</f>
        <v>97924</v>
      </c>
      <c r="D84" s="95">
        <f t="shared" ref="D84:I84" si="7">D70</f>
        <v>109076</v>
      </c>
      <c r="E84" s="95">
        <f t="shared" si="7"/>
        <v>113525.5</v>
      </c>
      <c r="F84" s="95">
        <f t="shared" si="7"/>
        <v>113082</v>
      </c>
      <c r="G84" s="95">
        <f t="shared" si="7"/>
        <v>125819.5</v>
      </c>
      <c r="H84" s="95">
        <f t="shared" si="7"/>
        <v>139876</v>
      </c>
      <c r="I84" s="95">
        <f t="shared" si="7"/>
        <v>140761</v>
      </c>
      <c r="J84" s="105"/>
      <c r="K84" s="105"/>
      <c r="L84" s="105"/>
      <c r="M84" s="105"/>
      <c r="N84" s="105"/>
      <c r="O84" s="105"/>
      <c r="P84" s="105"/>
      <c r="Q84" s="105"/>
      <c r="R84" s="105"/>
      <c r="S84" s="105"/>
      <c r="T84" s="105"/>
      <c r="U84" s="105"/>
      <c r="V84" s="105"/>
      <c r="W84" s="105"/>
      <c r="X84" s="105"/>
      <c r="Y84" s="105"/>
      <c r="Z84" s="105"/>
      <c r="AA84" s="105"/>
      <c r="AB84" s="105"/>
      <c r="AC84" s="105"/>
      <c r="AD84" s="105"/>
      <c r="AE84" s="105"/>
      <c r="AF84" s="105"/>
      <c r="AG84" s="105"/>
      <c r="AH84" s="105"/>
    </row>
    <row r="85" spans="2:34">
      <c r="B85" s="140" t="s">
        <v>428</v>
      </c>
      <c r="C85" s="143">
        <f t="shared" ref="C85:H85" si="8">C83/C84</f>
        <v>0.89797189657285237</v>
      </c>
      <c r="D85" s="143">
        <f t="shared" si="8"/>
        <v>0.91363361326047898</v>
      </c>
      <c r="E85" s="143">
        <f t="shared" si="8"/>
        <v>0.98761952160527811</v>
      </c>
      <c r="F85" s="143">
        <f t="shared" si="8"/>
        <v>1.0670354256203463</v>
      </c>
      <c r="G85" s="143">
        <f t="shared" si="8"/>
        <v>1.0356741204662234</v>
      </c>
      <c r="H85" s="143">
        <f t="shared" si="8"/>
        <v>1.0145235780262518</v>
      </c>
      <c r="I85" s="143">
        <f>I83/I84</f>
        <v>1.0730351446778583</v>
      </c>
      <c r="J85" s="105"/>
      <c r="K85" s="105"/>
      <c r="L85" s="105"/>
      <c r="M85" s="105"/>
      <c r="N85" s="105"/>
      <c r="O85" s="105"/>
      <c r="P85" s="105"/>
      <c r="Q85" s="105"/>
      <c r="R85" s="105"/>
      <c r="S85" s="105"/>
      <c r="T85" s="105"/>
      <c r="U85" s="105"/>
      <c r="V85" s="105"/>
      <c r="W85" s="105"/>
      <c r="X85" s="105"/>
      <c r="Y85" s="105"/>
      <c r="Z85" s="105"/>
      <c r="AA85" s="105"/>
      <c r="AB85" s="105"/>
      <c r="AC85" s="105"/>
      <c r="AD85" s="105"/>
      <c r="AE85" s="105"/>
      <c r="AF85" s="105"/>
      <c r="AG85" s="105"/>
      <c r="AH85" s="105"/>
    </row>
    <row r="86" spans="2:34">
      <c r="B86" s="144"/>
      <c r="C86" s="144"/>
      <c r="D86" s="144"/>
      <c r="E86" s="144"/>
      <c r="F86" s="144"/>
      <c r="G86" s="144"/>
      <c r="H86" s="144"/>
      <c r="I86" s="144"/>
      <c r="J86" s="105"/>
      <c r="K86" s="105"/>
      <c r="L86" s="105"/>
      <c r="M86" s="105"/>
      <c r="N86" s="105"/>
      <c r="O86" s="105"/>
      <c r="P86" s="105"/>
      <c r="Q86" s="105"/>
      <c r="R86" s="105"/>
      <c r="S86" s="105"/>
      <c r="T86" s="105"/>
      <c r="U86" s="105"/>
      <c r="V86" s="105"/>
      <c r="W86" s="105"/>
      <c r="X86" s="105"/>
      <c r="Y86" s="105"/>
      <c r="Z86" s="105"/>
      <c r="AA86" s="105"/>
      <c r="AB86" s="105"/>
      <c r="AC86" s="105"/>
      <c r="AD86" s="105"/>
      <c r="AE86" s="105"/>
      <c r="AF86" s="105"/>
      <c r="AG86" s="105"/>
      <c r="AH86" s="105"/>
    </row>
    <row r="87" spans="2:34">
      <c r="B87" s="140" t="s">
        <v>429</v>
      </c>
      <c r="C87" s="141">
        <f t="shared" ref="C87:I87" si="9">C85*C81*C77</f>
        <v>0.14129324782484373</v>
      </c>
      <c r="D87" s="141">
        <f t="shared" si="9"/>
        <v>0.15788991162125493</v>
      </c>
      <c r="E87" s="141">
        <f t="shared" si="9"/>
        <v>0.17485939282363874</v>
      </c>
      <c r="F87" s="141">
        <f t="shared" si="9"/>
        <v>0.18930510602925313</v>
      </c>
      <c r="G87" s="141">
        <f t="shared" si="9"/>
        <v>0.17117378466771843</v>
      </c>
      <c r="H87" s="141">
        <f t="shared" si="9"/>
        <v>0.1655037318768052</v>
      </c>
      <c r="I87" s="141">
        <f>I85*I81*I77</f>
        <v>0.18784322362017894</v>
      </c>
      <c r="J87" s="105"/>
      <c r="K87" s="105"/>
      <c r="L87" s="105"/>
      <c r="M87" s="105"/>
      <c r="N87" s="105"/>
      <c r="O87" s="105"/>
      <c r="P87" s="105"/>
      <c r="Q87" s="105"/>
      <c r="R87" s="105"/>
      <c r="S87" s="105"/>
      <c r="T87" s="105"/>
      <c r="U87" s="105"/>
      <c r="V87" s="105"/>
      <c r="W87" s="105"/>
      <c r="X87" s="105"/>
      <c r="Y87" s="105"/>
      <c r="Z87" s="105"/>
      <c r="AA87" s="105"/>
      <c r="AB87" s="105"/>
      <c r="AC87" s="105"/>
      <c r="AD87" s="105"/>
      <c r="AE87" s="105"/>
      <c r="AF87" s="105"/>
      <c r="AG87" s="105"/>
      <c r="AH87" s="105"/>
    </row>
    <row r="88" spans="2:34">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c r="AA88" s="105"/>
      <c r="AB88" s="105"/>
      <c r="AC88" s="105"/>
      <c r="AD88" s="105"/>
      <c r="AE88" s="105"/>
      <c r="AF88" s="105"/>
      <c r="AG88" s="105"/>
      <c r="AH88" s="105"/>
    </row>
    <row r="89" spans="2:34" ht="15.75">
      <c r="B89" s="204" t="s">
        <v>430</v>
      </c>
      <c r="C89" s="204"/>
      <c r="D89" s="204"/>
      <c r="E89" s="204"/>
      <c r="F89" s="204"/>
      <c r="G89" s="204"/>
      <c r="H89" s="204"/>
      <c r="I89" s="204"/>
      <c r="J89" s="105"/>
      <c r="K89" s="105"/>
      <c r="L89" s="105"/>
      <c r="M89" s="105"/>
      <c r="N89" s="105"/>
      <c r="O89" s="105"/>
      <c r="P89" s="105"/>
      <c r="Q89" s="105"/>
      <c r="R89" s="105"/>
      <c r="S89" s="105"/>
      <c r="T89" s="105"/>
      <c r="U89" s="105"/>
      <c r="V89" s="105"/>
      <c r="W89" s="105"/>
      <c r="X89" s="105"/>
      <c r="Y89" s="105"/>
      <c r="Z89" s="105"/>
      <c r="AA89" s="105"/>
      <c r="AB89" s="105"/>
      <c r="AC89" s="105"/>
      <c r="AD89" s="105"/>
      <c r="AE89" s="105"/>
      <c r="AF89" s="105"/>
      <c r="AG89" s="105"/>
      <c r="AH89" s="105"/>
    </row>
    <row r="90" spans="2:34">
      <c r="B90" s="105"/>
      <c r="C90" s="139">
        <f t="shared" ref="C90:I91" si="10">C74</f>
        <v>43921</v>
      </c>
      <c r="D90" s="139">
        <f t="shared" si="10"/>
        <v>44286</v>
      </c>
      <c r="E90" s="139">
        <f t="shared" si="10"/>
        <v>44651</v>
      </c>
      <c r="F90" s="139">
        <f t="shared" si="10"/>
        <v>45016</v>
      </c>
      <c r="G90" s="139">
        <f t="shared" si="10"/>
        <v>45382</v>
      </c>
      <c r="H90" s="139">
        <f t="shared" si="10"/>
        <v>45747</v>
      </c>
      <c r="I90" s="139">
        <f>I74</f>
        <v>46112</v>
      </c>
      <c r="J90" s="105"/>
      <c r="K90" s="105"/>
      <c r="L90" s="105"/>
      <c r="M90" s="105"/>
      <c r="N90" s="105"/>
      <c r="O90" s="105"/>
      <c r="P90" s="105"/>
      <c r="Q90" s="105"/>
      <c r="R90" s="105"/>
      <c r="S90" s="105"/>
      <c r="T90" s="105"/>
      <c r="U90" s="105"/>
      <c r="V90" s="105"/>
      <c r="W90" s="105"/>
      <c r="X90" s="105"/>
      <c r="Y90" s="105"/>
      <c r="Z90" s="105"/>
      <c r="AA90" s="105"/>
      <c r="AB90" s="105"/>
      <c r="AC90" s="105"/>
      <c r="AD90" s="105"/>
      <c r="AE90" s="105"/>
      <c r="AF90" s="105"/>
      <c r="AG90" s="105"/>
      <c r="AH90" s="105"/>
    </row>
    <row r="91" spans="2:34">
      <c r="B91" s="105" t="s">
        <v>181</v>
      </c>
      <c r="C91" s="95">
        <f t="shared" si="10"/>
        <v>13836</v>
      </c>
      <c r="D91" s="95">
        <f t="shared" si="10"/>
        <v>17222</v>
      </c>
      <c r="E91" s="95">
        <f t="shared" si="10"/>
        <v>19851</v>
      </c>
      <c r="F91" s="95">
        <f t="shared" si="10"/>
        <v>21407</v>
      </c>
      <c r="G91" s="95">
        <f t="shared" si="10"/>
        <v>21537</v>
      </c>
      <c r="H91" s="95">
        <f t="shared" si="10"/>
        <v>23150</v>
      </c>
      <c r="I91" s="95">
        <f>I75</f>
        <v>26441</v>
      </c>
      <c r="J91" s="105"/>
      <c r="K91" s="105"/>
      <c r="L91" s="105"/>
      <c r="M91" s="105"/>
      <c r="N91" s="105"/>
      <c r="O91" s="105"/>
      <c r="P91" s="105"/>
      <c r="Q91" s="105"/>
      <c r="R91" s="105"/>
      <c r="S91" s="105"/>
      <c r="T91" s="105"/>
      <c r="U91" s="105"/>
      <c r="V91" s="105"/>
      <c r="W91" s="105"/>
      <c r="X91" s="105"/>
      <c r="Y91" s="105"/>
      <c r="Z91" s="105"/>
      <c r="AA91" s="105"/>
      <c r="AB91" s="105"/>
      <c r="AC91" s="105"/>
      <c r="AD91" s="105"/>
      <c r="AE91" s="105"/>
      <c r="AF91" s="105"/>
      <c r="AG91" s="105"/>
      <c r="AH91" s="105"/>
    </row>
    <row r="92" spans="2:34">
      <c r="B92" s="105" t="str">
        <f>B83</f>
        <v>Average Total Asset</v>
      </c>
      <c r="C92" s="95">
        <f t="shared" ref="C92:I92" si="11">C80</f>
        <v>87933</v>
      </c>
      <c r="D92" s="95">
        <f t="shared" si="11"/>
        <v>99655.5</v>
      </c>
      <c r="E92" s="95">
        <f t="shared" si="11"/>
        <v>112120</v>
      </c>
      <c r="F92" s="95">
        <f t="shared" si="11"/>
        <v>120662.5</v>
      </c>
      <c r="G92" s="95">
        <f t="shared" si="11"/>
        <v>130308</v>
      </c>
      <c r="H92" s="95">
        <f t="shared" si="11"/>
        <v>141907.5</v>
      </c>
      <c r="I92" s="95">
        <f>I80</f>
        <v>151041.5</v>
      </c>
      <c r="J92" s="105"/>
      <c r="K92" s="105"/>
      <c r="L92" s="105"/>
      <c r="M92" s="105"/>
      <c r="N92" s="105"/>
      <c r="O92" s="105"/>
      <c r="P92" s="105"/>
      <c r="Q92" s="105"/>
      <c r="R92" s="105"/>
      <c r="S92" s="105"/>
      <c r="T92" s="105"/>
      <c r="U92" s="105"/>
      <c r="V92" s="105"/>
      <c r="W92" s="105"/>
      <c r="X92" s="105"/>
      <c r="Y92" s="105"/>
      <c r="Z92" s="105"/>
      <c r="AA92" s="105"/>
      <c r="AB92" s="105"/>
      <c r="AC92" s="105"/>
      <c r="AD92" s="105"/>
      <c r="AE92" s="105"/>
      <c r="AF92" s="105"/>
      <c r="AG92" s="105"/>
      <c r="AH92" s="105"/>
    </row>
    <row r="93" spans="2:34">
      <c r="B93" s="140" t="s">
        <v>430</v>
      </c>
      <c r="C93" s="141">
        <f>C91/C92</f>
        <v>0.1573470710654703</v>
      </c>
      <c r="D93" s="141">
        <f t="shared" ref="D93:I93" si="12">D91/D92</f>
        <v>0.17281534887688085</v>
      </c>
      <c r="E93" s="141">
        <f t="shared" si="12"/>
        <v>0.17705137352836248</v>
      </c>
      <c r="F93" s="141">
        <f t="shared" si="12"/>
        <v>0.17741220346006423</v>
      </c>
      <c r="G93" s="141">
        <f t="shared" si="12"/>
        <v>0.16527764987567917</v>
      </c>
      <c r="H93" s="141">
        <f t="shared" si="12"/>
        <v>0.16313443616440287</v>
      </c>
      <c r="I93" s="141">
        <f t="shared" si="12"/>
        <v>0.17505784833969473</v>
      </c>
      <c r="J93" s="105"/>
      <c r="K93" s="105"/>
      <c r="L93" s="105"/>
      <c r="M93" s="105"/>
      <c r="N93" s="105"/>
      <c r="O93" s="105"/>
      <c r="P93" s="105"/>
      <c r="Q93" s="105"/>
      <c r="R93" s="105"/>
      <c r="S93" s="105"/>
      <c r="T93" s="105"/>
      <c r="U93" s="105"/>
      <c r="V93" s="105"/>
      <c r="W93" s="105"/>
      <c r="X93" s="105"/>
      <c r="Y93" s="105"/>
      <c r="Z93" s="105"/>
      <c r="AA93" s="105"/>
      <c r="AB93" s="105"/>
      <c r="AC93" s="105"/>
      <c r="AD93" s="105"/>
      <c r="AE93" s="105"/>
      <c r="AF93" s="105"/>
      <c r="AG93" s="105"/>
      <c r="AH93" s="105"/>
    </row>
    <row r="94" spans="2:34">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c r="AA94" s="105"/>
      <c r="AB94" s="105"/>
      <c r="AC94" s="105"/>
      <c r="AD94" s="105"/>
      <c r="AE94" s="105"/>
      <c r="AF94" s="105"/>
      <c r="AG94" s="105"/>
      <c r="AH94" s="105"/>
    </row>
    <row r="95" spans="2:34" ht="15.75">
      <c r="B95" s="204" t="s">
        <v>431</v>
      </c>
      <c r="C95" s="204"/>
      <c r="D95" s="204"/>
      <c r="E95" s="204"/>
      <c r="F95" s="204"/>
      <c r="G95" s="204"/>
      <c r="H95" s="204"/>
      <c r="I95" s="204"/>
      <c r="J95" s="105"/>
      <c r="K95" s="105"/>
      <c r="L95" s="105"/>
      <c r="M95" s="105"/>
      <c r="N95" s="105"/>
      <c r="O95" s="105"/>
      <c r="P95" s="105"/>
      <c r="Q95" s="105"/>
      <c r="R95" s="105"/>
      <c r="S95" s="105"/>
      <c r="T95" s="105"/>
      <c r="U95" s="105"/>
      <c r="V95" s="105"/>
      <c r="W95" s="105"/>
      <c r="X95" s="105"/>
      <c r="Y95" s="105"/>
      <c r="Z95" s="105"/>
      <c r="AA95" s="105"/>
      <c r="AB95" s="105"/>
      <c r="AC95" s="105"/>
      <c r="AD95" s="105"/>
      <c r="AE95" s="105"/>
      <c r="AF95" s="105"/>
      <c r="AG95" s="105"/>
      <c r="AH95" s="105"/>
    </row>
    <row r="96" spans="2:34">
      <c r="B96" s="105"/>
      <c r="C96" s="139">
        <f>C90</f>
        <v>43921</v>
      </c>
      <c r="D96" s="139">
        <f t="shared" ref="D96:I96" si="13">D90</f>
        <v>44286</v>
      </c>
      <c r="E96" s="139">
        <f t="shared" si="13"/>
        <v>44651</v>
      </c>
      <c r="F96" s="139">
        <f t="shared" si="13"/>
        <v>45016</v>
      </c>
      <c r="G96" s="139">
        <f t="shared" si="13"/>
        <v>45382</v>
      </c>
      <c r="H96" s="139">
        <f t="shared" si="13"/>
        <v>45747</v>
      </c>
      <c r="I96" s="139">
        <f t="shared" si="13"/>
        <v>46112</v>
      </c>
      <c r="J96" s="105"/>
      <c r="K96" s="105"/>
      <c r="L96" s="105"/>
      <c r="M96" s="105"/>
      <c r="N96" s="105"/>
      <c r="O96" s="105"/>
      <c r="P96" s="105"/>
      <c r="Q96" s="105"/>
      <c r="R96" s="105"/>
      <c r="S96" s="105"/>
      <c r="T96" s="105"/>
      <c r="U96" s="105"/>
      <c r="V96" s="105"/>
      <c r="W96" s="105"/>
      <c r="X96" s="105"/>
      <c r="Y96" s="105"/>
      <c r="Z96" s="105"/>
      <c r="AA96" s="105"/>
      <c r="AB96" s="105"/>
      <c r="AC96" s="105"/>
      <c r="AD96" s="105"/>
      <c r="AE96" s="105"/>
      <c r="AF96" s="105"/>
      <c r="AG96" s="105"/>
      <c r="AH96" s="105"/>
    </row>
    <row r="97" spans="2:34">
      <c r="B97" s="105" t="str">
        <f>B91</f>
        <v>Net Profit</v>
      </c>
      <c r="C97" s="95">
        <f t="shared" ref="C97:I97" si="14">C91</f>
        <v>13836</v>
      </c>
      <c r="D97" s="95">
        <f t="shared" si="14"/>
        <v>17222</v>
      </c>
      <c r="E97" s="95">
        <f t="shared" si="14"/>
        <v>19851</v>
      </c>
      <c r="F97" s="95">
        <f t="shared" si="14"/>
        <v>21407</v>
      </c>
      <c r="G97" s="95">
        <f t="shared" si="14"/>
        <v>21537</v>
      </c>
      <c r="H97" s="95">
        <f t="shared" si="14"/>
        <v>23150</v>
      </c>
      <c r="I97" s="95">
        <f>I91</f>
        <v>26441</v>
      </c>
      <c r="J97" s="105"/>
      <c r="K97" s="105"/>
      <c r="L97" s="105"/>
      <c r="M97" s="105"/>
      <c r="N97" s="105"/>
      <c r="O97" s="105"/>
      <c r="P97" s="105"/>
      <c r="Q97" s="105"/>
      <c r="R97" s="105"/>
      <c r="S97" s="105"/>
      <c r="T97" s="105"/>
      <c r="U97" s="105"/>
      <c r="V97" s="105"/>
      <c r="W97" s="105"/>
      <c r="X97" s="105"/>
      <c r="Y97" s="105"/>
      <c r="Z97" s="105"/>
      <c r="AA97" s="105"/>
      <c r="AB97" s="105"/>
      <c r="AC97" s="105"/>
      <c r="AD97" s="105"/>
      <c r="AE97" s="105"/>
      <c r="AF97" s="105"/>
      <c r="AG97" s="105"/>
      <c r="AH97" s="105"/>
    </row>
    <row r="98" spans="2:34">
      <c r="B98" s="105" t="s">
        <v>398</v>
      </c>
      <c r="C98" s="95">
        <f t="shared" ref="C98:I98" si="15">C79</f>
        <v>90791</v>
      </c>
      <c r="D98" s="95">
        <f t="shared" si="15"/>
        <v>100472</v>
      </c>
      <c r="E98" s="95">
        <f t="shared" si="15"/>
        <v>121641</v>
      </c>
      <c r="F98" s="95">
        <f t="shared" si="15"/>
        <v>146767</v>
      </c>
      <c r="G98" s="95">
        <f t="shared" si="15"/>
        <v>153670</v>
      </c>
      <c r="H98" s="95">
        <f t="shared" si="15"/>
        <v>162990</v>
      </c>
      <c r="I98" s="95">
        <f>I79</f>
        <v>178650</v>
      </c>
      <c r="J98" s="105"/>
      <c r="K98" s="105"/>
      <c r="L98" s="105"/>
      <c r="M98" s="105"/>
      <c r="N98" s="105"/>
      <c r="O98" s="105"/>
      <c r="P98" s="105"/>
      <c r="Q98" s="105"/>
      <c r="R98" s="105"/>
      <c r="S98" s="105"/>
      <c r="T98" s="105"/>
      <c r="U98" s="105"/>
      <c r="V98" s="105"/>
      <c r="W98" s="105"/>
      <c r="X98" s="105"/>
      <c r="Y98" s="105"/>
      <c r="Z98" s="105"/>
      <c r="AA98" s="105"/>
      <c r="AB98" s="105"/>
      <c r="AC98" s="105"/>
      <c r="AD98" s="105"/>
      <c r="AE98" s="105"/>
      <c r="AF98" s="105"/>
      <c r="AG98" s="105"/>
      <c r="AH98" s="105"/>
    </row>
    <row r="99" spans="2:34">
      <c r="B99" s="140" t="s">
        <v>425</v>
      </c>
      <c r="C99" s="141">
        <f t="shared" ref="C99:H99" si="16">C97/C98</f>
        <v>0.15239395975372008</v>
      </c>
      <c r="D99" s="141">
        <f t="shared" si="16"/>
        <v>0.17141094036149376</v>
      </c>
      <c r="E99" s="141">
        <f t="shared" si="16"/>
        <v>0.16319333119589613</v>
      </c>
      <c r="F99" s="141">
        <f t="shared" si="16"/>
        <v>0.14585703870761138</v>
      </c>
      <c r="G99" s="141">
        <f t="shared" si="16"/>
        <v>0.14015097286392919</v>
      </c>
      <c r="H99" s="141">
        <f t="shared" si="16"/>
        <v>0.14203325357383889</v>
      </c>
      <c r="I99" s="141">
        <f>I97/I98</f>
        <v>0.14800447802966696</v>
      </c>
      <c r="J99" s="105"/>
      <c r="K99" s="105"/>
      <c r="L99" s="105"/>
      <c r="M99" s="105"/>
      <c r="N99" s="105"/>
      <c r="O99" s="105"/>
      <c r="P99" s="105"/>
      <c r="Q99" s="105"/>
      <c r="R99" s="105"/>
      <c r="S99" s="105"/>
      <c r="T99" s="105"/>
      <c r="U99" s="105"/>
      <c r="V99" s="105"/>
      <c r="W99" s="105"/>
      <c r="X99" s="105"/>
      <c r="Y99" s="105"/>
      <c r="Z99" s="105"/>
      <c r="AA99" s="105"/>
      <c r="AB99" s="105"/>
      <c r="AC99" s="105"/>
      <c r="AD99" s="105"/>
      <c r="AE99" s="105"/>
      <c r="AF99" s="105"/>
      <c r="AG99" s="105"/>
      <c r="AH99" s="105"/>
    </row>
    <row r="100" spans="2:34">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c r="AA100" s="105"/>
      <c r="AB100" s="105"/>
      <c r="AC100" s="105"/>
      <c r="AD100" s="105"/>
      <c r="AE100" s="105"/>
      <c r="AF100" s="105"/>
      <c r="AG100" s="105"/>
      <c r="AH100" s="105"/>
    </row>
    <row r="101" spans="2:34">
      <c r="B101" s="105" t="s">
        <v>398</v>
      </c>
      <c r="C101" s="95">
        <f t="shared" ref="C101:I101" si="17">C98</f>
        <v>90791</v>
      </c>
      <c r="D101" s="95">
        <f t="shared" si="17"/>
        <v>100472</v>
      </c>
      <c r="E101" s="95">
        <f t="shared" si="17"/>
        <v>121641</v>
      </c>
      <c r="F101" s="95">
        <f t="shared" si="17"/>
        <v>146767</v>
      </c>
      <c r="G101" s="95">
        <f t="shared" si="17"/>
        <v>153670</v>
      </c>
      <c r="H101" s="95">
        <f t="shared" si="17"/>
        <v>162990</v>
      </c>
      <c r="I101" s="95">
        <f>I98</f>
        <v>178650</v>
      </c>
      <c r="J101" s="105"/>
      <c r="K101" s="105"/>
      <c r="L101" s="105"/>
      <c r="M101" s="105"/>
      <c r="N101" s="105"/>
      <c r="O101" s="105"/>
      <c r="P101" s="105"/>
      <c r="Q101" s="105"/>
      <c r="R101" s="105"/>
      <c r="S101" s="105"/>
      <c r="T101" s="105"/>
      <c r="U101" s="105"/>
      <c r="V101" s="105"/>
      <c r="W101" s="105"/>
      <c r="X101" s="105"/>
      <c r="Y101" s="105"/>
      <c r="Z101" s="105"/>
      <c r="AA101" s="105"/>
      <c r="AB101" s="105"/>
      <c r="AC101" s="105"/>
      <c r="AD101" s="105"/>
      <c r="AE101" s="105"/>
      <c r="AF101" s="105"/>
      <c r="AG101" s="105"/>
      <c r="AH101" s="105"/>
    </row>
    <row r="102" spans="2:34">
      <c r="B102" s="105" t="s">
        <v>426</v>
      </c>
      <c r="C102" s="95">
        <f t="shared" ref="C102:I102" si="18">C92</f>
        <v>87933</v>
      </c>
      <c r="D102" s="95">
        <f t="shared" si="18"/>
        <v>99655.5</v>
      </c>
      <c r="E102" s="95">
        <f t="shared" si="18"/>
        <v>112120</v>
      </c>
      <c r="F102" s="95">
        <f t="shared" si="18"/>
        <v>120662.5</v>
      </c>
      <c r="G102" s="95">
        <f t="shared" si="18"/>
        <v>130308</v>
      </c>
      <c r="H102" s="95">
        <f t="shared" si="18"/>
        <v>141907.5</v>
      </c>
      <c r="I102" s="95">
        <f>I92</f>
        <v>151041.5</v>
      </c>
      <c r="J102" s="105"/>
      <c r="K102" s="105"/>
      <c r="L102" s="105"/>
      <c r="M102" s="105"/>
      <c r="N102" s="105"/>
      <c r="O102" s="105"/>
      <c r="P102" s="105"/>
      <c r="Q102" s="105"/>
      <c r="R102" s="105"/>
      <c r="S102" s="105"/>
      <c r="T102" s="105"/>
      <c r="U102" s="105"/>
      <c r="V102" s="105"/>
      <c r="W102" s="105"/>
      <c r="X102" s="105"/>
      <c r="Y102" s="105"/>
      <c r="Z102" s="105"/>
      <c r="AA102" s="105"/>
      <c r="AB102" s="105"/>
      <c r="AC102" s="105"/>
      <c r="AD102" s="105"/>
      <c r="AE102" s="105"/>
      <c r="AF102" s="105"/>
      <c r="AG102" s="105"/>
      <c r="AH102" s="105"/>
    </row>
    <row r="103" spans="2:34">
      <c r="B103" s="140" t="s">
        <v>427</v>
      </c>
      <c r="C103" s="142">
        <f t="shared" ref="C103:H103" si="19">C101/C102</f>
        <v>1.0325020185823297</v>
      </c>
      <c r="D103" s="142">
        <f t="shared" si="19"/>
        <v>1.0081932256624071</v>
      </c>
      <c r="E103" s="142">
        <f t="shared" si="19"/>
        <v>1.0849179450588655</v>
      </c>
      <c r="F103" s="142">
        <f t="shared" si="19"/>
        <v>1.216343105770227</v>
      </c>
      <c r="G103" s="142">
        <f t="shared" si="19"/>
        <v>1.1792829296743101</v>
      </c>
      <c r="H103" s="142">
        <f t="shared" si="19"/>
        <v>1.1485650864119232</v>
      </c>
      <c r="I103" s="142">
        <f>I101/I102</f>
        <v>1.1827875120413927</v>
      </c>
      <c r="J103" s="105"/>
      <c r="K103" s="105"/>
      <c r="L103" s="105"/>
      <c r="M103" s="105"/>
      <c r="N103" s="105"/>
      <c r="O103" s="105"/>
      <c r="P103" s="105"/>
      <c r="Q103" s="105"/>
      <c r="R103" s="105"/>
      <c r="S103" s="105"/>
      <c r="T103" s="105"/>
      <c r="U103" s="105"/>
      <c r="V103" s="105"/>
      <c r="W103" s="105"/>
      <c r="X103" s="105"/>
      <c r="Y103" s="105"/>
      <c r="Z103" s="105"/>
      <c r="AA103" s="105"/>
      <c r="AB103" s="105"/>
      <c r="AC103" s="105"/>
      <c r="AD103" s="105"/>
      <c r="AE103" s="105"/>
      <c r="AF103" s="105"/>
      <c r="AG103" s="105"/>
      <c r="AH103" s="105"/>
    </row>
    <row r="104" spans="2:34">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c r="AA104" s="105"/>
      <c r="AB104" s="105"/>
      <c r="AC104" s="105"/>
      <c r="AD104" s="105"/>
      <c r="AE104" s="105"/>
      <c r="AF104" s="105"/>
      <c r="AG104" s="105"/>
      <c r="AH104" s="105"/>
    </row>
    <row r="105" spans="2:34">
      <c r="B105" s="140" t="s">
        <v>432</v>
      </c>
      <c r="C105" s="141">
        <f>C103*C99</f>
        <v>0.1573470710654703</v>
      </c>
      <c r="D105" s="141">
        <f t="shared" ref="D105:I105" si="20">D103*D99</f>
        <v>0.17281534887688088</v>
      </c>
      <c r="E105" s="141">
        <f t="shared" si="20"/>
        <v>0.17705137352836248</v>
      </c>
      <c r="F105" s="141">
        <f t="shared" si="20"/>
        <v>0.17741220346006423</v>
      </c>
      <c r="G105" s="141">
        <f t="shared" si="20"/>
        <v>0.16527764987567917</v>
      </c>
      <c r="H105" s="141">
        <f t="shared" si="20"/>
        <v>0.16313443616440287</v>
      </c>
      <c r="I105" s="141">
        <f t="shared" si="20"/>
        <v>0.17505784833969473</v>
      </c>
      <c r="J105" s="105"/>
      <c r="K105" s="105"/>
      <c r="L105" s="105"/>
      <c r="M105" s="105"/>
      <c r="N105" s="105"/>
      <c r="O105" s="105"/>
      <c r="P105" s="105"/>
      <c r="Q105" s="105"/>
      <c r="R105" s="105"/>
      <c r="S105" s="105"/>
      <c r="T105" s="105"/>
      <c r="U105" s="105"/>
      <c r="V105" s="105"/>
      <c r="W105" s="105"/>
      <c r="X105" s="105"/>
      <c r="Y105" s="105"/>
      <c r="Z105" s="105"/>
      <c r="AA105" s="105"/>
      <c r="AB105" s="105"/>
      <c r="AC105" s="105"/>
      <c r="AD105" s="105"/>
      <c r="AE105" s="105"/>
      <c r="AF105" s="105"/>
      <c r="AG105" s="105"/>
      <c r="AH105" s="105"/>
    </row>
    <row r="106" spans="2:34">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c r="AA106" s="105"/>
      <c r="AB106" s="105"/>
      <c r="AC106" s="105"/>
      <c r="AD106" s="105"/>
      <c r="AE106" s="105"/>
      <c r="AF106" s="105"/>
      <c r="AG106" s="105"/>
      <c r="AH106" s="105"/>
    </row>
    <row r="107" spans="2:34" ht="3" customHeight="1">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c r="AA107" s="105"/>
      <c r="AB107" s="105"/>
      <c r="AC107" s="105"/>
      <c r="AD107" s="105"/>
      <c r="AE107" s="105"/>
      <c r="AF107" s="105"/>
      <c r="AG107" s="105"/>
      <c r="AH107" s="105"/>
    </row>
  </sheetData>
  <mergeCells count="5">
    <mergeCell ref="B67:I67"/>
    <mergeCell ref="B73:I73"/>
    <mergeCell ref="B89:I89"/>
    <mergeCell ref="B95:I95"/>
    <mergeCell ref="B9:I15"/>
  </mergeCells>
  <pageMargins left="1" right="1" top="1" bottom="1" header="0.5" footer="0.5"/>
  <pageSetup paperSize="9" orientation="landscape"/>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The Valuation School</dc:creator>
  <cp:keywords/>
  <dc:description/>
  <cp:lastModifiedBy/>
  <cp:revision/>
  <dcterms:created xsi:type="dcterms:W3CDTF">2023-01-14T08:22:33Z</dcterms:created>
  <dcterms:modified xsi:type="dcterms:W3CDTF">2026-09-10T08:04:18Z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{9CFBFC8B-C35F-4354-95CF-4607CE1DA376}</vt:lpwstr>
  </property>
</Properties>
</file>